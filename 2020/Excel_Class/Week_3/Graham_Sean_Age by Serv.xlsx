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3\"/>
    </mc:Choice>
  </mc:AlternateContent>
  <xr:revisionPtr revIDLastSave="0" documentId="8_{1D681711-0E3C-4B75-BB8F-73B4BC00B919}" xr6:coauthVersionLast="45" xr6:coauthVersionMax="45" xr10:uidLastSave="{00000000-0000-0000-0000-000000000000}"/>
  <bookViews>
    <workbookView xWindow="810" yWindow="-120" windowWidth="19800" windowHeight="11760" xr2:uid="{E6B21524-0E04-4521-9CEE-5E8F1E6A833A}"/>
  </bookViews>
  <sheets>
    <sheet name="Age by Service" sheetId="1" r:id="rId1"/>
    <sheet name="EeDat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1" l="1"/>
  <c r="H10" i="1"/>
  <c r="I10" i="1"/>
  <c r="J10" i="1"/>
  <c r="K10" i="1"/>
  <c r="G11" i="1"/>
  <c r="H11" i="1"/>
  <c r="I11" i="1"/>
  <c r="J11" i="1"/>
  <c r="K11" i="1"/>
  <c r="G12" i="1"/>
  <c r="H12" i="1"/>
  <c r="I12" i="1"/>
  <c r="J12" i="1"/>
  <c r="K12" i="1"/>
  <c r="G13" i="1"/>
  <c r="H13" i="1"/>
  <c r="I13" i="1"/>
  <c r="J13" i="1"/>
  <c r="K13" i="1"/>
  <c r="G20" i="1"/>
  <c r="H20" i="1"/>
  <c r="I20" i="1"/>
  <c r="J20" i="1"/>
  <c r="K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/>
  <c r="J23" i="1"/>
  <c r="K23" i="1"/>
  <c r="G24" i="1"/>
  <c r="H24" i="1"/>
  <c r="I24" i="1"/>
  <c r="J24" i="1"/>
  <c r="K24" i="1"/>
  <c r="H9" i="1"/>
  <c r="I9" i="1"/>
  <c r="J9" i="1"/>
  <c r="K9" i="1"/>
  <c r="G9" i="1"/>
  <c r="D11" i="1"/>
  <c r="D12" i="1" s="1"/>
  <c r="D13" i="1" s="1"/>
  <c r="I4" i="1"/>
  <c r="J4" i="1" s="1"/>
  <c r="K4" i="1" s="1"/>
  <c r="F11" i="1" l="1"/>
  <c r="I2" i="1"/>
  <c r="J2" i="1"/>
  <c r="J8" i="1" s="1"/>
  <c r="K2" i="1"/>
  <c r="K8" i="1" s="1"/>
  <c r="Q2" i="1"/>
  <c r="Q8" i="1" s="1"/>
  <c r="R2" i="1"/>
  <c r="H8" i="1"/>
  <c r="I8" i="1"/>
  <c r="G8" i="1"/>
  <c r="F9" i="1"/>
  <c r="F24" i="1"/>
  <c r="F10" i="1"/>
  <c r="D10" i="1"/>
  <c r="H2" i="1"/>
  <c r="H4" i="1"/>
  <c r="B25" i="1"/>
  <c r="B24" i="1"/>
  <c r="B10" i="1"/>
  <c r="Q13" i="1" l="1"/>
  <c r="Q12" i="1"/>
  <c r="Q9" i="1"/>
  <c r="Q11" i="1"/>
  <c r="Q10" i="1"/>
  <c r="Q24" i="1"/>
  <c r="Q23" i="1"/>
  <c r="Q22" i="1"/>
  <c r="Q21" i="1"/>
  <c r="Q20" i="1"/>
  <c r="N2" i="1"/>
  <c r="L2" i="1"/>
  <c r="L8" i="1" s="1"/>
  <c r="B19" i="1"/>
  <c r="F19" i="1" s="1"/>
  <c r="M2" i="1"/>
  <c r="M8" i="1" s="1"/>
  <c r="B12" i="1"/>
  <c r="F12" i="1" s="1"/>
  <c r="B11" i="1"/>
  <c r="K19" i="1" l="1"/>
  <c r="H19" i="1"/>
  <c r="J19" i="1"/>
  <c r="Q19" i="1"/>
  <c r="G19" i="1"/>
  <c r="I19" i="1"/>
  <c r="L22" i="1"/>
  <c r="L12" i="1"/>
  <c r="L20" i="1"/>
  <c r="L13" i="1"/>
  <c r="L24" i="1"/>
  <c r="L11" i="1"/>
  <c r="L23" i="1"/>
  <c r="L9" i="1"/>
  <c r="L10" i="1"/>
  <c r="L21" i="1"/>
  <c r="L19" i="1"/>
  <c r="M13" i="1"/>
  <c r="M22" i="1"/>
  <c r="M9" i="1"/>
  <c r="M21" i="1"/>
  <c r="M24" i="1"/>
  <c r="M11" i="1"/>
  <c r="M12" i="1"/>
  <c r="M20" i="1"/>
  <c r="M23" i="1"/>
  <c r="M10" i="1"/>
  <c r="M19" i="1"/>
  <c r="O2" i="1"/>
  <c r="P2" i="1"/>
  <c r="P8" i="1" s="1"/>
  <c r="N8" i="1"/>
  <c r="B20" i="1"/>
  <c r="B13" i="1"/>
  <c r="F13" i="1" s="1"/>
  <c r="P12" i="1" l="1"/>
  <c r="P9" i="1"/>
  <c r="P11" i="1"/>
  <c r="P10" i="1"/>
  <c r="P24" i="1"/>
  <c r="P21" i="1"/>
  <c r="P23" i="1"/>
  <c r="P20" i="1"/>
  <c r="P13" i="1"/>
  <c r="P22" i="1"/>
  <c r="P19" i="1"/>
  <c r="N10" i="1"/>
  <c r="N11" i="1"/>
  <c r="N19" i="1"/>
  <c r="N12" i="1"/>
  <c r="N20" i="1"/>
  <c r="N23" i="1"/>
  <c r="N13" i="1"/>
  <c r="N21" i="1"/>
  <c r="N22" i="1"/>
  <c r="N24" i="1"/>
  <c r="N9" i="1"/>
  <c r="O8" i="1"/>
  <c r="B21" i="1"/>
  <c r="F20" i="1"/>
  <c r="B14" i="1"/>
  <c r="F14" i="1" s="1"/>
  <c r="N14" i="1" s="1"/>
  <c r="P14" i="1" l="1"/>
  <c r="Q14" i="1"/>
  <c r="G14" i="1"/>
  <c r="H14" i="1"/>
  <c r="K14" i="1"/>
  <c r="I14" i="1"/>
  <c r="J14" i="1"/>
  <c r="M14" i="1"/>
  <c r="L14" i="1"/>
  <c r="O10" i="1"/>
  <c r="R10" i="1" s="1"/>
  <c r="O11" i="1"/>
  <c r="R11" i="1" s="1"/>
  <c r="O19" i="1"/>
  <c r="R19" i="1" s="1"/>
  <c r="O14" i="1"/>
  <c r="O12" i="1"/>
  <c r="R12" i="1" s="1"/>
  <c r="O20" i="1"/>
  <c r="O13" i="1"/>
  <c r="R13" i="1" s="1"/>
  <c r="O21" i="1"/>
  <c r="O22" i="1"/>
  <c r="O23" i="1"/>
  <c r="O24" i="1"/>
  <c r="R24" i="1" s="1"/>
  <c r="O9" i="1"/>
  <c r="R9" i="1" s="1"/>
  <c r="B23" i="1"/>
  <c r="F23" i="1" s="1"/>
  <c r="B22" i="1"/>
  <c r="F21" i="1"/>
  <c r="B15" i="1"/>
  <c r="F15" i="1" s="1"/>
  <c r="G15" i="1" l="1"/>
  <c r="H15" i="1"/>
  <c r="I15" i="1"/>
  <c r="J15" i="1"/>
  <c r="Q15" i="1"/>
  <c r="K15" i="1"/>
  <c r="P15" i="1"/>
  <c r="M15" i="1"/>
  <c r="L15" i="1"/>
  <c r="N15" i="1"/>
  <c r="O15" i="1"/>
  <c r="R14" i="1"/>
  <c r="F22" i="1"/>
  <c r="R20" i="1"/>
  <c r="B16" i="1"/>
  <c r="F16" i="1" s="1"/>
  <c r="G16" i="1" l="1"/>
  <c r="H16" i="1"/>
  <c r="I16" i="1"/>
  <c r="J16" i="1"/>
  <c r="K16" i="1"/>
  <c r="Q16" i="1"/>
  <c r="P16" i="1"/>
  <c r="L16" i="1"/>
  <c r="M16" i="1"/>
  <c r="N16" i="1"/>
  <c r="O16" i="1"/>
  <c r="R23" i="1"/>
  <c r="R21" i="1"/>
  <c r="R15" i="1"/>
  <c r="B17" i="1"/>
  <c r="F17" i="1" s="1"/>
  <c r="B18" i="1"/>
  <c r="F18" i="1" s="1"/>
  <c r="J18" i="1" l="1"/>
  <c r="G18" i="1"/>
  <c r="H18" i="1"/>
  <c r="I18" i="1"/>
  <c r="K18" i="1"/>
  <c r="P18" i="1"/>
  <c r="Q18" i="1"/>
  <c r="L18" i="1"/>
  <c r="M18" i="1"/>
  <c r="N18" i="1"/>
  <c r="O18" i="1"/>
  <c r="I17" i="1"/>
  <c r="J17" i="1"/>
  <c r="K17" i="1"/>
  <c r="G17" i="1"/>
  <c r="P17" i="1"/>
  <c r="Q17" i="1"/>
  <c r="H17" i="1"/>
  <c r="L17" i="1"/>
  <c r="M17" i="1"/>
  <c r="N17" i="1"/>
  <c r="O17" i="1"/>
  <c r="R22" i="1"/>
  <c r="R16" i="1"/>
  <c r="G25" i="1" l="1"/>
  <c r="P25" i="1"/>
  <c r="H25" i="1"/>
  <c r="M25" i="1"/>
  <c r="O25" i="1"/>
  <c r="Q25" i="1"/>
  <c r="I25" i="1"/>
  <c r="J25" i="1"/>
  <c r="K25" i="1"/>
  <c r="N25" i="1"/>
  <c r="R17" i="1"/>
  <c r="L25" i="1"/>
  <c r="R18" i="1"/>
  <c r="R25" i="1" l="1"/>
</calcChain>
</file>

<file path=xl/sharedStrings.xml><?xml version="1.0" encoding="utf-8"?>
<sst xmlns="http://schemas.openxmlformats.org/spreadsheetml/2006/main" count="117" uniqueCount="23">
  <si>
    <t>A</t>
  </si>
  <si>
    <t>R</t>
  </si>
  <si>
    <t>V</t>
  </si>
  <si>
    <t>T</t>
  </si>
  <si>
    <t>Prior Status</t>
  </si>
  <si>
    <t>Status Code</t>
  </si>
  <si>
    <t xml:space="preserve">Service </t>
  </si>
  <si>
    <t xml:space="preserve">Age </t>
  </si>
  <si>
    <t>Prior Salary</t>
  </si>
  <si>
    <t>Current Salary</t>
  </si>
  <si>
    <t>Company Code</t>
  </si>
  <si>
    <t>ID</t>
  </si>
  <si>
    <t>Employee Database</t>
  </si>
  <si>
    <t>Age Breakpoint</t>
  </si>
  <si>
    <t>Age is</t>
  </si>
  <si>
    <t>at least</t>
  </si>
  <si>
    <t>but</t>
  </si>
  <si>
    <t>less than</t>
  </si>
  <si>
    <t>Age by Service Distribution with Total Salaries for Actives</t>
  </si>
  <si>
    <t>Service Breakpoint</t>
  </si>
  <si>
    <t>Serv</t>
  </si>
  <si>
    <t>Age/Serv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</si>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</sst>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1"/>
    <xf numFmtId="0" fontId="1" fillId="2" borderId="1" xfId="1" applyFill="1" applyBorder="1" applyAlignment="1">
      <alignment horizontal="center"/>
    </xf>
    <xf numFmtId="164" fontId="0" fillId="2" borderId="1" xfId="2" applyNumberFormat="1" applyFont="1" applyFill="1" applyBorder="1"/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164" fontId="0" fillId="0" borderId="0" xfId="2" applyNumberFormat="1" applyFon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0" borderId="9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15" xfId="0" applyFill="1" applyBorder="1" applyAlignment="1">
      <alignment horizontal="center"/>
    </xf>
    <xf numFmtId="41" fontId="4" fillId="0" borderId="20" xfId="0" applyNumberFormat="1" applyFont="1" applyBorder="1"/>
    <xf numFmtId="41" fontId="4" fillId="0" borderId="21" xfId="0" applyNumberFormat="1" applyFont="1" applyBorder="1"/>
    <xf numFmtId="41" fontId="4" fillId="0" borderId="22" xfId="0" applyNumberFormat="1" applyFont="1" applyBorder="1"/>
    <xf numFmtId="41" fontId="4" fillId="0" borderId="1" xfId="0" applyNumberFormat="1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4" fillId="6" borderId="8" xfId="0" applyFont="1" applyFill="1" applyBorder="1"/>
    <xf numFmtId="0" fontId="4" fillId="6" borderId="8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8" fillId="6" borderId="17" xfId="0" applyFont="1" applyFill="1" applyBorder="1" applyAlignment="1">
      <alignment horizontal="center" wrapText="1"/>
    </xf>
    <xf numFmtId="0" fontId="7" fillId="6" borderId="18" xfId="0" applyFont="1" applyFill="1" applyBorder="1" applyAlignment="1">
      <alignment horizontal="center" wrapText="1"/>
    </xf>
    <xf numFmtId="0" fontId="7" fillId="6" borderId="19" xfId="0" applyFont="1" applyFill="1" applyBorder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</cellXfs>
  <cellStyles count="3">
    <cellStyle name="Comma 2" xfId="2" xr:uid="{DB8ADAB4-F4AF-4856-9672-F4B38406A4E9}"/>
    <cellStyle name="Normal" xfId="0" builtinId="0"/>
    <cellStyle name="Normal 2" xfId="1" xr:uid="{E1911C6D-1D3A-4F00-81F1-56EF445C70E9}"/>
  </cellStyles>
  <dxfs count="0"/>
  <tableStyles count="0" defaultTableStyle="TableStyleMedium2" defaultPivotStyle="PivotStyleLight16"/>
  <colors>
    <mruColors>
      <color rgb="FF00FFFF"/>
      <color rgb="FF33CC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17F6-E1FD-466A-A7D9-047C125646E2}">
  <sheetPr>
    <pageSetUpPr fitToPage="1"/>
  </sheetPr>
  <dimension ref="B1:R35"/>
  <sheetViews>
    <sheetView tabSelected="1" workbookViewId="0"/>
  </sheetViews>
  <sheetFormatPr defaultRowHeight="15" x14ac:dyDescent="0.25"/>
  <cols>
    <col min="1" max="1" width="1.42578125" customWidth="1"/>
    <col min="3" max="3" width="4.28515625" customWidth="1"/>
    <col min="5" max="5" width="2.28515625" customWidth="1"/>
    <col min="7" max="7" width="9.28515625" bestFit="1" customWidth="1"/>
    <col min="8" max="9" width="10.7109375" customWidth="1"/>
    <col min="10" max="17" width="9.28515625" bestFit="1" customWidth="1"/>
    <col min="18" max="18" width="10.5703125" customWidth="1"/>
  </cols>
  <sheetData>
    <row r="1" spans="2:18" ht="7.5" customHeight="1" thickBot="1" x14ac:dyDescent="0.3"/>
    <row r="2" spans="2:18" ht="22.5" customHeight="1" x14ac:dyDescent="0.25">
      <c r="B2" s="33" t="s">
        <v>19</v>
      </c>
      <c r="C2" s="34"/>
      <c r="D2" s="35"/>
      <c r="E2" s="46" t="s">
        <v>20</v>
      </c>
      <c r="F2" s="25" t="s">
        <v>15</v>
      </c>
      <c r="G2" s="27">
        <v>0</v>
      </c>
      <c r="H2" s="27">
        <f>IF(G4="","",G4)</f>
        <v>5</v>
      </c>
      <c r="I2" s="27">
        <f t="shared" ref="I2:R2" si="0">IF(H4="","",H4)</f>
        <v>10</v>
      </c>
      <c r="J2" s="27">
        <f t="shared" si="0"/>
        <v>15</v>
      </c>
      <c r="K2" s="27">
        <f t="shared" si="0"/>
        <v>20</v>
      </c>
      <c r="L2" s="27">
        <f t="shared" si="0"/>
        <v>25</v>
      </c>
      <c r="M2" s="27" t="str">
        <f t="shared" si="0"/>
        <v/>
      </c>
      <c r="N2" s="27" t="str">
        <f t="shared" si="0"/>
        <v/>
      </c>
      <c r="O2" s="27" t="str">
        <f t="shared" si="0"/>
        <v/>
      </c>
      <c r="P2" s="27" t="str">
        <f t="shared" si="0"/>
        <v/>
      </c>
      <c r="Q2" s="27" t="str">
        <f t="shared" si="0"/>
        <v/>
      </c>
      <c r="R2" s="44" t="str">
        <f t="shared" si="0"/>
        <v/>
      </c>
    </row>
    <row r="3" spans="2:18" ht="18.75" customHeight="1" x14ac:dyDescent="0.25">
      <c r="B3" s="19"/>
      <c r="C3" s="20"/>
      <c r="D3" s="21"/>
      <c r="E3" s="47"/>
      <c r="F3" s="45" t="s">
        <v>16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20"/>
      <c r="R3" s="21"/>
    </row>
    <row r="4" spans="2:18" ht="22.5" customHeight="1" thickBot="1" x14ac:dyDescent="0.3">
      <c r="B4" s="22"/>
      <c r="C4" s="23"/>
      <c r="D4" s="24"/>
      <c r="E4" s="48"/>
      <c r="F4" s="26" t="s">
        <v>17</v>
      </c>
      <c r="G4" s="28">
        <v>5</v>
      </c>
      <c r="H4" s="28">
        <f>G4+5</f>
        <v>10</v>
      </c>
      <c r="I4" s="28">
        <f t="shared" ref="I4:P4" si="1">H4+5</f>
        <v>15</v>
      </c>
      <c r="J4" s="28">
        <f t="shared" si="1"/>
        <v>20</v>
      </c>
      <c r="K4" s="28">
        <f t="shared" si="1"/>
        <v>25</v>
      </c>
      <c r="L4" s="28"/>
      <c r="M4" s="28"/>
      <c r="N4" s="28"/>
      <c r="O4" s="28"/>
      <c r="P4" s="28"/>
      <c r="Q4" s="23"/>
      <c r="R4" s="24"/>
    </row>
    <row r="5" spans="2:18" ht="11.25" customHeight="1" thickBot="1" x14ac:dyDescent="0.3"/>
    <row r="6" spans="2:18" ht="18" customHeight="1" thickBot="1" x14ac:dyDescent="0.3">
      <c r="B6" s="33" t="s">
        <v>13</v>
      </c>
      <c r="C6" s="34"/>
      <c r="D6" s="35"/>
      <c r="F6" s="36" t="s">
        <v>18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8"/>
    </row>
    <row r="7" spans="2:18" ht="16.5" thickBot="1" x14ac:dyDescent="0.3">
      <c r="B7" s="50" t="s">
        <v>14</v>
      </c>
      <c r="C7" s="51"/>
      <c r="D7" s="52"/>
    </row>
    <row r="8" spans="2:18" ht="15.75" thickBot="1" x14ac:dyDescent="0.3">
      <c r="B8" s="11" t="s">
        <v>15</v>
      </c>
      <c r="C8" s="49" t="s">
        <v>16</v>
      </c>
      <c r="D8" s="12" t="s">
        <v>17</v>
      </c>
      <c r="F8" s="40" t="s">
        <v>21</v>
      </c>
      <c r="G8" s="41" t="str">
        <f>IF(G2="","",IF(G2=0,"&lt;"&amp;G4,IF(G4="",G2&amp;" &lt;=",G2&amp;" - "&amp;G4)))</f>
        <v>&lt;5</v>
      </c>
      <c r="H8" s="41" t="str">
        <f t="shared" ref="H8:Q8" si="2">IF(H2="","",IF(H2=0,"&lt;"&amp;H4,IF(H4="",H2&amp;" &lt;=",H2&amp;" - "&amp;H4)))</f>
        <v>5 - 10</v>
      </c>
      <c r="I8" s="41" t="str">
        <f t="shared" si="2"/>
        <v>10 - 15</v>
      </c>
      <c r="J8" s="41" t="str">
        <f t="shared" si="2"/>
        <v>15 - 20</v>
      </c>
      <c r="K8" s="41" t="str">
        <f t="shared" si="2"/>
        <v>20 - 25</v>
      </c>
      <c r="L8" s="41" t="str">
        <f t="shared" si="2"/>
        <v>25 &lt;=</v>
      </c>
      <c r="M8" s="41" t="str">
        <f t="shared" si="2"/>
        <v/>
      </c>
      <c r="N8" s="41" t="str">
        <f t="shared" si="2"/>
        <v/>
      </c>
      <c r="O8" s="41" t="str">
        <f t="shared" si="2"/>
        <v/>
      </c>
      <c r="P8" s="41" t="str">
        <f t="shared" si="2"/>
        <v/>
      </c>
      <c r="Q8" s="41" t="str">
        <f t="shared" si="2"/>
        <v/>
      </c>
      <c r="R8" s="43" t="s">
        <v>22</v>
      </c>
    </row>
    <row r="9" spans="2:18" ht="15.75" thickBot="1" x14ac:dyDescent="0.3">
      <c r="B9" s="13">
        <v>0</v>
      </c>
      <c r="C9" s="14"/>
      <c r="D9" s="15">
        <v>20</v>
      </c>
      <c r="F9" s="41" t="str">
        <f t="shared" ref="F9:F24" si="3">IF(B9="","",IF(B9=0,"&lt;"&amp;D9,IF(D9="",B9&amp;" &lt;=",B9&amp;" - "&amp;D9)))</f>
        <v>&lt;20</v>
      </c>
      <c r="G9" s="32">
        <f>IF(OR(G$8="",$F9=""),"",COUNTIFS(EeData!$G:$G,"A",EeData!$E:$E,"&gt;="&amp;$B9,EeData!$E:$E,"&lt;" &amp; IF($D9="",200,$D9),EeData!$F:$F,"&gt;="&amp;G$2,EeData!$F:$F,"&lt;" &amp; IF(G$4="",100,G$4)))</f>
        <v>0</v>
      </c>
      <c r="H9" s="32">
        <f>IF(OR(H$8="",$F9=""),"",COUNTIFS(EeData!$G:$G,"A",EeData!$E:$E,"&gt;="&amp;$B9,EeData!$E:$E,"&lt;" &amp; IF($D9="",200,$D9),EeData!$F:$F,"&gt;="&amp;H$2,EeData!$F:$F,"&lt;" &amp; IF(H$4="",100,H$4)))</f>
        <v>0</v>
      </c>
      <c r="I9" s="32">
        <f>IF(OR(I$8="",$F9=""),"",COUNTIFS(EeData!$G:$G,"A",EeData!$E:$E,"&gt;="&amp;$B9,EeData!$E:$E,"&lt;" &amp; IF($D9="",200,$D9),EeData!$F:$F,"&gt;="&amp;I$2,EeData!$F:$F,"&lt;" &amp; IF(I$4="",100,I$4)))</f>
        <v>0</v>
      </c>
      <c r="J9" s="32">
        <f>IF(OR(J$8="",$F9=""),"",COUNTIFS(EeData!$G:$G,"A",EeData!$E:$E,"&gt;="&amp;$B9,EeData!$E:$E,"&lt;" &amp; IF($D9="",200,$D9),EeData!$F:$F,"&gt;="&amp;J$2,EeData!$F:$F,"&lt;" &amp; IF(J$4="",100,J$4)))</f>
        <v>0</v>
      </c>
      <c r="K9" s="32">
        <f>IF(OR(K$8="",$F9=""),"",COUNTIFS(EeData!$G:$G,"A",EeData!$E:$E,"&gt;="&amp;$B9,EeData!$E:$E,"&lt;" &amp; IF($D9="",200,$D9),EeData!$F:$F,"&gt;="&amp;K$2,EeData!$F:$F,"&lt;" &amp; IF(K$4="",100,K$4)))</f>
        <v>0</v>
      </c>
      <c r="L9" s="32">
        <f>IF(OR(L$8="",$F9=""),"",COUNTIFS(EeData!$G:$G,"A",EeData!$E:$E,"&gt;="&amp;$B9,EeData!$E:$E,"&lt;" &amp; IF($D9="",200,$D9),EeData!$F:$F,"&gt;="&amp;L$2,EeData!$F:$F,"&lt;" &amp; IF(L$4="",100,L$4)))</f>
        <v>0</v>
      </c>
      <c r="M9" s="32" t="str">
        <f>IF(OR(M$8="",$F9=""),"",COUNTIFS(EeData!$G:$G,"A",EeData!$E:$E,"&gt;="&amp;$B9,EeData!$E:$E,"&lt;" &amp; IF($D9="",200,$D9),EeData!$F:$F,"&gt;="&amp;M$2,EeData!$F:$F,"&lt;" &amp; IF(M$4="",100,M$4)))</f>
        <v/>
      </c>
      <c r="N9" s="32" t="str">
        <f>IF(OR(N$8="",$F9=""),"",COUNTIFS(EeData!$G:$G,"A",EeData!$E:$E,"&gt;="&amp;$B9,EeData!$E:$E,"&lt;" &amp; IF($D9="",200,$D9),EeData!$F:$F,"&gt;="&amp;N$2,EeData!$F:$F,"&lt;" &amp; IF(N$4="",100,N$4)))</f>
        <v/>
      </c>
      <c r="O9" s="32" t="str">
        <f>IF(OR(O$8="",$F9=""),"",COUNTIFS(EeData!$G:$G,"A",EeData!$E:$E,"&gt;="&amp;$B9,EeData!$E:$E,"&lt;" &amp; IF($D9="",200,$D9),EeData!$F:$F,"&gt;="&amp;O$2,EeData!$F:$F,"&lt;" &amp; IF(O$4="",100,O$4)))</f>
        <v/>
      </c>
      <c r="P9" s="32" t="str">
        <f>IF(OR(P$8="",$F9=""),"",COUNTIFS(EeData!$G:$G,"A",EeData!$E:$E,"&gt;="&amp;$B9,EeData!$E:$E,"&lt;" &amp; IF($D9="",200,$D9),EeData!$F:$F,"&gt;="&amp;P$2,EeData!$F:$F,"&lt;" &amp; IF(P$4="",100,P$4)))</f>
        <v/>
      </c>
      <c r="Q9" s="32" t="str">
        <f>IF(OR(Q$8="",$F9=""),"",COUNTIFS(EeData!$G:$G,"A",EeData!$E:$E,"&gt;="&amp;$B9,EeData!$E:$E,"&lt;" &amp; IF($D9="",200,$D9),EeData!$F:$F,"&gt;="&amp;Q$2,EeData!$F:$F,"&lt;" &amp; IF(Q$4="",100,Q$4)))</f>
        <v/>
      </c>
      <c r="R9" s="30">
        <f>SUM(G9:Q9)</f>
        <v>0</v>
      </c>
    </row>
    <row r="10" spans="2:18" ht="15.75" thickBot="1" x14ac:dyDescent="0.3">
      <c r="B10" s="13">
        <f>IF(D9="","",D9)</f>
        <v>20</v>
      </c>
      <c r="C10" s="14"/>
      <c r="D10" s="15">
        <f>D9+10</f>
        <v>30</v>
      </c>
      <c r="F10" s="41" t="str">
        <f t="shared" si="3"/>
        <v>20 - 30</v>
      </c>
      <c r="G10" s="32">
        <f>IF(OR(G$8="",$F10=""),"",COUNTIFS(EeData!$G:$G,"A",EeData!$E:$E,"&gt;="&amp;$B10,EeData!$E:$E,"&lt;" &amp; IF($D10="",200,$D10),EeData!$F:$F,"&gt;="&amp;G$2,EeData!$F:$F,"&lt;" &amp; IF(G$4="",100,G$4)))</f>
        <v>1</v>
      </c>
      <c r="H10" s="32">
        <f>IF(OR(H$8="",$F10=""),"",COUNTIFS(EeData!$G:$G,"A",EeData!$E:$E,"&gt;="&amp;$B10,EeData!$E:$E,"&lt;" &amp; IF($D10="",200,$D10),EeData!$F:$F,"&gt;="&amp;H$2,EeData!$F:$F,"&lt;" &amp; IF(H$4="",100,H$4)))</f>
        <v>1</v>
      </c>
      <c r="I10" s="32">
        <f>IF(OR(I$8="",$F10=""),"",COUNTIFS(EeData!$G:$G,"A",EeData!$E:$E,"&gt;="&amp;$B10,EeData!$E:$E,"&lt;" &amp; IF($D10="",200,$D10),EeData!$F:$F,"&gt;="&amp;I$2,EeData!$F:$F,"&lt;" &amp; IF(I$4="",100,I$4)))</f>
        <v>1</v>
      </c>
      <c r="J10" s="32">
        <f>IF(OR(J$8="",$F10=""),"",COUNTIFS(EeData!$G:$G,"A",EeData!$E:$E,"&gt;="&amp;$B10,EeData!$E:$E,"&lt;" &amp; IF($D10="",200,$D10),EeData!$F:$F,"&gt;="&amp;J$2,EeData!$F:$F,"&lt;" &amp; IF(J$4="",100,J$4)))</f>
        <v>0</v>
      </c>
      <c r="K10" s="32">
        <f>IF(OR(K$8="",$F10=""),"",COUNTIFS(EeData!$G:$G,"A",EeData!$E:$E,"&gt;="&amp;$B10,EeData!$E:$E,"&lt;" &amp; IF($D10="",200,$D10),EeData!$F:$F,"&gt;="&amp;K$2,EeData!$F:$F,"&lt;" &amp; IF(K$4="",100,K$4)))</f>
        <v>0</v>
      </c>
      <c r="L10" s="32">
        <f>IF(OR(L$8="",$F10=""),"",COUNTIFS(EeData!$G:$G,"A",EeData!$E:$E,"&gt;="&amp;$B10,EeData!$E:$E,"&lt;" &amp; IF($D10="",200,$D10),EeData!$F:$F,"&gt;="&amp;L$2,EeData!$F:$F,"&lt;" &amp; IF(L$4="",100,L$4)))</f>
        <v>0</v>
      </c>
      <c r="M10" s="32" t="str">
        <f>IF(OR(M$8="",$F10=""),"",COUNTIFS(EeData!$G:$G,"A",EeData!$E:$E,"&gt;="&amp;$B10,EeData!$E:$E,"&lt;" &amp; IF($D10="",200,$D10),EeData!$F:$F,"&gt;="&amp;M$2,EeData!$F:$F,"&lt;" &amp; IF(M$4="",100,M$4)))</f>
        <v/>
      </c>
      <c r="N10" s="32" t="str">
        <f>IF(OR(N$8="",$F10=""),"",COUNTIFS(EeData!$G:$G,"A",EeData!$E:$E,"&gt;="&amp;$B10,EeData!$E:$E,"&lt;" &amp; IF($D10="",200,$D10),EeData!$F:$F,"&gt;="&amp;N$2,EeData!$F:$F,"&lt;" &amp; IF(N$4="",100,N$4)))</f>
        <v/>
      </c>
      <c r="O10" s="32" t="str">
        <f>IF(OR(O$8="",$F10=""),"",COUNTIFS(EeData!$G:$G,"A",EeData!$E:$E,"&gt;="&amp;$B10,EeData!$E:$E,"&lt;" &amp; IF($D10="",200,$D10),EeData!$F:$F,"&gt;="&amp;O$2,EeData!$F:$F,"&lt;" &amp; IF(O$4="",100,O$4)))</f>
        <v/>
      </c>
      <c r="P10" s="32" t="str">
        <f>IF(OR(P$8="",$F10=""),"",COUNTIFS(EeData!$G:$G,"A",EeData!$E:$E,"&gt;="&amp;$B10,EeData!$E:$E,"&lt;" &amp; IF($D10="",200,$D10),EeData!$F:$F,"&gt;="&amp;P$2,EeData!$F:$F,"&lt;" &amp; IF(P$4="",100,P$4)))</f>
        <v/>
      </c>
      <c r="Q10" s="32" t="str">
        <f>IF(OR(Q$8="",$F10=""),"",COUNTIFS(EeData!$G:$G,"A",EeData!$E:$E,"&gt;="&amp;$B10,EeData!$E:$E,"&lt;" &amp; IF($D10="",200,$D10),EeData!$F:$F,"&gt;="&amp;Q$2,EeData!$F:$F,"&lt;" &amp; IF(Q$4="",100,Q$4)))</f>
        <v/>
      </c>
      <c r="R10" s="30">
        <f t="shared" ref="R10:R24" si="4">SUM(G10:Q10)</f>
        <v>3</v>
      </c>
    </row>
    <row r="11" spans="2:18" ht="15.75" thickBot="1" x14ac:dyDescent="0.3">
      <c r="B11" s="13">
        <f t="shared" ref="B11:B25" si="5">IF(D10="","",D10)</f>
        <v>30</v>
      </c>
      <c r="C11" s="14"/>
      <c r="D11" s="15">
        <f t="shared" ref="D11:D18" si="6">D10+10</f>
        <v>40</v>
      </c>
      <c r="F11" s="41" t="str">
        <f t="shared" si="3"/>
        <v>30 - 40</v>
      </c>
      <c r="G11" s="32">
        <f>IF(OR(G$8="",$F11=""),"",COUNTIFS(EeData!$G:$G,"A",EeData!$E:$E,"&gt;="&amp;$B11,EeData!$E:$E,"&lt;" &amp; IF($D11="",200,$D11),EeData!$F:$F,"&gt;="&amp;G$2,EeData!$F:$F,"&lt;" &amp; IF(G$4="",100,G$4)))</f>
        <v>4</v>
      </c>
      <c r="H11" s="32">
        <f>IF(OR(H$8="",$F11=""),"",COUNTIFS(EeData!$G:$G,"A",EeData!$E:$E,"&gt;="&amp;$B11,EeData!$E:$E,"&lt;" &amp; IF($D11="",200,$D11),EeData!$F:$F,"&gt;="&amp;H$2,EeData!$F:$F,"&lt;" &amp; IF(H$4="",100,H$4)))</f>
        <v>4</v>
      </c>
      <c r="I11" s="32">
        <f>IF(OR(I$8="",$F11=""),"",COUNTIFS(EeData!$G:$G,"A",EeData!$E:$E,"&gt;="&amp;$B11,EeData!$E:$E,"&lt;" &amp; IF($D11="",200,$D11),EeData!$F:$F,"&gt;="&amp;I$2,EeData!$F:$F,"&lt;" &amp; IF(I$4="",100,I$4)))</f>
        <v>3</v>
      </c>
      <c r="J11" s="32">
        <f>IF(OR(J$8="",$F11=""),"",COUNTIFS(EeData!$G:$G,"A",EeData!$E:$E,"&gt;="&amp;$B11,EeData!$E:$E,"&lt;" &amp; IF($D11="",200,$D11),EeData!$F:$F,"&gt;="&amp;J$2,EeData!$F:$F,"&lt;" &amp; IF(J$4="",100,J$4)))</f>
        <v>0</v>
      </c>
      <c r="K11" s="32">
        <f>IF(OR(K$8="",$F11=""),"",COUNTIFS(EeData!$G:$G,"A",EeData!$E:$E,"&gt;="&amp;$B11,EeData!$E:$E,"&lt;" &amp; IF($D11="",200,$D11),EeData!$F:$F,"&gt;="&amp;K$2,EeData!$F:$F,"&lt;" &amp; IF(K$4="",100,K$4)))</f>
        <v>0</v>
      </c>
      <c r="L11" s="32">
        <f>IF(OR(L$8="",$F11=""),"",COUNTIFS(EeData!$G:$G,"A",EeData!$E:$E,"&gt;="&amp;$B11,EeData!$E:$E,"&lt;" &amp; IF($D11="",200,$D11),EeData!$F:$F,"&gt;="&amp;L$2,EeData!$F:$F,"&lt;" &amp; IF(L$4="",100,L$4)))</f>
        <v>0</v>
      </c>
      <c r="M11" s="32" t="str">
        <f>IF(OR(M$8="",$F11=""),"",COUNTIFS(EeData!$G:$G,"A",EeData!$E:$E,"&gt;="&amp;$B11,EeData!$E:$E,"&lt;" &amp; IF($D11="",200,$D11),EeData!$F:$F,"&gt;="&amp;M$2,EeData!$F:$F,"&lt;" &amp; IF(M$4="",100,M$4)))</f>
        <v/>
      </c>
      <c r="N11" s="32" t="str">
        <f>IF(OR(N$8="",$F11=""),"",COUNTIFS(EeData!$G:$G,"A",EeData!$E:$E,"&gt;="&amp;$B11,EeData!$E:$E,"&lt;" &amp; IF($D11="",200,$D11),EeData!$F:$F,"&gt;="&amp;N$2,EeData!$F:$F,"&lt;" &amp; IF(N$4="",100,N$4)))</f>
        <v/>
      </c>
      <c r="O11" s="32" t="str">
        <f>IF(OR(O$8="",$F11=""),"",COUNTIFS(EeData!$G:$G,"A",EeData!$E:$E,"&gt;="&amp;$B11,EeData!$E:$E,"&lt;" &amp; IF($D11="",200,$D11),EeData!$F:$F,"&gt;="&amp;O$2,EeData!$F:$F,"&lt;" &amp; IF(O$4="",100,O$4)))</f>
        <v/>
      </c>
      <c r="P11" s="32" t="str">
        <f>IF(OR(P$8="",$F11=""),"",COUNTIFS(EeData!$G:$G,"A",EeData!$E:$E,"&gt;="&amp;$B11,EeData!$E:$E,"&lt;" &amp; IF($D11="",200,$D11),EeData!$F:$F,"&gt;="&amp;P$2,EeData!$F:$F,"&lt;" &amp; IF(P$4="",100,P$4)))</f>
        <v/>
      </c>
      <c r="Q11" s="32" t="str">
        <f>IF(OR(Q$8="",$F11=""),"",COUNTIFS(EeData!$G:$G,"A",EeData!$E:$E,"&gt;="&amp;$B11,EeData!$E:$E,"&lt;" &amp; IF($D11="",200,$D11),EeData!$F:$F,"&gt;="&amp;Q$2,EeData!$F:$F,"&lt;" &amp; IF(Q$4="",100,Q$4)))</f>
        <v/>
      </c>
      <c r="R11" s="30">
        <f t="shared" si="4"/>
        <v>11</v>
      </c>
    </row>
    <row r="12" spans="2:18" ht="15.75" thickBot="1" x14ac:dyDescent="0.3">
      <c r="B12" s="13">
        <f t="shared" si="5"/>
        <v>40</v>
      </c>
      <c r="C12" s="14"/>
      <c r="D12" s="15">
        <f t="shared" si="6"/>
        <v>50</v>
      </c>
      <c r="F12" s="41" t="str">
        <f t="shared" si="3"/>
        <v>40 - 50</v>
      </c>
      <c r="G12" s="32">
        <f>IF(OR(G$8="",$F12=""),"",COUNTIFS(EeData!$G:$G,"A",EeData!$E:$E,"&gt;="&amp;$B12,EeData!$E:$E,"&lt;" &amp; IF($D12="",200,$D12),EeData!$F:$F,"&gt;="&amp;G$2,EeData!$F:$F,"&lt;" &amp; IF(G$4="",100,G$4)))</f>
        <v>2</v>
      </c>
      <c r="H12" s="32">
        <f>IF(OR(H$8="",$F12=""),"",COUNTIFS(EeData!$G:$G,"A",EeData!$E:$E,"&gt;="&amp;$B12,EeData!$E:$E,"&lt;" &amp; IF($D12="",200,$D12),EeData!$F:$F,"&gt;="&amp;H$2,EeData!$F:$F,"&lt;" &amp; IF(H$4="",100,H$4)))</f>
        <v>2</v>
      </c>
      <c r="I12" s="32">
        <f>IF(OR(I$8="",$F12=""),"",COUNTIFS(EeData!$G:$G,"A",EeData!$E:$E,"&gt;="&amp;$B12,EeData!$E:$E,"&lt;" &amp; IF($D12="",200,$D12),EeData!$F:$F,"&gt;="&amp;I$2,EeData!$F:$F,"&lt;" &amp; IF(I$4="",100,I$4)))</f>
        <v>5</v>
      </c>
      <c r="J12" s="32">
        <f>IF(OR(J$8="",$F12=""),"",COUNTIFS(EeData!$G:$G,"A",EeData!$E:$E,"&gt;="&amp;$B12,EeData!$E:$E,"&lt;" &amp; IF($D12="",200,$D12),EeData!$F:$F,"&gt;="&amp;J$2,EeData!$F:$F,"&lt;" &amp; IF(J$4="",100,J$4)))</f>
        <v>3</v>
      </c>
      <c r="K12" s="32">
        <f>IF(OR(K$8="",$F12=""),"",COUNTIFS(EeData!$G:$G,"A",EeData!$E:$E,"&gt;="&amp;$B12,EeData!$E:$E,"&lt;" &amp; IF($D12="",200,$D12),EeData!$F:$F,"&gt;="&amp;K$2,EeData!$F:$F,"&lt;" &amp; IF(K$4="",100,K$4)))</f>
        <v>1</v>
      </c>
      <c r="L12" s="32">
        <f>IF(OR(L$8="",$F12=""),"",COUNTIFS(EeData!$G:$G,"A",EeData!$E:$E,"&gt;="&amp;$B12,EeData!$E:$E,"&lt;" &amp; IF($D12="",200,$D12),EeData!$F:$F,"&gt;="&amp;L$2,EeData!$F:$F,"&lt;" &amp; IF(L$4="",100,L$4)))</f>
        <v>0</v>
      </c>
      <c r="M12" s="32" t="str">
        <f>IF(OR(M$8="",$F12=""),"",COUNTIFS(EeData!$G:$G,"A",EeData!$E:$E,"&gt;="&amp;$B12,EeData!$E:$E,"&lt;" &amp; IF($D12="",200,$D12),EeData!$F:$F,"&gt;="&amp;M$2,EeData!$F:$F,"&lt;" &amp; IF(M$4="",100,M$4)))</f>
        <v/>
      </c>
      <c r="N12" s="32" t="str">
        <f>IF(OR(N$8="",$F12=""),"",COUNTIFS(EeData!$G:$G,"A",EeData!$E:$E,"&gt;="&amp;$B12,EeData!$E:$E,"&lt;" &amp; IF($D12="",200,$D12),EeData!$F:$F,"&gt;="&amp;N$2,EeData!$F:$F,"&lt;" &amp; IF(N$4="",100,N$4)))</f>
        <v/>
      </c>
      <c r="O12" s="32" t="str">
        <f>IF(OR(O$8="",$F12=""),"",COUNTIFS(EeData!$G:$G,"A",EeData!$E:$E,"&gt;="&amp;$B12,EeData!$E:$E,"&lt;" &amp; IF($D12="",200,$D12),EeData!$F:$F,"&gt;="&amp;O$2,EeData!$F:$F,"&lt;" &amp; IF(O$4="",100,O$4)))</f>
        <v/>
      </c>
      <c r="P12" s="32" t="str">
        <f>IF(OR(P$8="",$F12=""),"",COUNTIFS(EeData!$G:$G,"A",EeData!$E:$E,"&gt;="&amp;$B12,EeData!$E:$E,"&lt;" &amp; IF($D12="",200,$D12),EeData!$F:$F,"&gt;="&amp;P$2,EeData!$F:$F,"&lt;" &amp; IF(P$4="",100,P$4)))</f>
        <v/>
      </c>
      <c r="Q12" s="32" t="str">
        <f>IF(OR(Q$8="",$F12=""),"",COUNTIFS(EeData!$G:$G,"A",EeData!$E:$E,"&gt;="&amp;$B12,EeData!$E:$E,"&lt;" &amp; IF($D12="",200,$D12),EeData!$F:$F,"&gt;="&amp;Q$2,EeData!$F:$F,"&lt;" &amp; IF(Q$4="",100,Q$4)))</f>
        <v/>
      </c>
      <c r="R12" s="30">
        <f t="shared" si="4"/>
        <v>13</v>
      </c>
    </row>
    <row r="13" spans="2:18" ht="15.75" thickBot="1" x14ac:dyDescent="0.3">
      <c r="B13" s="13">
        <f t="shared" si="5"/>
        <v>50</v>
      </c>
      <c r="C13" s="14"/>
      <c r="D13" s="15">
        <f t="shared" si="6"/>
        <v>60</v>
      </c>
      <c r="F13" s="41" t="str">
        <f t="shared" si="3"/>
        <v>50 - 60</v>
      </c>
      <c r="G13" s="32">
        <f>IF(OR(G$8="",$F13=""),"",COUNTIFS(EeData!$G:$G,"A",EeData!$E:$E,"&gt;="&amp;$B13,EeData!$E:$E,"&lt;" &amp; IF($D13="",200,$D13),EeData!$F:$F,"&gt;="&amp;G$2,EeData!$F:$F,"&lt;" &amp; IF(G$4="",100,G$4)))</f>
        <v>0</v>
      </c>
      <c r="H13" s="32">
        <f>IF(OR(H$8="",$F13=""),"",COUNTIFS(EeData!$G:$G,"A",EeData!$E:$E,"&gt;="&amp;$B13,EeData!$E:$E,"&lt;" &amp; IF($D13="",200,$D13),EeData!$F:$F,"&gt;="&amp;H$2,EeData!$F:$F,"&lt;" &amp; IF(H$4="",100,H$4)))</f>
        <v>4</v>
      </c>
      <c r="I13" s="32">
        <f>IF(OR(I$8="",$F13=""),"",COUNTIFS(EeData!$G:$G,"A",EeData!$E:$E,"&gt;="&amp;$B13,EeData!$E:$E,"&lt;" &amp; IF($D13="",200,$D13),EeData!$F:$F,"&gt;="&amp;I$2,EeData!$F:$F,"&lt;" &amp; IF(I$4="",100,I$4)))</f>
        <v>2</v>
      </c>
      <c r="J13" s="32">
        <f>IF(OR(J$8="",$F13=""),"",COUNTIFS(EeData!$G:$G,"A",EeData!$E:$E,"&gt;="&amp;$B13,EeData!$E:$E,"&lt;" &amp; IF($D13="",200,$D13),EeData!$F:$F,"&gt;="&amp;J$2,EeData!$F:$F,"&lt;" &amp; IF(J$4="",100,J$4)))</f>
        <v>0</v>
      </c>
      <c r="K13" s="32">
        <f>IF(OR(K$8="",$F13=""),"",COUNTIFS(EeData!$G:$G,"A",EeData!$E:$E,"&gt;="&amp;$B13,EeData!$E:$E,"&lt;" &amp; IF($D13="",200,$D13),EeData!$F:$F,"&gt;="&amp;K$2,EeData!$F:$F,"&lt;" &amp; IF(K$4="",100,K$4)))</f>
        <v>2</v>
      </c>
      <c r="L13" s="32">
        <f>IF(OR(L$8="",$F13=""),"",COUNTIFS(EeData!$G:$G,"A",EeData!$E:$E,"&gt;="&amp;$B13,EeData!$E:$E,"&lt;" &amp; IF($D13="",200,$D13),EeData!$F:$F,"&gt;="&amp;L$2,EeData!$F:$F,"&lt;" &amp; IF(L$4="",100,L$4)))</f>
        <v>1</v>
      </c>
      <c r="M13" s="32" t="str">
        <f>IF(OR(M$8="",$F13=""),"",COUNTIFS(EeData!$G:$G,"A",EeData!$E:$E,"&gt;="&amp;$B13,EeData!$E:$E,"&lt;" &amp; IF($D13="",200,$D13),EeData!$F:$F,"&gt;="&amp;M$2,EeData!$F:$F,"&lt;" &amp; IF(M$4="",100,M$4)))</f>
        <v/>
      </c>
      <c r="N13" s="32" t="str">
        <f>IF(OR(N$8="",$F13=""),"",COUNTIFS(EeData!$G:$G,"A",EeData!$E:$E,"&gt;="&amp;$B13,EeData!$E:$E,"&lt;" &amp; IF($D13="",200,$D13),EeData!$F:$F,"&gt;="&amp;N$2,EeData!$F:$F,"&lt;" &amp; IF(N$4="",100,N$4)))</f>
        <v/>
      </c>
      <c r="O13" s="32" t="str">
        <f>IF(OR(O$8="",$F13=""),"",COUNTIFS(EeData!$G:$G,"A",EeData!$E:$E,"&gt;="&amp;$B13,EeData!$E:$E,"&lt;" &amp; IF($D13="",200,$D13),EeData!$F:$F,"&gt;="&amp;O$2,EeData!$F:$F,"&lt;" &amp; IF(O$4="",100,O$4)))</f>
        <v/>
      </c>
      <c r="P13" s="32" t="str">
        <f>IF(OR(P$8="",$F13=""),"",COUNTIFS(EeData!$G:$G,"A",EeData!$E:$E,"&gt;="&amp;$B13,EeData!$E:$E,"&lt;" &amp; IF($D13="",200,$D13),EeData!$F:$F,"&gt;="&amp;P$2,EeData!$F:$F,"&lt;" &amp; IF(P$4="",100,P$4)))</f>
        <v/>
      </c>
      <c r="Q13" s="32" t="str">
        <f>IF(OR(Q$8="",$F13=""),"",COUNTIFS(EeData!$G:$G,"A",EeData!$E:$E,"&gt;="&amp;$B13,EeData!$E:$E,"&lt;" &amp; IF($D13="",200,$D13),EeData!$F:$F,"&gt;="&amp;Q$2,EeData!$F:$F,"&lt;" &amp; IF(Q$4="",100,Q$4)))</f>
        <v/>
      </c>
      <c r="R13" s="30">
        <f t="shared" si="4"/>
        <v>9</v>
      </c>
    </row>
    <row r="14" spans="2:18" ht="15.75" thickBot="1" x14ac:dyDescent="0.3">
      <c r="B14" s="13">
        <f t="shared" si="5"/>
        <v>60</v>
      </c>
      <c r="C14" s="14"/>
      <c r="D14" s="15"/>
      <c r="F14" s="41" t="str">
        <f>IF(B14="","",IF(B14=0,"&lt;"&amp;D14,IF(D14="",B14&amp;" &lt;=",B14&amp;" - "&amp;D14)))</f>
        <v>60 &lt;=</v>
      </c>
      <c r="G14" s="32">
        <f>IF(OR(G$8="",$F14=""),"",COUNTIFS(EeData!$G:$G,"A",EeData!$E:$E,"&gt;="&amp;$B14,EeData!$E:$E,"&lt;" &amp; IF($D14="",200,$D14),EeData!$F:$F,"&gt;="&amp;G$2,EeData!$F:$F,"&lt;" &amp; IF(G$4="",100,G$4)))</f>
        <v>0</v>
      </c>
      <c r="H14" s="32">
        <f>IF(OR(H$8="",$F14=""),"",COUNTIFS(EeData!$G:$G,"A",EeData!$E:$E,"&gt;="&amp;$B14,EeData!$E:$E,"&lt;" &amp; IF($D14="",200,$D14),EeData!$F:$F,"&gt;="&amp;H$2,EeData!$F:$F,"&lt;" &amp; IF(H$4="",100,H$4)))</f>
        <v>0</v>
      </c>
      <c r="I14" s="32">
        <f>IF(OR(I$8="",$F14=""),"",COUNTIFS(EeData!$G:$G,"A",EeData!$E:$E,"&gt;="&amp;$B14,EeData!$E:$E,"&lt;" &amp; IF($D14="",200,$D14),EeData!$F:$F,"&gt;="&amp;I$2,EeData!$F:$F,"&lt;" &amp; IF(I$4="",100,I$4)))</f>
        <v>0</v>
      </c>
      <c r="J14" s="32">
        <f>IF(OR(J$8="",$F14=""),"",COUNTIFS(EeData!$G:$G,"A",EeData!$E:$E,"&gt;="&amp;$B14,EeData!$E:$E,"&lt;" &amp; IF($D14="",200,$D14),EeData!$F:$F,"&gt;="&amp;J$2,EeData!$F:$F,"&lt;" &amp; IF(J$4="",100,J$4)))</f>
        <v>0</v>
      </c>
      <c r="K14" s="32">
        <f>IF(OR(K$8="",$F14=""),"",COUNTIFS(EeData!$G:$G,"A",EeData!$E:$E,"&gt;="&amp;$B14,EeData!$E:$E,"&lt;" &amp; IF($D14="",200,$D14),EeData!$F:$F,"&gt;="&amp;K$2,EeData!$F:$F,"&lt;" &amp; IF(K$4="",100,K$4)))</f>
        <v>0</v>
      </c>
      <c r="L14" s="32">
        <f>IF(OR(L$8="",$F14=""),"",COUNTIFS(EeData!$G:$G,"A",EeData!$E:$E,"&gt;="&amp;$B14,EeData!$E:$E,"&lt;" &amp; IF($D14="",200,$D14),EeData!$F:$F,"&gt;="&amp;L$2,EeData!$F:$F,"&lt;" &amp; IF(L$4="",100,L$4)))</f>
        <v>1</v>
      </c>
      <c r="M14" s="32" t="str">
        <f>IF(OR(M$8="",$F14=""),"",COUNTIFS(EeData!$G:$G,"A",EeData!$E:$E,"&gt;="&amp;$B14,EeData!$E:$E,"&lt;" &amp; IF($D14="",200,$D14),EeData!$F:$F,"&gt;="&amp;M$2,EeData!$F:$F,"&lt;" &amp; IF(M$4="",100,M$4)))</f>
        <v/>
      </c>
      <c r="N14" s="32" t="str">
        <f>IF(OR(N$8="",$F14=""),"",COUNTIFS(EeData!$G:$G,"A",EeData!$E:$E,"&gt;="&amp;$B14,EeData!$E:$E,"&lt;" &amp; IF($D14="",200,$D14),EeData!$F:$F,"&gt;="&amp;N$2,EeData!$F:$F,"&lt;" &amp; IF(N$4="",100,N$4)))</f>
        <v/>
      </c>
      <c r="O14" s="32" t="str">
        <f>IF(OR(O$8="",$F14=""),"",COUNTIFS(EeData!$G:$G,"A",EeData!$E:$E,"&gt;="&amp;$B14,EeData!$E:$E,"&lt;" &amp; IF($D14="",200,$D14),EeData!$F:$F,"&gt;="&amp;O$2,EeData!$F:$F,"&lt;" &amp; IF(O$4="",100,O$4)))</f>
        <v/>
      </c>
      <c r="P14" s="32" t="str">
        <f>IF(OR(P$8="",$F14=""),"",COUNTIFS(EeData!$G:$G,"A",EeData!$E:$E,"&gt;="&amp;$B14,EeData!$E:$E,"&lt;" &amp; IF($D14="",200,$D14),EeData!$F:$F,"&gt;="&amp;P$2,EeData!$F:$F,"&lt;" &amp; IF(P$4="",100,P$4)))</f>
        <v/>
      </c>
      <c r="Q14" s="32" t="str">
        <f>IF(OR(Q$8="",$F14=""),"",COUNTIFS(EeData!$G:$G,"A",EeData!$E:$E,"&gt;="&amp;$B14,EeData!$E:$E,"&lt;" &amp; IF($D14="",200,$D14),EeData!$F:$F,"&gt;="&amp;Q$2,EeData!$F:$F,"&lt;" &amp; IF(Q$4="",100,Q$4)))</f>
        <v/>
      </c>
      <c r="R14" s="30">
        <f t="shared" si="4"/>
        <v>1</v>
      </c>
    </row>
    <row r="15" spans="2:18" ht="15.75" thickBot="1" x14ac:dyDescent="0.3">
      <c r="B15" s="13" t="str">
        <f t="shared" si="5"/>
        <v/>
      </c>
      <c r="C15" s="14"/>
      <c r="D15" s="15"/>
      <c r="F15" s="41" t="str">
        <f t="shared" si="3"/>
        <v/>
      </c>
      <c r="G15" s="32" t="str">
        <f>IF(OR(G$8="",$F15=""),"",COUNTIFS(EeData!$G:$G,"A",EeData!$E:$E,"&gt;="&amp;$B15,EeData!$E:$E,"&lt;" &amp; IF($D15="",200,$D15),EeData!$F:$F,"&gt;="&amp;G$2,EeData!$F:$F,"&lt;" &amp; IF(G$4="",100,G$4)))</f>
        <v/>
      </c>
      <c r="H15" s="32" t="str">
        <f>IF(OR(H$8="",$F15=""),"",COUNTIFS(EeData!$G:$G,"A",EeData!$E:$E,"&gt;="&amp;$B15,EeData!$E:$E,"&lt;" &amp; IF($D15="",200,$D15),EeData!$F:$F,"&gt;="&amp;H$2,EeData!$F:$F,"&lt;" &amp; IF(H$4="",100,H$4)))</f>
        <v/>
      </c>
      <c r="I15" s="32" t="str">
        <f>IF(OR(I$8="",$F15=""),"",COUNTIFS(EeData!$G:$G,"A",EeData!$E:$E,"&gt;="&amp;$B15,EeData!$E:$E,"&lt;" &amp; IF($D15="",200,$D15),EeData!$F:$F,"&gt;="&amp;I$2,EeData!$F:$F,"&lt;" &amp; IF(I$4="",100,I$4)))</f>
        <v/>
      </c>
      <c r="J15" s="32" t="str">
        <f>IF(OR(J$8="",$F15=""),"",COUNTIFS(EeData!$G:$G,"A",EeData!$E:$E,"&gt;="&amp;$B15,EeData!$E:$E,"&lt;" &amp; IF($D15="",200,$D15),EeData!$F:$F,"&gt;="&amp;J$2,EeData!$F:$F,"&lt;" &amp; IF(J$4="",100,J$4)))</f>
        <v/>
      </c>
      <c r="K15" s="32" t="str">
        <f>IF(OR(K$8="",$F15=""),"",COUNTIFS(EeData!$G:$G,"A",EeData!$E:$E,"&gt;="&amp;$B15,EeData!$E:$E,"&lt;" &amp; IF($D15="",200,$D15),EeData!$F:$F,"&gt;="&amp;K$2,EeData!$F:$F,"&lt;" &amp; IF(K$4="",100,K$4)))</f>
        <v/>
      </c>
      <c r="L15" s="32" t="str">
        <f>IF(OR(L$8="",$F15=""),"",COUNTIFS(EeData!$G:$G,"A",EeData!$E:$E,"&gt;="&amp;$B15,EeData!$E:$E,"&lt;" &amp; IF($D15="",200,$D15),EeData!$F:$F,"&gt;="&amp;L$2,EeData!$F:$F,"&lt;" &amp; IF(L$4="",100,L$4)))</f>
        <v/>
      </c>
      <c r="M15" s="32" t="str">
        <f>IF(OR(M$8="",$F15=""),"",COUNTIFS(EeData!$G:$G,"A",EeData!$E:$E,"&gt;="&amp;$B15,EeData!$E:$E,"&lt;" &amp; IF($D15="",200,$D15),EeData!$F:$F,"&gt;="&amp;M$2,EeData!$F:$F,"&lt;" &amp; IF(M$4="",100,M$4)))</f>
        <v/>
      </c>
      <c r="N15" s="32" t="str">
        <f>IF(OR(N$8="",$F15=""),"",COUNTIFS(EeData!$G:$G,"A",EeData!$E:$E,"&gt;="&amp;$B15,EeData!$E:$E,"&lt;" &amp; IF($D15="",200,$D15),EeData!$F:$F,"&gt;="&amp;N$2,EeData!$F:$F,"&lt;" &amp; IF(N$4="",100,N$4)))</f>
        <v/>
      </c>
      <c r="O15" s="32" t="str">
        <f>IF(OR(O$8="",$F15=""),"",COUNTIFS(EeData!$G:$G,"A",EeData!$E:$E,"&gt;="&amp;$B15,EeData!$E:$E,"&lt;" &amp; IF($D15="",200,$D15),EeData!$F:$F,"&gt;="&amp;O$2,EeData!$F:$F,"&lt;" &amp; IF(O$4="",100,O$4)))</f>
        <v/>
      </c>
      <c r="P15" s="32" t="str">
        <f>IF(OR(P$8="",$F15=""),"",COUNTIFS(EeData!$G:$G,"A",EeData!$E:$E,"&gt;="&amp;$B15,EeData!$E:$E,"&lt;" &amp; IF($D15="",200,$D15),EeData!$F:$F,"&gt;="&amp;P$2,EeData!$F:$F,"&lt;" &amp; IF(P$4="",100,P$4)))</f>
        <v/>
      </c>
      <c r="Q15" s="32" t="str">
        <f>IF(OR(Q$8="",$F15=""),"",COUNTIFS(EeData!$G:$G,"A",EeData!$E:$E,"&gt;="&amp;$B15,EeData!$E:$E,"&lt;" &amp; IF($D15="",200,$D15),EeData!$F:$F,"&gt;="&amp;Q$2,EeData!$F:$F,"&lt;" &amp; IF(Q$4="",100,Q$4)))</f>
        <v/>
      </c>
      <c r="R15" s="30">
        <f t="shared" si="4"/>
        <v>0</v>
      </c>
    </row>
    <row r="16" spans="2:18" ht="15.75" thickBot="1" x14ac:dyDescent="0.3">
      <c r="B16" s="13" t="str">
        <f t="shared" si="5"/>
        <v/>
      </c>
      <c r="C16" s="14"/>
      <c r="D16" s="15"/>
      <c r="F16" s="41" t="str">
        <f t="shared" si="3"/>
        <v/>
      </c>
      <c r="G16" s="32" t="str">
        <f>IF(OR(G$8="",$F16=""),"",COUNTIFS(EeData!$G:$G,"A",EeData!$E:$E,"&gt;="&amp;$B16,EeData!$E:$E,"&lt;" &amp; IF($D16="",200,$D16),EeData!$F:$F,"&gt;="&amp;G$2,EeData!$F:$F,"&lt;" &amp; IF(G$4="",100,G$4)))</f>
        <v/>
      </c>
      <c r="H16" s="32" t="str">
        <f>IF(OR(H$8="",$F16=""),"",COUNTIFS(EeData!$G:$G,"A",EeData!$E:$E,"&gt;="&amp;$B16,EeData!$E:$E,"&lt;" &amp; IF($D16="",200,$D16),EeData!$F:$F,"&gt;="&amp;H$2,EeData!$F:$F,"&lt;" &amp; IF(H$4="",100,H$4)))</f>
        <v/>
      </c>
      <c r="I16" s="32" t="str">
        <f>IF(OR(I$8="",$F16=""),"",COUNTIFS(EeData!$G:$G,"A",EeData!$E:$E,"&gt;="&amp;$B16,EeData!$E:$E,"&lt;" &amp; IF($D16="",200,$D16),EeData!$F:$F,"&gt;="&amp;I$2,EeData!$F:$F,"&lt;" &amp; IF(I$4="",100,I$4)))</f>
        <v/>
      </c>
      <c r="J16" s="32" t="str">
        <f>IF(OR(J$8="",$F16=""),"",COUNTIFS(EeData!$G:$G,"A",EeData!$E:$E,"&gt;="&amp;$B16,EeData!$E:$E,"&lt;" &amp; IF($D16="",200,$D16),EeData!$F:$F,"&gt;="&amp;J$2,EeData!$F:$F,"&lt;" &amp; IF(J$4="",100,J$4)))</f>
        <v/>
      </c>
      <c r="K16" s="32" t="str">
        <f>IF(OR(K$8="",$F16=""),"",COUNTIFS(EeData!$G:$G,"A",EeData!$E:$E,"&gt;="&amp;$B16,EeData!$E:$E,"&lt;" &amp; IF($D16="",200,$D16),EeData!$F:$F,"&gt;="&amp;K$2,EeData!$F:$F,"&lt;" &amp; IF(K$4="",100,K$4)))</f>
        <v/>
      </c>
      <c r="L16" s="32" t="str">
        <f>IF(OR(L$8="",$F16=""),"",COUNTIFS(EeData!$G:$G,"A",EeData!$E:$E,"&gt;="&amp;$B16,EeData!$E:$E,"&lt;" &amp; IF($D16="",200,$D16),EeData!$F:$F,"&gt;="&amp;L$2,EeData!$F:$F,"&lt;" &amp; IF(L$4="",100,L$4)))</f>
        <v/>
      </c>
      <c r="M16" s="32" t="str">
        <f>IF(OR(M$8="",$F16=""),"",COUNTIFS(EeData!$G:$G,"A",EeData!$E:$E,"&gt;="&amp;$B16,EeData!$E:$E,"&lt;" &amp; IF($D16="",200,$D16),EeData!$F:$F,"&gt;="&amp;M$2,EeData!$F:$F,"&lt;" &amp; IF(M$4="",100,M$4)))</f>
        <v/>
      </c>
      <c r="N16" s="32" t="str">
        <f>IF(OR(N$8="",$F16=""),"",COUNTIFS(EeData!$G:$G,"A",EeData!$E:$E,"&gt;="&amp;$B16,EeData!$E:$E,"&lt;" &amp; IF($D16="",200,$D16),EeData!$F:$F,"&gt;="&amp;N$2,EeData!$F:$F,"&lt;" &amp; IF(N$4="",100,N$4)))</f>
        <v/>
      </c>
      <c r="O16" s="32" t="str">
        <f>IF(OR(O$8="",$F16=""),"",COUNTIFS(EeData!$G:$G,"A",EeData!$E:$E,"&gt;="&amp;$B16,EeData!$E:$E,"&lt;" &amp; IF($D16="",200,$D16),EeData!$F:$F,"&gt;="&amp;O$2,EeData!$F:$F,"&lt;" &amp; IF(O$4="",100,O$4)))</f>
        <v/>
      </c>
      <c r="P16" s="32" t="str">
        <f>IF(OR(P$8="",$F16=""),"",COUNTIFS(EeData!$G:$G,"A",EeData!$E:$E,"&gt;="&amp;$B16,EeData!$E:$E,"&lt;" &amp; IF($D16="",200,$D16),EeData!$F:$F,"&gt;="&amp;P$2,EeData!$F:$F,"&lt;" &amp; IF(P$4="",100,P$4)))</f>
        <v/>
      </c>
      <c r="Q16" s="32" t="str">
        <f>IF(OR(Q$8="",$F16=""),"",COUNTIFS(EeData!$G:$G,"A",EeData!$E:$E,"&gt;="&amp;$B16,EeData!$E:$E,"&lt;" &amp; IF($D16="",200,$D16),EeData!$F:$F,"&gt;="&amp;Q$2,EeData!$F:$F,"&lt;" &amp; IF(Q$4="",100,Q$4)))</f>
        <v/>
      </c>
      <c r="R16" s="30">
        <f t="shared" si="4"/>
        <v>0</v>
      </c>
    </row>
    <row r="17" spans="2:18" ht="15.75" thickBot="1" x14ac:dyDescent="0.3">
      <c r="B17" s="13" t="str">
        <f t="shared" si="5"/>
        <v/>
      </c>
      <c r="C17" s="14"/>
      <c r="D17" s="15"/>
      <c r="F17" s="41" t="str">
        <f t="shared" si="3"/>
        <v/>
      </c>
      <c r="G17" s="32" t="str">
        <f>IF(OR(G$8="",$F17=""),"",COUNTIFS(EeData!$G:$G,"A",EeData!$E:$E,"&gt;="&amp;$B17,EeData!$E:$E,"&lt;" &amp; IF($D17="",200,$D17),EeData!$F:$F,"&gt;="&amp;G$2,EeData!$F:$F,"&lt;" &amp; IF(G$4="",100,G$4)))</f>
        <v/>
      </c>
      <c r="H17" s="32" t="str">
        <f>IF(OR(H$8="",$F17=""),"",COUNTIFS(EeData!$G:$G,"A",EeData!$E:$E,"&gt;="&amp;$B17,EeData!$E:$E,"&lt;" &amp; IF($D17="",200,$D17),EeData!$F:$F,"&gt;="&amp;H$2,EeData!$F:$F,"&lt;" &amp; IF(H$4="",100,H$4)))</f>
        <v/>
      </c>
      <c r="I17" s="32" t="str">
        <f>IF(OR(I$8="",$F17=""),"",COUNTIFS(EeData!$G:$G,"A",EeData!$E:$E,"&gt;="&amp;$B17,EeData!$E:$E,"&lt;" &amp; IF($D17="",200,$D17),EeData!$F:$F,"&gt;="&amp;I$2,EeData!$F:$F,"&lt;" &amp; IF(I$4="",100,I$4)))</f>
        <v/>
      </c>
      <c r="J17" s="32" t="str">
        <f>IF(OR(J$8="",$F17=""),"",COUNTIFS(EeData!$G:$G,"A",EeData!$E:$E,"&gt;="&amp;$B17,EeData!$E:$E,"&lt;" &amp; IF($D17="",200,$D17),EeData!$F:$F,"&gt;="&amp;J$2,EeData!$F:$F,"&lt;" &amp; IF(J$4="",100,J$4)))</f>
        <v/>
      </c>
      <c r="K17" s="32" t="str">
        <f>IF(OR(K$8="",$F17=""),"",COUNTIFS(EeData!$G:$G,"A",EeData!$E:$E,"&gt;="&amp;$B17,EeData!$E:$E,"&lt;" &amp; IF($D17="",200,$D17),EeData!$F:$F,"&gt;="&amp;K$2,EeData!$F:$F,"&lt;" &amp; IF(K$4="",100,K$4)))</f>
        <v/>
      </c>
      <c r="L17" s="32" t="str">
        <f>IF(OR(L$8="",$F17=""),"",COUNTIFS(EeData!$G:$G,"A",EeData!$E:$E,"&gt;="&amp;$B17,EeData!$E:$E,"&lt;" &amp; IF($D17="",200,$D17),EeData!$F:$F,"&gt;="&amp;L$2,EeData!$F:$F,"&lt;" &amp; IF(L$4="",100,L$4)))</f>
        <v/>
      </c>
      <c r="M17" s="32" t="str">
        <f>IF(OR(M$8="",$F17=""),"",COUNTIFS(EeData!$G:$G,"A",EeData!$E:$E,"&gt;="&amp;$B17,EeData!$E:$E,"&lt;" &amp; IF($D17="",200,$D17),EeData!$F:$F,"&gt;="&amp;M$2,EeData!$F:$F,"&lt;" &amp; IF(M$4="",100,M$4)))</f>
        <v/>
      </c>
      <c r="N17" s="32" t="str">
        <f>IF(OR(N$8="",$F17=""),"",COUNTIFS(EeData!$G:$G,"A",EeData!$E:$E,"&gt;="&amp;$B17,EeData!$E:$E,"&lt;" &amp; IF($D17="",200,$D17),EeData!$F:$F,"&gt;="&amp;N$2,EeData!$F:$F,"&lt;" &amp; IF(N$4="",100,N$4)))</f>
        <v/>
      </c>
      <c r="O17" s="32" t="str">
        <f>IF(OR(O$8="",$F17=""),"",COUNTIFS(EeData!$G:$G,"A",EeData!$E:$E,"&gt;="&amp;$B17,EeData!$E:$E,"&lt;" &amp; IF($D17="",200,$D17),EeData!$F:$F,"&gt;="&amp;O$2,EeData!$F:$F,"&lt;" &amp; IF(O$4="",100,O$4)))</f>
        <v/>
      </c>
      <c r="P17" s="32" t="str">
        <f>IF(OR(P$8="",$F17=""),"",COUNTIFS(EeData!$G:$G,"A",EeData!$E:$E,"&gt;="&amp;$B17,EeData!$E:$E,"&lt;" &amp; IF($D17="",200,$D17),EeData!$F:$F,"&gt;="&amp;P$2,EeData!$F:$F,"&lt;" &amp; IF(P$4="",100,P$4)))</f>
        <v/>
      </c>
      <c r="Q17" s="32" t="str">
        <f>IF(OR(Q$8="",$F17=""),"",COUNTIFS(EeData!$G:$G,"A",EeData!$E:$E,"&gt;="&amp;$B17,EeData!$E:$E,"&lt;" &amp; IF($D17="",200,$D17),EeData!$F:$F,"&gt;="&amp;Q$2,EeData!$F:$F,"&lt;" &amp; IF(Q$4="",100,Q$4)))</f>
        <v/>
      </c>
      <c r="R17" s="30">
        <f t="shared" si="4"/>
        <v>0</v>
      </c>
    </row>
    <row r="18" spans="2:18" ht="15.75" thickBot="1" x14ac:dyDescent="0.3">
      <c r="B18" s="13" t="str">
        <f t="shared" si="5"/>
        <v/>
      </c>
      <c r="C18" s="14"/>
      <c r="D18" s="15"/>
      <c r="F18" s="41" t="str">
        <f t="shared" si="3"/>
        <v/>
      </c>
      <c r="G18" s="32" t="str">
        <f>IF(OR(G$8="",$F18=""),"",COUNTIFS(EeData!$G:$G,"A",EeData!$E:$E,"&gt;="&amp;$B18,EeData!$E:$E,"&lt;" &amp; IF($D18="",200,$D18),EeData!$F:$F,"&gt;="&amp;G$2,EeData!$F:$F,"&lt;" &amp; IF(G$4="",100,G$4)))</f>
        <v/>
      </c>
      <c r="H18" s="32" t="str">
        <f>IF(OR(H$8="",$F18=""),"",COUNTIFS(EeData!$G:$G,"A",EeData!$E:$E,"&gt;="&amp;$B18,EeData!$E:$E,"&lt;" &amp; IF($D18="",200,$D18),EeData!$F:$F,"&gt;="&amp;H$2,EeData!$F:$F,"&lt;" &amp; IF(H$4="",100,H$4)))</f>
        <v/>
      </c>
      <c r="I18" s="32" t="str">
        <f>IF(OR(I$8="",$F18=""),"",COUNTIFS(EeData!$G:$G,"A",EeData!$E:$E,"&gt;="&amp;$B18,EeData!$E:$E,"&lt;" &amp; IF($D18="",200,$D18),EeData!$F:$F,"&gt;="&amp;I$2,EeData!$F:$F,"&lt;" &amp; IF(I$4="",100,I$4)))</f>
        <v/>
      </c>
      <c r="J18" s="32" t="str">
        <f>IF(OR(J$8="",$F18=""),"",COUNTIFS(EeData!$G:$G,"A",EeData!$E:$E,"&gt;="&amp;$B18,EeData!$E:$E,"&lt;" &amp; IF($D18="",200,$D18),EeData!$F:$F,"&gt;="&amp;J$2,EeData!$F:$F,"&lt;" &amp; IF(J$4="",100,J$4)))</f>
        <v/>
      </c>
      <c r="K18" s="32" t="str">
        <f>IF(OR(K$8="",$F18=""),"",COUNTIFS(EeData!$G:$G,"A",EeData!$E:$E,"&gt;="&amp;$B18,EeData!$E:$E,"&lt;" &amp; IF($D18="",200,$D18),EeData!$F:$F,"&gt;="&amp;K$2,EeData!$F:$F,"&lt;" &amp; IF(K$4="",100,K$4)))</f>
        <v/>
      </c>
      <c r="L18" s="32" t="str">
        <f>IF(OR(L$8="",$F18=""),"",COUNTIFS(EeData!$G:$G,"A",EeData!$E:$E,"&gt;="&amp;$B18,EeData!$E:$E,"&lt;" &amp; IF($D18="",200,$D18),EeData!$F:$F,"&gt;="&amp;L$2,EeData!$F:$F,"&lt;" &amp; IF(L$4="",100,L$4)))</f>
        <v/>
      </c>
      <c r="M18" s="32" t="str">
        <f>IF(OR(M$8="",$F18=""),"",COUNTIFS(EeData!$G:$G,"A",EeData!$E:$E,"&gt;="&amp;$B18,EeData!$E:$E,"&lt;" &amp; IF($D18="",200,$D18),EeData!$F:$F,"&gt;="&amp;M$2,EeData!$F:$F,"&lt;" &amp; IF(M$4="",100,M$4)))</f>
        <v/>
      </c>
      <c r="N18" s="32" t="str">
        <f>IF(OR(N$8="",$F18=""),"",COUNTIFS(EeData!$G:$G,"A",EeData!$E:$E,"&gt;="&amp;$B18,EeData!$E:$E,"&lt;" &amp; IF($D18="",200,$D18),EeData!$F:$F,"&gt;="&amp;N$2,EeData!$F:$F,"&lt;" &amp; IF(N$4="",100,N$4)))</f>
        <v/>
      </c>
      <c r="O18" s="32" t="str">
        <f>IF(OR(O$8="",$F18=""),"",COUNTIFS(EeData!$G:$G,"A",EeData!$E:$E,"&gt;="&amp;$B18,EeData!$E:$E,"&lt;" &amp; IF($D18="",200,$D18),EeData!$F:$F,"&gt;="&amp;O$2,EeData!$F:$F,"&lt;" &amp; IF(O$4="",100,O$4)))</f>
        <v/>
      </c>
      <c r="P18" s="32" t="str">
        <f>IF(OR(P$8="",$F18=""),"",COUNTIFS(EeData!$G:$G,"A",EeData!$E:$E,"&gt;="&amp;$B18,EeData!$E:$E,"&lt;" &amp; IF($D18="",200,$D18),EeData!$F:$F,"&gt;="&amp;P$2,EeData!$F:$F,"&lt;" &amp; IF(P$4="",100,P$4)))</f>
        <v/>
      </c>
      <c r="Q18" s="32" t="str">
        <f>IF(OR(Q$8="",$F18=""),"",COUNTIFS(EeData!$G:$G,"A",EeData!$E:$E,"&gt;="&amp;$B18,EeData!$E:$E,"&lt;" &amp; IF($D18="",200,$D18),EeData!$F:$F,"&gt;="&amp;Q$2,EeData!$F:$F,"&lt;" &amp; IF(Q$4="",100,Q$4)))</f>
        <v/>
      </c>
      <c r="R18" s="30">
        <f t="shared" si="4"/>
        <v>0</v>
      </c>
    </row>
    <row r="19" spans="2:18" ht="15.75" thickBot="1" x14ac:dyDescent="0.3">
      <c r="B19" s="13" t="str">
        <f t="shared" si="5"/>
        <v/>
      </c>
      <c r="C19" s="14"/>
      <c r="D19" s="15"/>
      <c r="F19" s="41" t="str">
        <f t="shared" si="3"/>
        <v/>
      </c>
      <c r="G19" s="32" t="str">
        <f>IF(OR(G$8="",$F19=""),"",COUNTIFS(EeData!$G:$G,"A",EeData!$E:$E,"&gt;="&amp;$B19,EeData!$E:$E,"&lt;" &amp; IF($D19="",200,$D19),EeData!$F:$F,"&gt;="&amp;G$2,EeData!$F:$F,"&lt;" &amp; IF(G$4="",100,G$4)))</f>
        <v/>
      </c>
      <c r="H19" s="32" t="str">
        <f>IF(OR(H$8="",$F19=""),"",COUNTIFS(EeData!$G:$G,"A",EeData!$E:$E,"&gt;="&amp;$B19,EeData!$E:$E,"&lt;" &amp; IF($D19="",200,$D19),EeData!$F:$F,"&gt;="&amp;H$2,EeData!$F:$F,"&lt;" &amp; IF(H$4="",100,H$4)))</f>
        <v/>
      </c>
      <c r="I19" s="32" t="str">
        <f>IF(OR(I$8="",$F19=""),"",COUNTIFS(EeData!$G:$G,"A",EeData!$E:$E,"&gt;="&amp;$B19,EeData!$E:$E,"&lt;" &amp; IF($D19="",200,$D19),EeData!$F:$F,"&gt;="&amp;I$2,EeData!$F:$F,"&lt;" &amp; IF(I$4="",100,I$4)))</f>
        <v/>
      </c>
      <c r="J19" s="32" t="str">
        <f>IF(OR(J$8="",$F19=""),"",COUNTIFS(EeData!$G:$G,"A",EeData!$E:$E,"&gt;="&amp;$B19,EeData!$E:$E,"&lt;" &amp; IF($D19="",200,$D19),EeData!$F:$F,"&gt;="&amp;J$2,EeData!$F:$F,"&lt;" &amp; IF(J$4="",100,J$4)))</f>
        <v/>
      </c>
      <c r="K19" s="32" t="str">
        <f>IF(OR(K$8="",$F19=""),"",COUNTIFS(EeData!$G:$G,"A",EeData!$E:$E,"&gt;="&amp;$B19,EeData!$E:$E,"&lt;" &amp; IF($D19="",200,$D19),EeData!$F:$F,"&gt;="&amp;K$2,EeData!$F:$F,"&lt;" &amp; IF(K$4="",100,K$4)))</f>
        <v/>
      </c>
      <c r="L19" s="32" t="str">
        <f>IF(OR(L$8="",$F19=""),"",COUNTIFS(EeData!$G:$G,"A",EeData!$E:$E,"&gt;="&amp;$B19,EeData!$E:$E,"&lt;" &amp; IF($D19="",200,$D19),EeData!$F:$F,"&gt;="&amp;L$2,EeData!$F:$F,"&lt;" &amp; IF(L$4="",100,L$4)))</f>
        <v/>
      </c>
      <c r="M19" s="32" t="str">
        <f>IF(OR(M$8="",$F19=""),"",COUNTIFS(EeData!$G:$G,"A",EeData!$E:$E,"&gt;="&amp;$B19,EeData!$E:$E,"&lt;" &amp; IF($D19="",200,$D19),EeData!$F:$F,"&gt;="&amp;M$2,EeData!$F:$F,"&lt;" &amp; IF(M$4="",100,M$4)))</f>
        <v/>
      </c>
      <c r="N19" s="32" t="str">
        <f>IF(OR(N$8="",$F19=""),"",COUNTIFS(EeData!$G:$G,"A",EeData!$E:$E,"&gt;="&amp;$B19,EeData!$E:$E,"&lt;" &amp; IF($D19="",200,$D19),EeData!$F:$F,"&gt;="&amp;N$2,EeData!$F:$F,"&lt;" &amp; IF(N$4="",100,N$4)))</f>
        <v/>
      </c>
      <c r="O19" s="32" t="str">
        <f>IF(OR(O$8="",$F19=""),"",COUNTIFS(EeData!$G:$G,"A",EeData!$E:$E,"&gt;="&amp;$B19,EeData!$E:$E,"&lt;" &amp; IF($D19="",200,$D19),EeData!$F:$F,"&gt;="&amp;O$2,EeData!$F:$F,"&lt;" &amp; IF(O$4="",100,O$4)))</f>
        <v/>
      </c>
      <c r="P19" s="32" t="str">
        <f>IF(OR(P$8="",$F19=""),"",COUNTIFS(EeData!$G:$G,"A",EeData!$E:$E,"&gt;="&amp;$B19,EeData!$E:$E,"&lt;" &amp; IF($D19="",200,$D19),EeData!$F:$F,"&gt;="&amp;P$2,EeData!$F:$F,"&lt;" &amp; IF(P$4="",100,P$4)))</f>
        <v/>
      </c>
      <c r="Q19" s="32" t="str">
        <f>IF(OR(Q$8="",$F19=""),"",COUNTIFS(EeData!$G:$G,"A",EeData!$E:$E,"&gt;="&amp;$B19,EeData!$E:$E,"&lt;" &amp; IF($D19="",200,$D19),EeData!$F:$F,"&gt;="&amp;Q$2,EeData!$F:$F,"&lt;" &amp; IF(Q$4="",100,Q$4)))</f>
        <v/>
      </c>
      <c r="R19" s="30">
        <f t="shared" si="4"/>
        <v>0</v>
      </c>
    </row>
    <row r="20" spans="2:18" ht="15.75" thickBot="1" x14ac:dyDescent="0.3">
      <c r="B20" s="13" t="str">
        <f t="shared" si="5"/>
        <v/>
      </c>
      <c r="C20" s="14"/>
      <c r="D20" s="15"/>
      <c r="F20" s="41" t="str">
        <f t="shared" si="3"/>
        <v/>
      </c>
      <c r="G20" s="32" t="str">
        <f>IF(OR(G$8="",$F20=""),"",COUNTIFS(EeData!$G:$G,"A",EeData!$E:$E,"&gt;="&amp;$B20,EeData!$E:$E,"&lt;" &amp; IF($D20="",200,$D20),EeData!$F:$F,"&gt;="&amp;G$2,EeData!$F:$F,"&lt;" &amp; IF(G$4="",100,G$4)))</f>
        <v/>
      </c>
      <c r="H20" s="32" t="str">
        <f>IF(OR(H$8="",$F20=""),"",COUNTIFS(EeData!$G:$G,"A",EeData!$E:$E,"&gt;="&amp;$B20,EeData!$E:$E,"&lt;" &amp; IF($D20="",200,$D20),EeData!$F:$F,"&gt;="&amp;H$2,EeData!$F:$F,"&lt;" &amp; IF(H$4="",100,H$4)))</f>
        <v/>
      </c>
      <c r="I20" s="32" t="str">
        <f>IF(OR(I$8="",$F20=""),"",COUNTIFS(EeData!$G:$G,"A",EeData!$E:$E,"&gt;="&amp;$B20,EeData!$E:$E,"&lt;" &amp; IF($D20="",200,$D20),EeData!$F:$F,"&gt;="&amp;I$2,EeData!$F:$F,"&lt;" &amp; IF(I$4="",100,I$4)))</f>
        <v/>
      </c>
      <c r="J20" s="32" t="str">
        <f>IF(OR(J$8="",$F20=""),"",COUNTIFS(EeData!$G:$G,"A",EeData!$E:$E,"&gt;="&amp;$B20,EeData!$E:$E,"&lt;" &amp; IF($D20="",200,$D20),EeData!$F:$F,"&gt;="&amp;J$2,EeData!$F:$F,"&lt;" &amp; IF(J$4="",100,J$4)))</f>
        <v/>
      </c>
      <c r="K20" s="32" t="str">
        <f>IF(OR(K$8="",$F20=""),"",COUNTIFS(EeData!$G:$G,"A",EeData!$E:$E,"&gt;="&amp;$B20,EeData!$E:$E,"&lt;" &amp; IF($D20="",200,$D20),EeData!$F:$F,"&gt;="&amp;K$2,EeData!$F:$F,"&lt;" &amp; IF(K$4="",100,K$4)))</f>
        <v/>
      </c>
      <c r="L20" s="32" t="str">
        <f>IF(OR(L$8="",$F20=""),"",COUNTIFS(EeData!$G:$G,"A",EeData!$E:$E,"&gt;="&amp;$B20,EeData!$E:$E,"&lt;" &amp; IF($D20="",200,$D20),EeData!$F:$F,"&gt;="&amp;L$2,EeData!$F:$F,"&lt;" &amp; IF(L$4="",100,L$4)))</f>
        <v/>
      </c>
      <c r="M20" s="32" t="str">
        <f>IF(OR(M$8="",$F20=""),"",COUNTIFS(EeData!$G:$G,"A",EeData!$E:$E,"&gt;="&amp;$B20,EeData!$E:$E,"&lt;" &amp; IF($D20="",200,$D20),EeData!$F:$F,"&gt;="&amp;M$2,EeData!$F:$F,"&lt;" &amp; IF(M$4="",100,M$4)))</f>
        <v/>
      </c>
      <c r="N20" s="32" t="str">
        <f>IF(OR(N$8="",$F20=""),"",COUNTIFS(EeData!$G:$G,"A",EeData!$E:$E,"&gt;="&amp;$B20,EeData!$E:$E,"&lt;" &amp; IF($D20="",200,$D20),EeData!$F:$F,"&gt;="&amp;N$2,EeData!$F:$F,"&lt;" &amp; IF(N$4="",100,N$4)))</f>
        <v/>
      </c>
      <c r="O20" s="32" t="str">
        <f>IF(OR(O$8="",$F20=""),"",COUNTIFS(EeData!$G:$G,"A",EeData!$E:$E,"&gt;="&amp;$B20,EeData!$E:$E,"&lt;" &amp; IF($D20="",200,$D20),EeData!$F:$F,"&gt;="&amp;O$2,EeData!$F:$F,"&lt;" &amp; IF(O$4="",100,O$4)))</f>
        <v/>
      </c>
      <c r="P20" s="32" t="str">
        <f>IF(OR(P$8="",$F20=""),"",COUNTIFS(EeData!$G:$G,"A",EeData!$E:$E,"&gt;="&amp;$B20,EeData!$E:$E,"&lt;" &amp; IF($D20="",200,$D20),EeData!$F:$F,"&gt;="&amp;P$2,EeData!$F:$F,"&lt;" &amp; IF(P$4="",100,P$4)))</f>
        <v/>
      </c>
      <c r="Q20" s="32" t="str">
        <f>IF(OR(Q$8="",$F20=""),"",COUNTIFS(EeData!$G:$G,"A",EeData!$E:$E,"&gt;="&amp;$B20,EeData!$E:$E,"&lt;" &amp; IF($D20="",200,$D20),EeData!$F:$F,"&gt;="&amp;Q$2,EeData!$F:$F,"&lt;" &amp; IF(Q$4="",100,Q$4)))</f>
        <v/>
      </c>
      <c r="R20" s="30">
        <f t="shared" si="4"/>
        <v>0</v>
      </c>
    </row>
    <row r="21" spans="2:18" ht="15.75" thickBot="1" x14ac:dyDescent="0.3">
      <c r="B21" s="13" t="str">
        <f t="shared" si="5"/>
        <v/>
      </c>
      <c r="C21" s="14"/>
      <c r="D21" s="15"/>
      <c r="F21" s="41" t="str">
        <f t="shared" si="3"/>
        <v/>
      </c>
      <c r="G21" s="32" t="str">
        <f>IF(OR(G$8="",$F21=""),"",COUNTIFS(EeData!$G:$G,"A",EeData!$E:$E,"&gt;="&amp;$B21,EeData!$E:$E,"&lt;" &amp; IF($D21="",200,$D21),EeData!$F:$F,"&gt;="&amp;G$2,EeData!$F:$F,"&lt;" &amp; IF(G$4="",100,G$4)))</f>
        <v/>
      </c>
      <c r="H21" s="32" t="str">
        <f>IF(OR(H$8="",$F21=""),"",COUNTIFS(EeData!$G:$G,"A",EeData!$E:$E,"&gt;="&amp;$B21,EeData!$E:$E,"&lt;" &amp; IF($D21="",200,$D21),EeData!$F:$F,"&gt;="&amp;H$2,EeData!$F:$F,"&lt;" &amp; IF(H$4="",100,H$4)))</f>
        <v/>
      </c>
      <c r="I21" s="32" t="str">
        <f>IF(OR(I$8="",$F21=""),"",COUNTIFS(EeData!$G:$G,"A",EeData!$E:$E,"&gt;="&amp;$B21,EeData!$E:$E,"&lt;" &amp; IF($D21="",200,$D21),EeData!$F:$F,"&gt;="&amp;I$2,EeData!$F:$F,"&lt;" &amp; IF(I$4="",100,I$4)))</f>
        <v/>
      </c>
      <c r="J21" s="32" t="str">
        <f>IF(OR(J$8="",$F21=""),"",COUNTIFS(EeData!$G:$G,"A",EeData!$E:$E,"&gt;="&amp;$B21,EeData!$E:$E,"&lt;" &amp; IF($D21="",200,$D21),EeData!$F:$F,"&gt;="&amp;J$2,EeData!$F:$F,"&lt;" &amp; IF(J$4="",100,J$4)))</f>
        <v/>
      </c>
      <c r="K21" s="32" t="str">
        <f>IF(OR(K$8="",$F21=""),"",COUNTIFS(EeData!$G:$G,"A",EeData!$E:$E,"&gt;="&amp;$B21,EeData!$E:$E,"&lt;" &amp; IF($D21="",200,$D21),EeData!$F:$F,"&gt;="&amp;K$2,EeData!$F:$F,"&lt;" &amp; IF(K$4="",100,K$4)))</f>
        <v/>
      </c>
      <c r="L21" s="32" t="str">
        <f>IF(OR(L$8="",$F21=""),"",COUNTIFS(EeData!$G:$G,"A",EeData!$E:$E,"&gt;="&amp;$B21,EeData!$E:$E,"&lt;" &amp; IF($D21="",200,$D21),EeData!$F:$F,"&gt;="&amp;L$2,EeData!$F:$F,"&lt;" &amp; IF(L$4="",100,L$4)))</f>
        <v/>
      </c>
      <c r="M21" s="32" t="str">
        <f>IF(OR(M$8="",$F21=""),"",COUNTIFS(EeData!$G:$G,"A",EeData!$E:$E,"&gt;="&amp;$B21,EeData!$E:$E,"&lt;" &amp; IF($D21="",200,$D21),EeData!$F:$F,"&gt;="&amp;M$2,EeData!$F:$F,"&lt;" &amp; IF(M$4="",100,M$4)))</f>
        <v/>
      </c>
      <c r="N21" s="32" t="str">
        <f>IF(OR(N$8="",$F21=""),"",COUNTIFS(EeData!$G:$G,"A",EeData!$E:$E,"&gt;="&amp;$B21,EeData!$E:$E,"&lt;" &amp; IF($D21="",200,$D21),EeData!$F:$F,"&gt;="&amp;N$2,EeData!$F:$F,"&lt;" &amp; IF(N$4="",100,N$4)))</f>
        <v/>
      </c>
      <c r="O21" s="32" t="str">
        <f>IF(OR(O$8="",$F21=""),"",COUNTIFS(EeData!$G:$G,"A",EeData!$E:$E,"&gt;="&amp;$B21,EeData!$E:$E,"&lt;" &amp; IF($D21="",200,$D21),EeData!$F:$F,"&gt;="&amp;O$2,EeData!$F:$F,"&lt;" &amp; IF(O$4="",100,O$4)))</f>
        <v/>
      </c>
      <c r="P21" s="32" t="str">
        <f>IF(OR(P$8="",$F21=""),"",COUNTIFS(EeData!$G:$G,"A",EeData!$E:$E,"&gt;="&amp;$B21,EeData!$E:$E,"&lt;" &amp; IF($D21="",200,$D21),EeData!$F:$F,"&gt;="&amp;P$2,EeData!$F:$F,"&lt;" &amp; IF(P$4="",100,P$4)))</f>
        <v/>
      </c>
      <c r="Q21" s="32" t="str">
        <f>IF(OR(Q$8="",$F21=""),"",COUNTIFS(EeData!$G:$G,"A",EeData!$E:$E,"&gt;="&amp;$B21,EeData!$E:$E,"&lt;" &amp; IF($D21="",200,$D21),EeData!$F:$F,"&gt;="&amp;Q$2,EeData!$F:$F,"&lt;" &amp; IF(Q$4="",100,Q$4)))</f>
        <v/>
      </c>
      <c r="R21" s="30">
        <f t="shared" si="4"/>
        <v>0</v>
      </c>
    </row>
    <row r="22" spans="2:18" ht="15.75" thickBot="1" x14ac:dyDescent="0.3">
      <c r="B22" s="13" t="str">
        <f t="shared" si="5"/>
        <v/>
      </c>
      <c r="C22" s="14"/>
      <c r="D22" s="15"/>
      <c r="F22" s="41" t="str">
        <f t="shared" si="3"/>
        <v/>
      </c>
      <c r="G22" s="32" t="str">
        <f>IF(OR(G$8="",$F22=""),"",COUNTIFS(EeData!$G:$G,"A",EeData!$E:$E,"&gt;="&amp;$B22,EeData!$E:$E,"&lt;" &amp; IF($D22="",200,$D22),EeData!$F:$F,"&gt;="&amp;G$2,EeData!$F:$F,"&lt;" &amp; IF(G$4="",100,G$4)))</f>
        <v/>
      </c>
      <c r="H22" s="32" t="str">
        <f>IF(OR(H$8="",$F22=""),"",COUNTIFS(EeData!$G:$G,"A",EeData!$E:$E,"&gt;="&amp;$B22,EeData!$E:$E,"&lt;" &amp; IF($D22="",200,$D22),EeData!$F:$F,"&gt;="&amp;H$2,EeData!$F:$F,"&lt;" &amp; IF(H$4="",100,H$4)))</f>
        <v/>
      </c>
      <c r="I22" s="32" t="str">
        <f>IF(OR(I$8="",$F22=""),"",COUNTIFS(EeData!$G:$G,"A",EeData!$E:$E,"&gt;="&amp;$B22,EeData!$E:$E,"&lt;" &amp; IF($D22="",200,$D22),EeData!$F:$F,"&gt;="&amp;I$2,EeData!$F:$F,"&lt;" &amp; IF(I$4="",100,I$4)))</f>
        <v/>
      </c>
      <c r="J22" s="32" t="str">
        <f>IF(OR(J$8="",$F22=""),"",COUNTIFS(EeData!$G:$G,"A",EeData!$E:$E,"&gt;="&amp;$B22,EeData!$E:$E,"&lt;" &amp; IF($D22="",200,$D22),EeData!$F:$F,"&gt;="&amp;J$2,EeData!$F:$F,"&lt;" &amp; IF(J$4="",100,J$4)))</f>
        <v/>
      </c>
      <c r="K22" s="32" t="str">
        <f>IF(OR(K$8="",$F22=""),"",COUNTIFS(EeData!$G:$G,"A",EeData!$E:$E,"&gt;="&amp;$B22,EeData!$E:$E,"&lt;" &amp; IF($D22="",200,$D22),EeData!$F:$F,"&gt;="&amp;K$2,EeData!$F:$F,"&lt;" &amp; IF(K$4="",100,K$4)))</f>
        <v/>
      </c>
      <c r="L22" s="32" t="str">
        <f>IF(OR(L$8="",$F22=""),"",COUNTIFS(EeData!$G:$G,"A",EeData!$E:$E,"&gt;="&amp;$B22,EeData!$E:$E,"&lt;" &amp; IF($D22="",200,$D22),EeData!$F:$F,"&gt;="&amp;L$2,EeData!$F:$F,"&lt;" &amp; IF(L$4="",100,L$4)))</f>
        <v/>
      </c>
      <c r="M22" s="32" t="str">
        <f>IF(OR(M$8="",$F22=""),"",COUNTIFS(EeData!$G:$G,"A",EeData!$E:$E,"&gt;="&amp;$B22,EeData!$E:$E,"&lt;" &amp; IF($D22="",200,$D22),EeData!$F:$F,"&gt;="&amp;M$2,EeData!$F:$F,"&lt;" &amp; IF(M$4="",100,M$4)))</f>
        <v/>
      </c>
      <c r="N22" s="32" t="str">
        <f>IF(OR(N$8="",$F22=""),"",COUNTIFS(EeData!$G:$G,"A",EeData!$E:$E,"&gt;="&amp;$B22,EeData!$E:$E,"&lt;" &amp; IF($D22="",200,$D22),EeData!$F:$F,"&gt;="&amp;N$2,EeData!$F:$F,"&lt;" &amp; IF(N$4="",100,N$4)))</f>
        <v/>
      </c>
      <c r="O22" s="32" t="str">
        <f>IF(OR(O$8="",$F22=""),"",COUNTIFS(EeData!$G:$G,"A",EeData!$E:$E,"&gt;="&amp;$B22,EeData!$E:$E,"&lt;" &amp; IF($D22="",200,$D22),EeData!$F:$F,"&gt;="&amp;O$2,EeData!$F:$F,"&lt;" &amp; IF(O$4="",100,O$4)))</f>
        <v/>
      </c>
      <c r="P22" s="32" t="str">
        <f>IF(OR(P$8="",$F22=""),"",COUNTIFS(EeData!$G:$G,"A",EeData!$E:$E,"&gt;="&amp;$B22,EeData!$E:$E,"&lt;" &amp; IF($D22="",200,$D22),EeData!$F:$F,"&gt;="&amp;P$2,EeData!$F:$F,"&lt;" &amp; IF(P$4="",100,P$4)))</f>
        <v/>
      </c>
      <c r="Q22" s="32" t="str">
        <f>IF(OR(Q$8="",$F22=""),"",COUNTIFS(EeData!$G:$G,"A",EeData!$E:$E,"&gt;="&amp;$B22,EeData!$E:$E,"&lt;" &amp; IF($D22="",200,$D22),EeData!$F:$F,"&gt;="&amp;Q$2,EeData!$F:$F,"&lt;" &amp; IF(Q$4="",100,Q$4)))</f>
        <v/>
      </c>
      <c r="R22" s="30">
        <f t="shared" si="4"/>
        <v>0</v>
      </c>
    </row>
    <row r="23" spans="2:18" ht="15.75" thickBot="1" x14ac:dyDescent="0.3">
      <c r="B23" s="13" t="str">
        <f t="shared" si="5"/>
        <v/>
      </c>
      <c r="C23" s="14"/>
      <c r="D23" s="15"/>
      <c r="F23" s="41" t="str">
        <f t="shared" si="3"/>
        <v/>
      </c>
      <c r="G23" s="32" t="str">
        <f>IF(OR(G$8="",$F23=""),"",COUNTIFS(EeData!$G:$G,"A",EeData!$E:$E,"&gt;="&amp;$B23,EeData!$E:$E,"&lt;" &amp; IF($D23="",200,$D23),EeData!$F:$F,"&gt;="&amp;G$2,EeData!$F:$F,"&lt;" &amp; IF(G$4="",100,G$4)))</f>
        <v/>
      </c>
      <c r="H23" s="32" t="str">
        <f>IF(OR(H$8="",$F23=""),"",COUNTIFS(EeData!$G:$G,"A",EeData!$E:$E,"&gt;="&amp;$B23,EeData!$E:$E,"&lt;" &amp; IF($D23="",200,$D23),EeData!$F:$F,"&gt;="&amp;H$2,EeData!$F:$F,"&lt;" &amp; IF(H$4="",100,H$4)))</f>
        <v/>
      </c>
      <c r="I23" s="32" t="str">
        <f>IF(OR(I$8="",$F23=""),"",COUNTIFS(EeData!$G:$G,"A",EeData!$E:$E,"&gt;="&amp;$B23,EeData!$E:$E,"&lt;" &amp; IF($D23="",200,$D23),EeData!$F:$F,"&gt;="&amp;I$2,EeData!$F:$F,"&lt;" &amp; IF(I$4="",100,I$4)))</f>
        <v/>
      </c>
      <c r="J23" s="32" t="str">
        <f>IF(OR(J$8="",$F23=""),"",COUNTIFS(EeData!$G:$G,"A",EeData!$E:$E,"&gt;="&amp;$B23,EeData!$E:$E,"&lt;" &amp; IF($D23="",200,$D23),EeData!$F:$F,"&gt;="&amp;J$2,EeData!$F:$F,"&lt;" &amp; IF(J$4="",100,J$4)))</f>
        <v/>
      </c>
      <c r="K23" s="32" t="str">
        <f>IF(OR(K$8="",$F23=""),"",COUNTIFS(EeData!$G:$G,"A",EeData!$E:$E,"&gt;="&amp;$B23,EeData!$E:$E,"&lt;" &amp; IF($D23="",200,$D23),EeData!$F:$F,"&gt;="&amp;K$2,EeData!$F:$F,"&lt;" &amp; IF(K$4="",100,K$4)))</f>
        <v/>
      </c>
      <c r="L23" s="32" t="str">
        <f>IF(OR(L$8="",$F23=""),"",COUNTIFS(EeData!$G:$G,"A",EeData!$E:$E,"&gt;="&amp;$B23,EeData!$E:$E,"&lt;" &amp; IF($D23="",200,$D23),EeData!$F:$F,"&gt;="&amp;L$2,EeData!$F:$F,"&lt;" &amp; IF(L$4="",100,L$4)))</f>
        <v/>
      </c>
      <c r="M23" s="32" t="str">
        <f>IF(OR(M$8="",$F23=""),"",COUNTIFS(EeData!$G:$G,"A",EeData!$E:$E,"&gt;="&amp;$B23,EeData!$E:$E,"&lt;" &amp; IF($D23="",200,$D23),EeData!$F:$F,"&gt;="&amp;M$2,EeData!$F:$F,"&lt;" &amp; IF(M$4="",100,M$4)))</f>
        <v/>
      </c>
      <c r="N23" s="32" t="str">
        <f>IF(OR(N$8="",$F23=""),"",COUNTIFS(EeData!$G:$G,"A",EeData!$E:$E,"&gt;="&amp;$B23,EeData!$E:$E,"&lt;" &amp; IF($D23="",200,$D23),EeData!$F:$F,"&gt;="&amp;N$2,EeData!$F:$F,"&lt;" &amp; IF(N$4="",100,N$4)))</f>
        <v/>
      </c>
      <c r="O23" s="32" t="str">
        <f>IF(OR(O$8="",$F23=""),"",COUNTIFS(EeData!$G:$G,"A",EeData!$E:$E,"&gt;="&amp;$B23,EeData!$E:$E,"&lt;" &amp; IF($D23="",200,$D23),EeData!$F:$F,"&gt;="&amp;O$2,EeData!$F:$F,"&lt;" &amp; IF(O$4="",100,O$4)))</f>
        <v/>
      </c>
      <c r="P23" s="32" t="str">
        <f>IF(OR(P$8="",$F23=""),"",COUNTIFS(EeData!$G:$G,"A",EeData!$E:$E,"&gt;="&amp;$B23,EeData!$E:$E,"&lt;" &amp; IF($D23="",200,$D23),EeData!$F:$F,"&gt;="&amp;P$2,EeData!$F:$F,"&lt;" &amp; IF(P$4="",100,P$4)))</f>
        <v/>
      </c>
      <c r="Q23" s="32" t="str">
        <f>IF(OR(Q$8="",$F23=""),"",COUNTIFS(EeData!$G:$G,"A",EeData!$E:$E,"&gt;="&amp;$B23,EeData!$E:$E,"&lt;" &amp; IF($D23="",200,$D23),EeData!$F:$F,"&gt;="&amp;Q$2,EeData!$F:$F,"&lt;" &amp; IF(Q$4="",100,Q$4)))</f>
        <v/>
      </c>
      <c r="R23" s="30">
        <f t="shared" si="4"/>
        <v>0</v>
      </c>
    </row>
    <row r="24" spans="2:18" ht="15.75" thickBot="1" x14ac:dyDescent="0.3">
      <c r="B24" s="13" t="str">
        <f t="shared" si="5"/>
        <v/>
      </c>
      <c r="C24" s="14"/>
      <c r="D24" s="15"/>
      <c r="F24" s="41" t="str">
        <f t="shared" si="3"/>
        <v/>
      </c>
      <c r="G24" s="32" t="str">
        <f>IF(OR(G$8="",$F24=""),"",COUNTIFS(EeData!$G:$G,"A",EeData!$E:$E,"&gt;="&amp;$B24,EeData!$E:$E,"&lt;" &amp; IF($D24="",200,$D24),EeData!$F:$F,"&gt;="&amp;G$2,EeData!$F:$F,"&lt;" &amp; IF(G$4="",100,G$4)))</f>
        <v/>
      </c>
      <c r="H24" s="32" t="str">
        <f>IF(OR(H$8="",$F24=""),"",COUNTIFS(EeData!$G:$G,"A",EeData!$E:$E,"&gt;="&amp;$B24,EeData!$E:$E,"&lt;" &amp; IF($D24="",200,$D24),EeData!$F:$F,"&gt;="&amp;H$2,EeData!$F:$F,"&lt;" &amp; IF(H$4="",100,H$4)))</f>
        <v/>
      </c>
      <c r="I24" s="32" t="str">
        <f>IF(OR(I$8="",$F24=""),"",COUNTIFS(EeData!$G:$G,"A",EeData!$E:$E,"&gt;="&amp;$B24,EeData!$E:$E,"&lt;" &amp; IF($D24="",200,$D24),EeData!$F:$F,"&gt;="&amp;I$2,EeData!$F:$F,"&lt;" &amp; IF(I$4="",100,I$4)))</f>
        <v/>
      </c>
      <c r="J24" s="32" t="str">
        <f>IF(OR(J$8="",$F24=""),"",COUNTIFS(EeData!$G:$G,"A",EeData!$E:$E,"&gt;="&amp;$B24,EeData!$E:$E,"&lt;" &amp; IF($D24="",200,$D24),EeData!$F:$F,"&gt;="&amp;J$2,EeData!$F:$F,"&lt;" &amp; IF(J$4="",100,J$4)))</f>
        <v/>
      </c>
      <c r="K24" s="32" t="str">
        <f>IF(OR(K$8="",$F24=""),"",COUNTIFS(EeData!$G:$G,"A",EeData!$E:$E,"&gt;="&amp;$B24,EeData!$E:$E,"&lt;" &amp; IF($D24="",200,$D24),EeData!$F:$F,"&gt;="&amp;K$2,EeData!$F:$F,"&lt;" &amp; IF(K$4="",100,K$4)))</f>
        <v/>
      </c>
      <c r="L24" s="32" t="str">
        <f>IF(OR(L$8="",$F24=""),"",COUNTIFS(EeData!$G:$G,"A",EeData!$E:$E,"&gt;="&amp;$B24,EeData!$E:$E,"&lt;" &amp; IF($D24="",200,$D24),EeData!$F:$F,"&gt;="&amp;L$2,EeData!$F:$F,"&lt;" &amp; IF(L$4="",100,L$4)))</f>
        <v/>
      </c>
      <c r="M24" s="32" t="str">
        <f>IF(OR(M$8="",$F24=""),"",COUNTIFS(EeData!$G:$G,"A",EeData!$E:$E,"&gt;="&amp;$B24,EeData!$E:$E,"&lt;" &amp; IF($D24="",200,$D24),EeData!$F:$F,"&gt;="&amp;M$2,EeData!$F:$F,"&lt;" &amp; IF(M$4="",100,M$4)))</f>
        <v/>
      </c>
      <c r="N24" s="32" t="str">
        <f>IF(OR(N$8="",$F24=""),"",COUNTIFS(EeData!$G:$G,"A",EeData!$E:$E,"&gt;="&amp;$B24,EeData!$E:$E,"&lt;" &amp; IF($D24="",200,$D24),EeData!$F:$F,"&gt;="&amp;N$2,EeData!$F:$F,"&lt;" &amp; IF(N$4="",100,N$4)))</f>
        <v/>
      </c>
      <c r="O24" s="32" t="str">
        <f>IF(OR(O$8="",$F24=""),"",COUNTIFS(EeData!$G:$G,"A",EeData!$E:$E,"&gt;="&amp;$B24,EeData!$E:$E,"&lt;" &amp; IF($D24="",200,$D24),EeData!$F:$F,"&gt;="&amp;O$2,EeData!$F:$F,"&lt;" &amp; IF(O$4="",100,O$4)))</f>
        <v/>
      </c>
      <c r="P24" s="32" t="str">
        <f>IF(OR(P$8="",$F24=""),"",COUNTIFS(EeData!$G:$G,"A",EeData!$E:$E,"&gt;="&amp;$B24,EeData!$E:$E,"&lt;" &amp; IF($D24="",200,$D24),EeData!$F:$F,"&gt;="&amp;P$2,EeData!$F:$F,"&lt;" &amp; IF(P$4="",100,P$4)))</f>
        <v/>
      </c>
      <c r="Q24" s="32" t="str">
        <f>IF(OR(Q$8="",$F24=""),"",COUNTIFS(EeData!$G:$G,"A",EeData!$E:$E,"&gt;="&amp;$B24,EeData!$E:$E,"&lt;" &amp; IF($D24="",200,$D24),EeData!$F:$F,"&gt;="&amp;Q$2,EeData!$F:$F,"&lt;" &amp; IF(Q$4="",100,Q$4)))</f>
        <v/>
      </c>
      <c r="R24" s="30">
        <f t="shared" si="4"/>
        <v>0</v>
      </c>
    </row>
    <row r="25" spans="2:18" ht="15.75" thickBot="1" x14ac:dyDescent="0.3">
      <c r="B25" s="16" t="str">
        <f t="shared" si="5"/>
        <v/>
      </c>
      <c r="C25" s="17"/>
      <c r="D25" s="18"/>
      <c r="F25" s="42" t="s">
        <v>22</v>
      </c>
      <c r="G25" s="29">
        <f>SUM(G9:G24)</f>
        <v>7</v>
      </c>
      <c r="H25" s="29">
        <f t="shared" ref="H25:Q25" si="7">SUM(H9:H24)</f>
        <v>11</v>
      </c>
      <c r="I25" s="29">
        <f t="shared" si="7"/>
        <v>11</v>
      </c>
      <c r="J25" s="29">
        <f t="shared" si="7"/>
        <v>3</v>
      </c>
      <c r="K25" s="29">
        <f t="shared" si="7"/>
        <v>3</v>
      </c>
      <c r="L25" s="29">
        <f t="shared" si="7"/>
        <v>2</v>
      </c>
      <c r="M25" s="29">
        <f t="shared" si="7"/>
        <v>0</v>
      </c>
      <c r="N25" s="29">
        <f t="shared" si="7"/>
        <v>0</v>
      </c>
      <c r="O25" s="29">
        <f t="shared" si="7"/>
        <v>0</v>
      </c>
      <c r="P25" s="29">
        <f t="shared" si="7"/>
        <v>0</v>
      </c>
      <c r="Q25" s="29">
        <f t="shared" si="7"/>
        <v>0</v>
      </c>
      <c r="R25" s="31">
        <f>SUM(R9:R24)</f>
        <v>37</v>
      </c>
    </row>
    <row r="26" spans="2:18" x14ac:dyDescent="0.25">
      <c r="B26" s="8"/>
      <c r="C26" s="8"/>
      <c r="D26" s="9"/>
    </row>
    <row r="27" spans="2:18" x14ac:dyDescent="0.25">
      <c r="B27" s="8"/>
      <c r="C27" s="8"/>
      <c r="D27" s="9"/>
    </row>
    <row r="28" spans="2:18" x14ac:dyDescent="0.25">
      <c r="B28" s="8"/>
      <c r="C28" s="8"/>
      <c r="D28" s="9"/>
    </row>
    <row r="29" spans="2:18" x14ac:dyDescent="0.25">
      <c r="B29" s="8"/>
      <c r="C29" s="8"/>
      <c r="D29" s="9"/>
    </row>
    <row r="30" spans="2:18" x14ac:dyDescent="0.25">
      <c r="B30" s="8"/>
      <c r="C30" s="8"/>
      <c r="D30" s="9"/>
    </row>
    <row r="31" spans="2:18" x14ac:dyDescent="0.25">
      <c r="B31" s="8"/>
      <c r="C31" s="8"/>
      <c r="D31" s="9"/>
    </row>
    <row r="32" spans="2:18" x14ac:dyDescent="0.25">
      <c r="B32" s="8"/>
      <c r="C32" s="8"/>
      <c r="D32" s="9"/>
    </row>
    <row r="33" spans="4:4" x14ac:dyDescent="0.25">
      <c r="D33" s="10"/>
    </row>
    <row r="34" spans="4:4" x14ac:dyDescent="0.25">
      <c r="D34" s="10"/>
    </row>
    <row r="35" spans="4:4" x14ac:dyDescent="0.25">
      <c r="D35" s="10"/>
    </row>
  </sheetData>
  <mergeCells count="5">
    <mergeCell ref="B6:D6"/>
    <mergeCell ref="B7:D7"/>
    <mergeCell ref="F6:R6"/>
    <mergeCell ref="B2:D2"/>
    <mergeCell ref="E2:E4"/>
  </mergeCells>
  <pageMargins left="0.7" right="0.7" top="0.75" bottom="0.75" header="0.3" footer="0.3"/>
  <pageSetup scale="82" orientation="landscape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8E18-E352-4C46-BA81-2E2124AE7782}">
  <dimension ref="A1:H54"/>
  <sheetViews>
    <sheetView topLeftCell="A5" workbookViewId="0">
      <pane ySplit="1" topLeftCell="A6" activePane="bottomLeft" state="frozen"/>
      <selection activeCell="A5" sqref="A5"/>
      <selection pane="bottomLeft" activeCell="A11" sqref="A11"/>
    </sheetView>
  </sheetViews>
  <sheetFormatPr defaultColWidth="8.85546875" defaultRowHeight="12.75" x14ac:dyDescent="0.2"/>
  <cols>
    <col min="1" max="1" width="9.7109375" style="1" customWidth="1"/>
    <col min="2" max="2" width="14.42578125" style="1" bestFit="1" customWidth="1"/>
    <col min="3" max="3" width="13.85546875" style="1" bestFit="1" customWidth="1"/>
    <col min="4" max="4" width="13" style="1" customWidth="1"/>
    <col min="5" max="5" width="10.28515625" style="1" customWidth="1"/>
    <col min="6" max="6" width="10.5703125" style="1" customWidth="1"/>
    <col min="7" max="7" width="11.7109375" style="1" bestFit="1" customWidth="1"/>
    <col min="8" max="8" width="11.5703125" style="1" bestFit="1" customWidth="1"/>
    <col min="9" max="16384" width="8.85546875" style="1"/>
  </cols>
  <sheetData>
    <row r="1" spans="1:8" ht="18" x14ac:dyDescent="0.25">
      <c r="A1" s="39" t="s">
        <v>12</v>
      </c>
      <c r="B1" s="39"/>
      <c r="C1" s="39"/>
      <c r="D1" s="39"/>
      <c r="E1" s="39"/>
      <c r="F1" s="39"/>
      <c r="G1" s="39"/>
      <c r="H1" s="39"/>
    </row>
    <row r="4" spans="1:8" ht="15.75" thickBot="1" x14ac:dyDescent="0.3">
      <c r="C4" s="7"/>
      <c r="D4" s="7"/>
      <c r="E4" s="7"/>
      <c r="F4" s="7"/>
    </row>
    <row r="5" spans="1:8" x14ac:dyDescent="0.2">
      <c r="A5" s="6" t="s">
        <v>11</v>
      </c>
      <c r="B5" s="5" t="s">
        <v>10</v>
      </c>
      <c r="C5" s="4" t="s">
        <v>9</v>
      </c>
      <c r="D5" s="4" t="s">
        <v>8</v>
      </c>
      <c r="E5" s="4" t="s">
        <v>7</v>
      </c>
      <c r="F5" s="4" t="s">
        <v>6</v>
      </c>
      <c r="G5" s="4" t="s">
        <v>5</v>
      </c>
      <c r="H5" s="4" t="s">
        <v>4</v>
      </c>
    </row>
    <row r="6" spans="1:8" ht="15" x14ac:dyDescent="0.25">
      <c r="A6" s="2">
        <v>375757</v>
      </c>
      <c r="B6" s="2">
        <v>2</v>
      </c>
      <c r="C6" s="3">
        <v>96000</v>
      </c>
      <c r="D6" s="3">
        <v>91428.57142857142</v>
      </c>
      <c r="E6" s="2">
        <v>55</v>
      </c>
      <c r="F6" s="2">
        <v>7</v>
      </c>
      <c r="G6" s="2" t="s">
        <v>0</v>
      </c>
      <c r="H6" s="2" t="s">
        <v>0</v>
      </c>
    </row>
    <row r="7" spans="1:8" ht="15" x14ac:dyDescent="0.25">
      <c r="A7" s="2">
        <v>384691</v>
      </c>
      <c r="B7" s="2">
        <v>1</v>
      </c>
      <c r="C7" s="3">
        <v>89000</v>
      </c>
      <c r="D7" s="3">
        <v>84761.904761904763</v>
      </c>
      <c r="E7" s="2">
        <v>52</v>
      </c>
      <c r="F7" s="2">
        <v>5</v>
      </c>
      <c r="G7" s="2" t="s">
        <v>0</v>
      </c>
      <c r="H7" s="2" t="s">
        <v>0</v>
      </c>
    </row>
    <row r="8" spans="1:8" ht="15" x14ac:dyDescent="0.25">
      <c r="A8" s="2">
        <v>396332</v>
      </c>
      <c r="B8" s="2">
        <v>3</v>
      </c>
      <c r="C8" s="3">
        <v>85000</v>
      </c>
      <c r="D8" s="3"/>
      <c r="E8" s="2">
        <v>48</v>
      </c>
      <c r="F8" s="2">
        <v>1</v>
      </c>
      <c r="G8" s="2" t="s">
        <v>0</v>
      </c>
      <c r="H8" s="2"/>
    </row>
    <row r="9" spans="1:8" ht="15" x14ac:dyDescent="0.25">
      <c r="A9" s="2">
        <v>401073</v>
      </c>
      <c r="B9" s="2">
        <v>1</v>
      </c>
      <c r="C9" s="3"/>
      <c r="D9" s="3">
        <v>80000</v>
      </c>
      <c r="E9" s="2">
        <v>66</v>
      </c>
      <c r="F9" s="2"/>
      <c r="G9" s="2" t="s">
        <v>1</v>
      </c>
      <c r="H9" s="2" t="s">
        <v>1</v>
      </c>
    </row>
    <row r="10" spans="1:8" ht="15" x14ac:dyDescent="0.25">
      <c r="A10" s="2">
        <v>409118</v>
      </c>
      <c r="B10" s="2">
        <v>1</v>
      </c>
      <c r="C10" s="3">
        <v>83000</v>
      </c>
      <c r="D10" s="3">
        <v>71000</v>
      </c>
      <c r="E10" s="2">
        <v>28</v>
      </c>
      <c r="F10" s="2">
        <v>11</v>
      </c>
      <c r="G10" s="2" t="s">
        <v>0</v>
      </c>
      <c r="H10" s="2" t="s">
        <v>0</v>
      </c>
    </row>
    <row r="11" spans="1:8" ht="15" x14ac:dyDescent="0.25">
      <c r="A11" s="2">
        <v>411380</v>
      </c>
      <c r="B11" s="2">
        <v>1</v>
      </c>
      <c r="C11" s="3">
        <v>86000</v>
      </c>
      <c r="D11" s="3">
        <v>74000</v>
      </c>
      <c r="E11" s="2">
        <v>57</v>
      </c>
      <c r="F11" s="2">
        <v>27</v>
      </c>
      <c r="G11" s="2" t="s">
        <v>0</v>
      </c>
      <c r="H11" s="2" t="s">
        <v>0</v>
      </c>
    </row>
    <row r="12" spans="1:8" ht="15" x14ac:dyDescent="0.25">
      <c r="A12" s="2">
        <v>412092</v>
      </c>
      <c r="B12" s="2">
        <v>1</v>
      </c>
      <c r="C12" s="3">
        <v>87000</v>
      </c>
      <c r="D12" s="3"/>
      <c r="E12" s="2">
        <v>32</v>
      </c>
      <c r="F12" s="2">
        <v>2</v>
      </c>
      <c r="G12" s="2" t="s">
        <v>0</v>
      </c>
      <c r="H12" s="2"/>
    </row>
    <row r="13" spans="1:8" ht="15" x14ac:dyDescent="0.25">
      <c r="A13" s="2">
        <v>413369</v>
      </c>
      <c r="B13" s="2">
        <v>1</v>
      </c>
      <c r="C13" s="3">
        <v>86000</v>
      </c>
      <c r="D13" s="3"/>
      <c r="E13" s="2">
        <v>44</v>
      </c>
      <c r="F13" s="2">
        <v>14</v>
      </c>
      <c r="G13" s="2" t="s">
        <v>0</v>
      </c>
      <c r="H13" s="2"/>
    </row>
    <row r="14" spans="1:8" ht="15" x14ac:dyDescent="0.25">
      <c r="A14" s="2">
        <v>415179</v>
      </c>
      <c r="B14" s="2">
        <v>1</v>
      </c>
      <c r="C14" s="3">
        <v>75000</v>
      </c>
      <c r="D14" s="3">
        <v>63000</v>
      </c>
      <c r="E14" s="2">
        <v>32</v>
      </c>
      <c r="F14" s="2">
        <v>2</v>
      </c>
      <c r="G14" s="2" t="s">
        <v>0</v>
      </c>
      <c r="H14" s="2" t="s">
        <v>0</v>
      </c>
    </row>
    <row r="15" spans="1:8" ht="15" x14ac:dyDescent="0.25">
      <c r="A15" s="2">
        <v>422576</v>
      </c>
      <c r="B15" s="2">
        <v>1</v>
      </c>
      <c r="C15" s="3">
        <v>86000</v>
      </c>
      <c r="D15" s="3">
        <v>80000</v>
      </c>
      <c r="E15" s="2">
        <v>55</v>
      </c>
      <c r="F15" s="2"/>
      <c r="G15" s="2" t="s">
        <v>1</v>
      </c>
      <c r="H15" s="2" t="s">
        <v>0</v>
      </c>
    </row>
    <row r="16" spans="1:8" ht="15" x14ac:dyDescent="0.25">
      <c r="A16" s="2">
        <v>424060</v>
      </c>
      <c r="B16" s="2">
        <v>3</v>
      </c>
      <c r="C16" s="3">
        <v>250000</v>
      </c>
      <c r="D16" s="3">
        <v>230000</v>
      </c>
      <c r="E16" s="2">
        <v>51</v>
      </c>
      <c r="F16" s="2">
        <v>10</v>
      </c>
      <c r="G16" s="2" t="s">
        <v>0</v>
      </c>
      <c r="H16" s="2" t="s">
        <v>0</v>
      </c>
    </row>
    <row r="17" spans="1:8" ht="15" x14ac:dyDescent="0.25">
      <c r="A17" s="2">
        <v>431411</v>
      </c>
      <c r="B17" s="2">
        <v>3</v>
      </c>
      <c r="C17" s="3">
        <v>91000</v>
      </c>
      <c r="D17" s="3">
        <v>86666.666666666657</v>
      </c>
      <c r="E17" s="2">
        <v>49</v>
      </c>
      <c r="F17" s="2">
        <v>6</v>
      </c>
      <c r="G17" s="2" t="s">
        <v>0</v>
      </c>
      <c r="H17" s="2" t="s">
        <v>0</v>
      </c>
    </row>
    <row r="18" spans="1:8" ht="15" x14ac:dyDescent="0.25">
      <c r="A18" s="2">
        <v>436028</v>
      </c>
      <c r="B18" s="2">
        <v>1</v>
      </c>
      <c r="C18" s="3">
        <v>86000</v>
      </c>
      <c r="D18" s="3">
        <v>74000</v>
      </c>
      <c r="E18" s="2">
        <v>23</v>
      </c>
      <c r="F18" s="2">
        <v>3</v>
      </c>
      <c r="G18" s="2" t="s">
        <v>0</v>
      </c>
      <c r="H18" s="2" t="s">
        <v>0</v>
      </c>
    </row>
    <row r="19" spans="1:8" ht="15" x14ac:dyDescent="0.25">
      <c r="A19" s="2">
        <v>437293</v>
      </c>
      <c r="B19" s="2">
        <v>3</v>
      </c>
      <c r="C19" s="3">
        <v>86000</v>
      </c>
      <c r="D19" s="3">
        <v>80000</v>
      </c>
      <c r="E19" s="2">
        <v>51</v>
      </c>
      <c r="F19" s="2"/>
      <c r="G19" s="2" t="s">
        <v>2</v>
      </c>
      <c r="H19" s="2" t="s">
        <v>0</v>
      </c>
    </row>
    <row r="20" spans="1:8" ht="15" x14ac:dyDescent="0.25">
      <c r="A20" s="2">
        <v>438052</v>
      </c>
      <c r="B20" s="2">
        <v>1</v>
      </c>
      <c r="C20" s="3">
        <v>86000</v>
      </c>
      <c r="D20" s="3">
        <v>74000</v>
      </c>
      <c r="E20" s="2">
        <v>32</v>
      </c>
      <c r="F20" s="2">
        <v>9</v>
      </c>
      <c r="G20" s="2" t="s">
        <v>0</v>
      </c>
      <c r="H20" s="2" t="s">
        <v>0</v>
      </c>
    </row>
    <row r="21" spans="1:8" ht="15" x14ac:dyDescent="0.25">
      <c r="A21" s="2">
        <v>438638</v>
      </c>
      <c r="B21" s="2">
        <v>2</v>
      </c>
      <c r="C21" s="3">
        <v>87000</v>
      </c>
      <c r="D21" s="3">
        <v>82857.142857142855</v>
      </c>
      <c r="E21" s="2">
        <v>47</v>
      </c>
      <c r="F21" s="2">
        <v>12</v>
      </c>
      <c r="G21" s="2" t="s">
        <v>0</v>
      </c>
      <c r="H21" s="2" t="s">
        <v>0</v>
      </c>
    </row>
    <row r="22" spans="1:8" ht="15" x14ac:dyDescent="0.25">
      <c r="A22" s="2">
        <v>449418</v>
      </c>
      <c r="B22" s="2">
        <v>1</v>
      </c>
      <c r="C22" s="3">
        <v>76000</v>
      </c>
      <c r="D22" s="3">
        <v>64000</v>
      </c>
      <c r="E22" s="2">
        <v>45</v>
      </c>
      <c r="F22" s="2">
        <v>15</v>
      </c>
      <c r="G22" s="2" t="s">
        <v>0</v>
      </c>
      <c r="H22" s="2" t="s">
        <v>0</v>
      </c>
    </row>
    <row r="23" spans="1:8" ht="15" x14ac:dyDescent="0.25">
      <c r="A23" s="2">
        <v>449944</v>
      </c>
      <c r="B23" s="2">
        <v>1</v>
      </c>
      <c r="C23" s="3">
        <v>86000</v>
      </c>
      <c r="D23" s="3">
        <v>80000</v>
      </c>
      <c r="E23" s="2">
        <v>45</v>
      </c>
      <c r="F23" s="2"/>
      <c r="G23" s="2" t="s">
        <v>2</v>
      </c>
      <c r="H23" s="2" t="s">
        <v>0</v>
      </c>
    </row>
    <row r="24" spans="1:8" ht="15" x14ac:dyDescent="0.25">
      <c r="A24" s="2">
        <v>452656</v>
      </c>
      <c r="B24" s="2">
        <v>2</v>
      </c>
      <c r="C24" s="3">
        <v>93000</v>
      </c>
      <c r="D24" s="3">
        <v>88571.428571428565</v>
      </c>
      <c r="E24" s="2">
        <v>46</v>
      </c>
      <c r="F24" s="2">
        <v>18</v>
      </c>
      <c r="G24" s="2" t="s">
        <v>0</v>
      </c>
      <c r="H24" s="2" t="s">
        <v>0</v>
      </c>
    </row>
    <row r="25" spans="1:8" ht="15" x14ac:dyDescent="0.25">
      <c r="A25" s="2">
        <v>463271</v>
      </c>
      <c r="B25" s="2">
        <v>1</v>
      </c>
      <c r="C25" s="3">
        <v>54000</v>
      </c>
      <c r="D25" s="3">
        <v>42000</v>
      </c>
      <c r="E25" s="2">
        <v>32</v>
      </c>
      <c r="F25" s="2">
        <v>8</v>
      </c>
      <c r="G25" s="2" t="s">
        <v>0</v>
      </c>
      <c r="H25" s="2" t="s">
        <v>0</v>
      </c>
    </row>
    <row r="26" spans="1:8" ht="15" x14ac:dyDescent="0.25">
      <c r="A26" s="2">
        <v>463938</v>
      </c>
      <c r="B26" s="2">
        <v>1</v>
      </c>
      <c r="C26" s="3">
        <v>96000</v>
      </c>
      <c r="D26" s="3">
        <v>84000</v>
      </c>
      <c r="E26" s="2">
        <v>32</v>
      </c>
      <c r="F26" s="2">
        <v>2</v>
      </c>
      <c r="G26" s="2" t="s">
        <v>0</v>
      </c>
      <c r="H26" s="2" t="s">
        <v>0</v>
      </c>
    </row>
    <row r="27" spans="1:8" ht="15" x14ac:dyDescent="0.25">
      <c r="A27" s="2">
        <v>479102</v>
      </c>
      <c r="B27" s="2">
        <v>3</v>
      </c>
      <c r="C27" s="3">
        <v>85000</v>
      </c>
      <c r="D27" s="3"/>
      <c r="E27" s="2">
        <v>48</v>
      </c>
      <c r="F27" s="2">
        <v>1</v>
      </c>
      <c r="G27" s="2" t="s">
        <v>0</v>
      </c>
      <c r="H27" s="2"/>
    </row>
    <row r="28" spans="1:8" ht="15" x14ac:dyDescent="0.25">
      <c r="A28" s="2">
        <v>481800</v>
      </c>
      <c r="B28" s="2">
        <v>2</v>
      </c>
      <c r="C28" s="3"/>
      <c r="D28" s="3">
        <v>80000</v>
      </c>
      <c r="E28" s="2">
        <v>64</v>
      </c>
      <c r="F28" s="2"/>
      <c r="G28" s="2" t="s">
        <v>1</v>
      </c>
      <c r="H28" s="2" t="s">
        <v>1</v>
      </c>
    </row>
    <row r="29" spans="1:8" ht="15" x14ac:dyDescent="0.25">
      <c r="A29" s="2">
        <v>482078</v>
      </c>
      <c r="B29" s="2">
        <v>1</v>
      </c>
      <c r="C29" s="3">
        <v>110000</v>
      </c>
      <c r="D29" s="3">
        <v>98000</v>
      </c>
      <c r="E29" s="2">
        <v>32</v>
      </c>
      <c r="F29" s="2">
        <v>8</v>
      </c>
      <c r="G29" s="2" t="s">
        <v>0</v>
      </c>
      <c r="H29" s="2" t="s">
        <v>0</v>
      </c>
    </row>
    <row r="30" spans="1:8" ht="15" x14ac:dyDescent="0.25">
      <c r="A30" s="2">
        <v>486583</v>
      </c>
      <c r="B30" s="2">
        <v>1</v>
      </c>
      <c r="C30" s="3">
        <v>86000</v>
      </c>
      <c r="D30" s="3">
        <v>80000</v>
      </c>
      <c r="E30" s="2">
        <v>32</v>
      </c>
      <c r="F30" s="2"/>
      <c r="G30" s="2" t="s">
        <v>3</v>
      </c>
      <c r="H30" s="2" t="s">
        <v>0</v>
      </c>
    </row>
    <row r="31" spans="1:8" ht="15" x14ac:dyDescent="0.25">
      <c r="A31" s="2">
        <v>492053</v>
      </c>
      <c r="B31" s="2">
        <v>1</v>
      </c>
      <c r="C31" s="3">
        <v>86000</v>
      </c>
      <c r="D31" s="3">
        <v>74000</v>
      </c>
      <c r="E31" s="2">
        <v>32</v>
      </c>
      <c r="F31" s="2">
        <v>2</v>
      </c>
      <c r="G31" s="2" t="s">
        <v>0</v>
      </c>
      <c r="H31" s="2" t="s">
        <v>0</v>
      </c>
    </row>
    <row r="32" spans="1:8" ht="15" x14ac:dyDescent="0.25">
      <c r="A32" s="2">
        <v>492133</v>
      </c>
      <c r="B32" s="2">
        <v>1</v>
      </c>
      <c r="C32" s="3">
        <v>100000</v>
      </c>
      <c r="D32" s="3">
        <v>88000</v>
      </c>
      <c r="E32" s="2">
        <v>32</v>
      </c>
      <c r="F32" s="2">
        <v>10</v>
      </c>
      <c r="G32" s="2" t="s">
        <v>0</v>
      </c>
      <c r="H32" s="2" t="s">
        <v>0</v>
      </c>
    </row>
    <row r="33" spans="1:8" ht="15" x14ac:dyDescent="0.25">
      <c r="A33" s="2">
        <v>492176</v>
      </c>
      <c r="B33" s="2">
        <v>1</v>
      </c>
      <c r="C33" s="3">
        <v>86000</v>
      </c>
      <c r="D33" s="3">
        <v>80000</v>
      </c>
      <c r="E33" s="2">
        <v>34</v>
      </c>
      <c r="F33" s="2"/>
      <c r="G33" s="2" t="s">
        <v>3</v>
      </c>
      <c r="H33" s="2" t="s">
        <v>0</v>
      </c>
    </row>
    <row r="34" spans="1:8" ht="15" x14ac:dyDescent="0.25">
      <c r="A34" s="2">
        <v>496907</v>
      </c>
      <c r="B34" s="2">
        <v>2</v>
      </c>
      <c r="C34" s="3"/>
      <c r="D34" s="3">
        <v>80000</v>
      </c>
      <c r="E34" s="2">
        <v>59</v>
      </c>
      <c r="F34" s="2"/>
      <c r="G34" s="2" t="s">
        <v>1</v>
      </c>
      <c r="H34" s="2" t="s">
        <v>2</v>
      </c>
    </row>
    <row r="35" spans="1:8" ht="15" x14ac:dyDescent="0.25">
      <c r="A35" s="2">
        <v>507242</v>
      </c>
      <c r="B35" s="2">
        <v>1</v>
      </c>
      <c r="C35" s="3">
        <v>92000</v>
      </c>
      <c r="D35" s="3">
        <v>40000</v>
      </c>
      <c r="E35" s="2">
        <v>44</v>
      </c>
      <c r="F35" s="2">
        <v>7</v>
      </c>
      <c r="G35" s="2" t="s">
        <v>0</v>
      </c>
      <c r="H35" s="2" t="s">
        <v>0</v>
      </c>
    </row>
    <row r="36" spans="1:8" ht="15" x14ac:dyDescent="0.25">
      <c r="A36" s="2">
        <v>513820</v>
      </c>
      <c r="B36" s="2">
        <v>1</v>
      </c>
      <c r="C36" s="3"/>
      <c r="D36" s="3">
        <v>80000</v>
      </c>
      <c r="E36" s="2">
        <v>62</v>
      </c>
      <c r="F36" s="2"/>
      <c r="G36" s="2" t="s">
        <v>1</v>
      </c>
      <c r="H36" s="2" t="s">
        <v>2</v>
      </c>
    </row>
    <row r="37" spans="1:8" ht="15" x14ac:dyDescent="0.25">
      <c r="A37" s="2">
        <v>514774</v>
      </c>
      <c r="B37" s="2">
        <v>3</v>
      </c>
      <c r="C37" s="3"/>
      <c r="D37" s="3">
        <v>80000</v>
      </c>
      <c r="E37" s="2">
        <v>44</v>
      </c>
      <c r="F37" s="2"/>
      <c r="G37" s="2" t="s">
        <v>2</v>
      </c>
      <c r="H37" s="2" t="s">
        <v>2</v>
      </c>
    </row>
    <row r="38" spans="1:8" ht="15" x14ac:dyDescent="0.25">
      <c r="A38" s="2">
        <v>520201</v>
      </c>
      <c r="B38" s="2">
        <v>2</v>
      </c>
      <c r="C38" s="3"/>
      <c r="D38" s="3">
        <v>80000</v>
      </c>
      <c r="E38" s="2">
        <v>36</v>
      </c>
      <c r="F38" s="2"/>
      <c r="G38" s="2" t="s">
        <v>2</v>
      </c>
      <c r="H38" s="2" t="s">
        <v>2</v>
      </c>
    </row>
    <row r="39" spans="1:8" ht="15" x14ac:dyDescent="0.25">
      <c r="A39" s="2">
        <v>520938</v>
      </c>
      <c r="B39" s="2">
        <v>1</v>
      </c>
      <c r="C39" s="3">
        <v>23000</v>
      </c>
      <c r="D39" s="3">
        <v>11000</v>
      </c>
      <c r="E39" s="2">
        <v>36</v>
      </c>
      <c r="F39" s="2">
        <v>10</v>
      </c>
      <c r="G39" s="2" t="s">
        <v>0</v>
      </c>
      <c r="H39" s="2" t="s">
        <v>0</v>
      </c>
    </row>
    <row r="40" spans="1:8" ht="15" x14ac:dyDescent="0.25">
      <c r="A40" s="2">
        <v>521501</v>
      </c>
      <c r="B40" s="2">
        <v>1</v>
      </c>
      <c r="C40" s="3">
        <v>79000</v>
      </c>
      <c r="D40" s="3">
        <v>67000</v>
      </c>
      <c r="E40" s="2">
        <v>26</v>
      </c>
      <c r="F40" s="2">
        <v>8</v>
      </c>
      <c r="G40" s="2" t="s">
        <v>0</v>
      </c>
      <c r="H40" s="2" t="s">
        <v>0</v>
      </c>
    </row>
    <row r="41" spans="1:8" ht="15" x14ac:dyDescent="0.25">
      <c r="A41" s="2">
        <v>526149</v>
      </c>
      <c r="B41" s="2">
        <v>3</v>
      </c>
      <c r="C41" s="3">
        <v>97000</v>
      </c>
      <c r="D41" s="3">
        <v>92380.952380952382</v>
      </c>
      <c r="E41" s="2">
        <v>55</v>
      </c>
      <c r="F41" s="2">
        <v>9</v>
      </c>
      <c r="G41" s="2" t="s">
        <v>0</v>
      </c>
      <c r="H41" s="2" t="s">
        <v>0</v>
      </c>
    </row>
    <row r="42" spans="1:8" ht="15" x14ac:dyDescent="0.25">
      <c r="A42" s="2">
        <v>539134</v>
      </c>
      <c r="B42" s="2">
        <v>1</v>
      </c>
      <c r="C42" s="3">
        <v>94000</v>
      </c>
      <c r="D42" s="3">
        <v>82000</v>
      </c>
      <c r="E42" s="2">
        <v>32</v>
      </c>
      <c r="F42" s="2">
        <v>10</v>
      </c>
      <c r="G42" s="2" t="s">
        <v>0</v>
      </c>
      <c r="H42" s="2" t="s">
        <v>0</v>
      </c>
    </row>
    <row r="43" spans="1:8" ht="15" x14ac:dyDescent="0.25">
      <c r="A43" s="2">
        <v>540346</v>
      </c>
      <c r="B43" s="2">
        <v>1</v>
      </c>
      <c r="C43" s="3">
        <v>95000</v>
      </c>
      <c r="D43" s="3">
        <v>90476.190476190473</v>
      </c>
      <c r="E43" s="2">
        <v>49</v>
      </c>
      <c r="F43" s="2">
        <v>10</v>
      </c>
      <c r="G43" s="2" t="s">
        <v>0</v>
      </c>
      <c r="H43" s="2" t="s">
        <v>0</v>
      </c>
    </row>
    <row r="44" spans="1:8" ht="15" x14ac:dyDescent="0.25">
      <c r="A44" s="2">
        <v>547503</v>
      </c>
      <c r="B44" s="2">
        <v>2</v>
      </c>
      <c r="C44" s="3">
        <v>90000</v>
      </c>
      <c r="D44" s="3">
        <v>85714.28571428571</v>
      </c>
      <c r="E44" s="2">
        <v>49</v>
      </c>
      <c r="F44" s="2">
        <v>15</v>
      </c>
      <c r="G44" s="2" t="s">
        <v>0</v>
      </c>
      <c r="H44" s="2" t="s">
        <v>0</v>
      </c>
    </row>
    <row r="45" spans="1:8" ht="15" x14ac:dyDescent="0.25">
      <c r="A45" s="2">
        <v>552468</v>
      </c>
      <c r="B45" s="2">
        <v>1</v>
      </c>
      <c r="C45" s="3">
        <v>86000</v>
      </c>
      <c r="D45" s="3">
        <v>74000</v>
      </c>
      <c r="E45" s="2">
        <v>67</v>
      </c>
      <c r="F45" s="2">
        <v>37</v>
      </c>
      <c r="G45" s="2" t="s">
        <v>0</v>
      </c>
      <c r="H45" s="2" t="s">
        <v>0</v>
      </c>
    </row>
    <row r="46" spans="1:8" ht="15" x14ac:dyDescent="0.25">
      <c r="A46" s="2">
        <v>555539</v>
      </c>
      <c r="B46" s="2">
        <v>2</v>
      </c>
      <c r="C46" s="3">
        <v>86000</v>
      </c>
      <c r="D46" s="3">
        <v>80000</v>
      </c>
      <c r="E46" s="2">
        <v>58</v>
      </c>
      <c r="F46" s="2"/>
      <c r="G46" s="2" t="s">
        <v>1</v>
      </c>
      <c r="H46" s="2" t="s">
        <v>0</v>
      </c>
    </row>
    <row r="47" spans="1:8" ht="15" x14ac:dyDescent="0.25">
      <c r="A47" s="2">
        <v>561821</v>
      </c>
      <c r="B47" s="2">
        <v>1</v>
      </c>
      <c r="C47" s="3">
        <v>86000</v>
      </c>
      <c r="D47" s="3">
        <v>81904.761904761908</v>
      </c>
      <c r="E47" s="2">
        <v>47</v>
      </c>
      <c r="F47" s="2">
        <v>10</v>
      </c>
      <c r="G47" s="2" t="s">
        <v>0</v>
      </c>
      <c r="H47" s="2" t="s">
        <v>0</v>
      </c>
    </row>
    <row r="48" spans="1:8" ht="15" x14ac:dyDescent="0.25">
      <c r="A48" s="2">
        <v>564037</v>
      </c>
      <c r="B48" s="2">
        <v>1</v>
      </c>
      <c r="C48" s="3">
        <v>200000</v>
      </c>
      <c r="D48" s="3">
        <v>188000</v>
      </c>
      <c r="E48" s="2">
        <v>32</v>
      </c>
      <c r="F48" s="2">
        <v>8</v>
      </c>
      <c r="G48" s="2" t="s">
        <v>0</v>
      </c>
      <c r="H48" s="2" t="s">
        <v>0</v>
      </c>
    </row>
    <row r="49" spans="1:8" ht="15" x14ac:dyDescent="0.25">
      <c r="A49" s="2">
        <v>564894</v>
      </c>
      <c r="B49" s="2">
        <v>3</v>
      </c>
      <c r="C49" s="3">
        <v>320000</v>
      </c>
      <c r="D49" s="3">
        <v>320000</v>
      </c>
      <c r="E49" s="2">
        <v>51</v>
      </c>
      <c r="F49" s="2">
        <v>20</v>
      </c>
      <c r="G49" s="2" t="s">
        <v>0</v>
      </c>
      <c r="H49" s="2" t="s">
        <v>0</v>
      </c>
    </row>
    <row r="50" spans="1:8" ht="15" x14ac:dyDescent="0.25">
      <c r="A50" s="2">
        <v>568218</v>
      </c>
      <c r="B50" s="2">
        <v>1</v>
      </c>
      <c r="C50" s="3">
        <v>86000</v>
      </c>
      <c r="D50" s="3">
        <v>80000</v>
      </c>
      <c r="E50" s="2">
        <v>42</v>
      </c>
      <c r="F50" s="2">
        <v>22</v>
      </c>
      <c r="G50" s="2" t="s">
        <v>0</v>
      </c>
      <c r="H50" s="2" t="s">
        <v>0</v>
      </c>
    </row>
    <row r="51" spans="1:8" ht="15" x14ac:dyDescent="0.25">
      <c r="A51" s="2">
        <v>568859</v>
      </c>
      <c r="B51" s="2">
        <v>1</v>
      </c>
      <c r="C51" s="3">
        <v>98000</v>
      </c>
      <c r="D51" s="3">
        <v>93333.333333333328</v>
      </c>
      <c r="E51" s="2">
        <v>47</v>
      </c>
      <c r="F51" s="2">
        <v>11</v>
      </c>
      <c r="G51" s="2" t="s">
        <v>0</v>
      </c>
      <c r="H51" s="2" t="s">
        <v>0</v>
      </c>
    </row>
    <row r="52" spans="1:8" ht="15" x14ac:dyDescent="0.25">
      <c r="A52" s="2">
        <v>574304</v>
      </c>
      <c r="B52" s="2">
        <v>3</v>
      </c>
      <c r="C52" s="3">
        <v>88000</v>
      </c>
      <c r="D52" s="3">
        <v>83809.523809523802</v>
      </c>
      <c r="E52" s="2">
        <v>52</v>
      </c>
      <c r="F52" s="2">
        <v>14</v>
      </c>
      <c r="G52" s="2" t="s">
        <v>0</v>
      </c>
      <c r="H52" s="2" t="s">
        <v>0</v>
      </c>
    </row>
    <row r="53" spans="1:8" ht="15" x14ac:dyDescent="0.25">
      <c r="A53" s="2">
        <v>574720</v>
      </c>
      <c r="B53" s="2">
        <v>2</v>
      </c>
      <c r="C53" s="3">
        <v>99000</v>
      </c>
      <c r="D53" s="3">
        <v>94285.714285714275</v>
      </c>
      <c r="E53" s="2">
        <v>52</v>
      </c>
      <c r="F53" s="2">
        <v>21</v>
      </c>
      <c r="G53" s="2" t="s">
        <v>0</v>
      </c>
      <c r="H53" s="2" t="s">
        <v>0</v>
      </c>
    </row>
    <row r="54" spans="1:8" ht="15" x14ac:dyDescent="0.25">
      <c r="A54" s="2">
        <v>582664</v>
      </c>
      <c r="B54" s="2">
        <v>2</v>
      </c>
      <c r="C54" s="3">
        <v>84000</v>
      </c>
      <c r="D54" s="3">
        <v>80000</v>
      </c>
      <c r="E54" s="2">
        <v>52</v>
      </c>
      <c r="F54" s="2">
        <v>8</v>
      </c>
      <c r="G54" s="2" t="s">
        <v>0</v>
      </c>
      <c r="H54" s="2" t="s">
        <v>0</v>
      </c>
    </row>
  </sheetData>
  <mergeCells count="1">
    <mergeCell ref="A1:H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 by Service</vt:lpstr>
      <vt:lpstr>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2020-09-11T22:13:41Z</cp:lastPrinted>
  <dcterms:created xsi:type="dcterms:W3CDTF">2020-09-08T00:57:40Z</dcterms:created>
  <dcterms:modified xsi:type="dcterms:W3CDTF">2020-09-11T22:14:08Z</dcterms:modified>
</cp:coreProperties>
</file>