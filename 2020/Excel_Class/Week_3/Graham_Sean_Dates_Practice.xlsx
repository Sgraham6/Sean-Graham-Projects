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13_ncr:1_{3D6A6794-B88D-4689-929F-BD415CFC08E6}" xr6:coauthVersionLast="45" xr6:coauthVersionMax="45" xr10:uidLastSave="{00000000-0000-0000-0000-000000000000}"/>
  <bookViews>
    <workbookView xWindow="810" yWindow="-120" windowWidth="19800" windowHeight="11760" xr2:uid="{EF1B990F-B6B4-4E22-972D-1000D584B3DF}"/>
  </bookViews>
  <sheets>
    <sheet name="Date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1" l="1"/>
  <c r="F49" i="1" l="1"/>
  <c r="F40" i="1" l="1"/>
  <c r="C61" i="1" l="1"/>
  <c r="D61" i="1" s="1"/>
  <c r="E61" i="1" s="1"/>
  <c r="C60" i="1"/>
  <c r="D60" i="1" s="1"/>
  <c r="C59" i="1"/>
  <c r="D59" i="1" s="1"/>
  <c r="E59" i="1" s="1"/>
  <c r="C58" i="1"/>
  <c r="F48" i="1"/>
  <c r="F44" i="1"/>
  <c r="F43" i="1"/>
  <c r="F42" i="1"/>
  <c r="F38" i="1"/>
  <c r="F37" i="1"/>
  <c r="F36" i="1"/>
  <c r="F35" i="1"/>
  <c r="F28" i="1"/>
  <c r="F27" i="1"/>
  <c r="F26" i="1"/>
  <c r="F25" i="1"/>
  <c r="F24" i="1"/>
  <c r="F23" i="1"/>
  <c r="F22" i="1"/>
  <c r="F21" i="1"/>
  <c r="C12" i="1"/>
  <c r="C11" i="1"/>
  <c r="C10" i="1"/>
  <c r="C8" i="1"/>
  <c r="C9" i="1"/>
  <c r="C7" i="1"/>
  <c r="E60" i="1" l="1"/>
  <c r="F53" i="1" s="1"/>
  <c r="D58" i="1"/>
  <c r="E58" i="1" s="1"/>
  <c r="F51" i="1" s="1"/>
  <c r="F47" i="1"/>
  <c r="F45" i="1"/>
  <c r="F54" i="1"/>
  <c r="F52" i="1"/>
  <c r="F39" i="1"/>
</calcChain>
</file>

<file path=xl/sharedStrings.xml><?xml version="1.0" encoding="utf-8"?>
<sst xmlns="http://schemas.openxmlformats.org/spreadsheetml/2006/main" count="36" uniqueCount="35">
  <si>
    <t>Input Date</t>
  </si>
  <si>
    <t>Elapsed Time from the starting Date to the Ending Date</t>
  </si>
  <si>
    <t>Input Starting Date</t>
  </si>
  <si>
    <t>Input Ending Date</t>
  </si>
  <si>
    <t>1. Based on 365.25 days a year</t>
  </si>
  <si>
    <t>2. Based on 365 days a year</t>
  </si>
  <si>
    <t>3. Based on 360 days a year</t>
  </si>
  <si>
    <t>5. Based on US (NASD) 30/360</t>
  </si>
  <si>
    <t>6. Based on Actual/actual</t>
  </si>
  <si>
    <t>7. Based on Actual/360</t>
  </si>
  <si>
    <t>8. Based on Actual/365</t>
  </si>
  <si>
    <t>9. Based on European 30/360</t>
  </si>
  <si>
    <t>Miscellaneous Functions</t>
  </si>
  <si>
    <t>The year of the date</t>
  </si>
  <si>
    <t>The month of the date</t>
  </si>
  <si>
    <t>The day of the date</t>
  </si>
  <si>
    <t>The day of the week for the input date</t>
  </si>
  <si>
    <t>The date last year</t>
  </si>
  <si>
    <t>The last day of the following month</t>
  </si>
  <si>
    <t>The last day of the previous month</t>
  </si>
  <si>
    <t>The last day of the current month</t>
  </si>
  <si>
    <t>The last day of the year</t>
  </si>
  <si>
    <t>The first day of the current year</t>
  </si>
  <si>
    <t>The first day of the current month</t>
  </si>
  <si>
    <t>The first day of the last month</t>
  </si>
  <si>
    <t>The first Tuesday of the month</t>
  </si>
  <si>
    <t>The last Thursday of the month</t>
  </si>
  <si>
    <t>The first working day of the month (assume no holidays)</t>
  </si>
  <si>
    <t>The date in three years, two months, and 15 days</t>
  </si>
  <si>
    <t>The last working day of the month (assume no holidays)</t>
  </si>
  <si>
    <t>The TEXT Function</t>
  </si>
  <si>
    <t>4. Based on actual year and month but day/360</t>
  </si>
  <si>
    <t>ref date</t>
  </si>
  <si>
    <t>day of week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</si>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</sst>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dddd"/>
    <numFmt numFmtId="166" formatCode="m/d/yyyy\ ddd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3" fillId="3" borderId="11" xfId="0" applyNumberFormat="1" applyFont="1" applyFill="1" applyBorder="1"/>
    <xf numFmtId="0" fontId="0" fillId="0" borderId="0" xfId="0" applyAlignment="1">
      <alignment vertical="center"/>
    </xf>
    <xf numFmtId="14" fontId="0" fillId="3" borderId="3" xfId="0" applyNumberFormat="1" applyFont="1" applyFill="1" applyBorder="1"/>
    <xf numFmtId="14" fontId="0" fillId="3" borderId="8" xfId="0" applyNumberFormat="1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0" xfId="0" applyFont="1" applyBorder="1"/>
    <xf numFmtId="0" fontId="0" fillId="0" borderId="10" xfId="0" applyFont="1" applyBorder="1"/>
    <xf numFmtId="0" fontId="0" fillId="0" borderId="4" xfId="0" applyBorder="1" applyAlignment="1">
      <alignment vertical="center"/>
    </xf>
    <xf numFmtId="0" fontId="0" fillId="0" borderId="0" xfId="0" applyFill="1" applyBorder="1"/>
    <xf numFmtId="164" fontId="0" fillId="0" borderId="11" xfId="0" applyNumberFormat="1" applyFont="1" applyBorder="1"/>
    <xf numFmtId="164" fontId="0" fillId="0" borderId="5" xfId="0" applyNumberFormat="1" applyFont="1" applyBorder="1"/>
    <xf numFmtId="164" fontId="0" fillId="0" borderId="8" xfId="0" applyNumberFormat="1" applyFont="1" applyBorder="1"/>
    <xf numFmtId="14" fontId="0" fillId="0" borderId="0" xfId="0" applyNumberFormat="1" applyBorder="1"/>
    <xf numFmtId="165" fontId="0" fillId="0" borderId="0" xfId="0" applyNumberFormat="1" applyBorder="1"/>
    <xf numFmtId="14" fontId="0" fillId="0" borderId="0" xfId="0" applyNumberFormat="1"/>
    <xf numFmtId="166" fontId="0" fillId="0" borderId="0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83B8-DED6-4BC0-9D5D-C50EA4AE01AE}">
  <sheetPr>
    <pageSetUpPr fitToPage="1"/>
  </sheetPr>
  <dimension ref="B2:I61"/>
  <sheetViews>
    <sheetView tabSelected="1" topLeftCell="A35" workbookViewId="0"/>
  </sheetViews>
  <sheetFormatPr defaultRowHeight="15" x14ac:dyDescent="0.25"/>
  <cols>
    <col min="1" max="2" width="2.140625" customWidth="1"/>
    <col min="3" max="6" width="21.42578125" customWidth="1"/>
    <col min="7" max="7" width="2.140625" customWidth="1"/>
  </cols>
  <sheetData>
    <row r="2" spans="2:7" ht="15.75" thickBot="1" x14ac:dyDescent="0.3"/>
    <row r="3" spans="2:7" ht="18" customHeight="1" thickBot="1" x14ac:dyDescent="0.3">
      <c r="B3" s="31" t="s">
        <v>30</v>
      </c>
      <c r="C3" s="32"/>
      <c r="D3" s="32"/>
      <c r="E3" s="32"/>
      <c r="F3" s="32"/>
      <c r="G3" s="33"/>
    </row>
    <row r="4" spans="2:7" ht="3.75" customHeight="1" thickBot="1" x14ac:dyDescent="0.3">
      <c r="B4" s="1"/>
      <c r="C4" s="2"/>
      <c r="D4" s="2"/>
      <c r="E4" s="2"/>
      <c r="F4" s="2"/>
      <c r="G4" s="3"/>
    </row>
    <row r="5" spans="2:7" ht="15.75" thickBot="1" x14ac:dyDescent="0.3">
      <c r="B5" s="1"/>
      <c r="C5" s="7" t="s">
        <v>0</v>
      </c>
      <c r="D5" s="8"/>
      <c r="E5" s="8"/>
      <c r="F5" s="9">
        <v>43462</v>
      </c>
      <c r="G5" s="3"/>
    </row>
    <row r="6" spans="2:7" ht="3.75" customHeight="1" thickBot="1" x14ac:dyDescent="0.3">
      <c r="B6" s="1"/>
      <c r="C6" s="2"/>
      <c r="D6" s="2"/>
      <c r="E6" s="2"/>
      <c r="F6" s="2"/>
      <c r="G6" s="3"/>
    </row>
    <row r="7" spans="2:7" ht="15.75" thickBot="1" x14ac:dyDescent="0.3">
      <c r="B7" s="1"/>
      <c r="C7" s="28" t="str">
        <f>"The input date in the regular US format is " &amp; TEXT(F5,"m/d/yyyy")</f>
        <v>The input date in the regular US format is 12/28/2018</v>
      </c>
      <c r="D7" s="29"/>
      <c r="E7" s="29"/>
      <c r="F7" s="30"/>
      <c r="G7" s="3"/>
    </row>
    <row r="8" spans="2:7" ht="15.75" thickBot="1" x14ac:dyDescent="0.3">
      <c r="B8" s="1"/>
      <c r="C8" s="28" t="str">
        <f>"The input date in the long format is " &amp;TEXT(F5,"mmmm d, yyyy")</f>
        <v>The input date in the long format is December 28, 2018</v>
      </c>
      <c r="D8" s="29"/>
      <c r="E8" s="29"/>
      <c r="F8" s="30"/>
      <c r="G8" s="3"/>
    </row>
    <row r="9" spans="2:7" ht="15.75" thickBot="1" x14ac:dyDescent="0.3">
      <c r="B9" s="1"/>
      <c r="C9" s="28" t="str">
        <f>"The input date in a US format with (short) day of the week is " &amp;TEXT(F5,"m/d/yyyy ddd")</f>
        <v>The input date in a US format with (short) day of the week is 12/28/2018 Fri</v>
      </c>
      <c r="D9" s="29"/>
      <c r="E9" s="29"/>
      <c r="F9" s="30"/>
      <c r="G9" s="3"/>
    </row>
    <row r="10" spans="2:7" ht="15.75" thickBot="1" x14ac:dyDescent="0.3">
      <c r="B10" s="1"/>
      <c r="C10" s="28" t="str">
        <f>"The input date in a US format with (full) day of the week is " &amp;TEXT(F5, "m/d/yyyy dddd")</f>
        <v>The input date in a US format with (full) day of the week is 12/28/2018 Friday</v>
      </c>
      <c r="D10" s="29"/>
      <c r="E10" s="29"/>
      <c r="F10" s="30"/>
      <c r="G10" s="3"/>
    </row>
    <row r="11" spans="2:7" ht="15.75" thickBot="1" x14ac:dyDescent="0.3">
      <c r="B11" s="1"/>
      <c r="C11" s="28" t="str">
        <f>"The input date in the long format with full day of week is " &amp;TEXT(F5, "mmmm d, yyyy dddd")</f>
        <v>The input date in the long format with full day of week is December 28, 2018 Friday</v>
      </c>
      <c r="D11" s="29"/>
      <c r="E11" s="29"/>
      <c r="F11" s="30"/>
      <c r="G11" s="3"/>
    </row>
    <row r="12" spans="2:7" ht="15.75" thickBot="1" x14ac:dyDescent="0.3">
      <c r="B12" s="1"/>
      <c r="C12" s="28" t="str">
        <f>+"The input date in the Asian format is " &amp;TEXT(F5, "yyyy.m.d")</f>
        <v>The input date in the Asian format is 2018.12.28</v>
      </c>
      <c r="D12" s="29"/>
      <c r="E12" s="29"/>
      <c r="F12" s="30"/>
      <c r="G12" s="3"/>
    </row>
    <row r="13" spans="2:7" ht="3.75" customHeight="1" thickBot="1" x14ac:dyDescent="0.3">
      <c r="B13" s="4"/>
      <c r="C13" s="5"/>
      <c r="D13" s="5"/>
      <c r="E13" s="5"/>
      <c r="F13" s="5"/>
      <c r="G13" s="6"/>
    </row>
    <row r="14" spans="2:7" ht="15.75" thickBot="1" x14ac:dyDescent="0.3"/>
    <row r="15" spans="2:7" ht="18" customHeight="1" thickBot="1" x14ac:dyDescent="0.3">
      <c r="B15" s="31" t="s">
        <v>1</v>
      </c>
      <c r="C15" s="36"/>
      <c r="D15" s="36"/>
      <c r="E15" s="36"/>
      <c r="F15" s="36"/>
      <c r="G15" s="37"/>
    </row>
    <row r="16" spans="2:7" ht="3.75" customHeight="1" thickBot="1" x14ac:dyDescent="0.3">
      <c r="B16" s="1"/>
      <c r="C16" s="2"/>
      <c r="D16" s="2"/>
      <c r="E16" s="2"/>
      <c r="F16" s="2"/>
      <c r="G16" s="3"/>
    </row>
    <row r="17" spans="2:9" x14ac:dyDescent="0.25">
      <c r="B17" s="1"/>
      <c r="C17" s="13" t="s">
        <v>2</v>
      </c>
      <c r="D17" s="14"/>
      <c r="E17" s="14"/>
      <c r="F17" s="11">
        <v>39813</v>
      </c>
      <c r="G17" s="3"/>
    </row>
    <row r="18" spans="2:9" ht="15.75" thickBot="1" x14ac:dyDescent="0.3">
      <c r="B18" s="1"/>
      <c r="C18" s="15" t="s">
        <v>3</v>
      </c>
      <c r="D18" s="16"/>
      <c r="E18" s="16"/>
      <c r="F18" s="12">
        <v>40968</v>
      </c>
      <c r="G18" s="3"/>
      <c r="I18" s="10"/>
    </row>
    <row r="19" spans="2:9" ht="3.75" customHeight="1" thickBot="1" x14ac:dyDescent="0.3">
      <c r="B19" s="1"/>
      <c r="C19" s="17"/>
      <c r="D19" s="17"/>
      <c r="E19" s="17"/>
      <c r="F19" s="17"/>
      <c r="G19" s="3"/>
    </row>
    <row r="20" spans="2:9" ht="15.75" thickBot="1" x14ac:dyDescent="0.3">
      <c r="B20" s="1"/>
      <c r="C20" s="34" t="s">
        <v>4</v>
      </c>
      <c r="D20" s="35"/>
      <c r="E20" s="18"/>
      <c r="F20" s="21">
        <f>(F18-F17)/365.25</f>
        <v>3.162217659137577</v>
      </c>
      <c r="G20" s="3"/>
    </row>
    <row r="21" spans="2:9" ht="15.75" thickBot="1" x14ac:dyDescent="0.3">
      <c r="B21" s="1"/>
      <c r="C21" s="34" t="s">
        <v>5</v>
      </c>
      <c r="D21" s="35"/>
      <c r="E21" s="17"/>
      <c r="F21" s="22">
        <f>(F18-F17)/365</f>
        <v>3.1643835616438358</v>
      </c>
      <c r="G21" s="3"/>
    </row>
    <row r="22" spans="2:9" ht="15.75" thickBot="1" x14ac:dyDescent="0.3">
      <c r="B22" s="1"/>
      <c r="C22" s="34" t="s">
        <v>6</v>
      </c>
      <c r="D22" s="35"/>
      <c r="E22" s="18"/>
      <c r="F22" s="21">
        <f>(F18-F17)/360</f>
        <v>3.2083333333333335</v>
      </c>
      <c r="G22" s="3"/>
    </row>
    <row r="23" spans="2:9" ht="15.75" thickBot="1" x14ac:dyDescent="0.3">
      <c r="B23" s="1"/>
      <c r="C23" s="34" t="s">
        <v>31</v>
      </c>
      <c r="D23" s="35"/>
      <c r="E23" s="35"/>
      <c r="F23" s="22">
        <f>(YEAR(F18)-YEAR(F17)+(MONTH(F18)-MONTH(F17))/12+(DAY(F18)-DAY(F17))/360)</f>
        <v>3.161111111111111</v>
      </c>
      <c r="G23" s="3"/>
    </row>
    <row r="24" spans="2:9" ht="15.75" thickBot="1" x14ac:dyDescent="0.3">
      <c r="B24" s="1"/>
      <c r="C24" s="34" t="s">
        <v>7</v>
      </c>
      <c r="D24" s="35"/>
      <c r="E24" s="18"/>
      <c r="F24" s="21">
        <f>YEARFRAC(F17,F18,0)</f>
        <v>3.1638888888888888</v>
      </c>
      <c r="G24" s="3"/>
    </row>
    <row r="25" spans="2:9" ht="15.75" thickBot="1" x14ac:dyDescent="0.3">
      <c r="B25" s="1"/>
      <c r="C25" s="43" t="s">
        <v>8</v>
      </c>
      <c r="D25" s="44"/>
      <c r="E25" s="17"/>
      <c r="F25" s="22">
        <f>YEARFRAC(F17,F18,1)</f>
        <v>3.1609195402298851</v>
      </c>
      <c r="G25" s="3"/>
    </row>
    <row r="26" spans="2:9" ht="15.75" thickBot="1" x14ac:dyDescent="0.3">
      <c r="B26" s="1"/>
      <c r="C26" s="34" t="s">
        <v>9</v>
      </c>
      <c r="D26" s="35"/>
      <c r="E26" s="18"/>
      <c r="F26" s="21">
        <f>YEARFRAC(F17,F18,2)</f>
        <v>3.2083333333333335</v>
      </c>
      <c r="G26" s="3"/>
    </row>
    <row r="27" spans="2:9" ht="15.75" thickBot="1" x14ac:dyDescent="0.3">
      <c r="B27" s="1"/>
      <c r="C27" s="34" t="s">
        <v>10</v>
      </c>
      <c r="D27" s="35"/>
      <c r="E27" s="18"/>
      <c r="F27" s="21">
        <f>YEARFRAC(F17,F18,3)</f>
        <v>3.1643835616438358</v>
      </c>
      <c r="G27" s="3"/>
    </row>
    <row r="28" spans="2:9" ht="15.75" thickBot="1" x14ac:dyDescent="0.3">
      <c r="B28" s="1"/>
      <c r="C28" s="34" t="s">
        <v>11</v>
      </c>
      <c r="D28" s="35"/>
      <c r="E28" s="16"/>
      <c r="F28" s="23">
        <f>YEARFRAC(F17,F18,4)</f>
        <v>3.1638888888888888</v>
      </c>
      <c r="G28" s="3"/>
    </row>
    <row r="29" spans="2:9" ht="3.75" customHeight="1" thickBot="1" x14ac:dyDescent="0.3">
      <c r="B29" s="4"/>
      <c r="C29" s="5"/>
      <c r="D29" s="5"/>
      <c r="E29" s="5"/>
      <c r="F29" s="5"/>
      <c r="G29" s="6"/>
    </row>
    <row r="30" spans="2:9" ht="15.75" thickBot="1" x14ac:dyDescent="0.3"/>
    <row r="31" spans="2:9" ht="18" customHeight="1" thickBot="1" x14ac:dyDescent="0.3">
      <c r="B31" s="31" t="s">
        <v>12</v>
      </c>
      <c r="C31" s="39"/>
      <c r="D31" s="39"/>
      <c r="E31" s="39"/>
      <c r="F31" s="39"/>
      <c r="G31" s="40"/>
    </row>
    <row r="32" spans="2:9" ht="3.75" customHeight="1" thickBot="1" x14ac:dyDescent="0.3">
      <c r="B32" s="19"/>
      <c r="C32" s="2"/>
      <c r="D32" s="2"/>
      <c r="E32" s="2"/>
      <c r="F32" s="2"/>
      <c r="G32" s="3"/>
    </row>
    <row r="33" spans="2:7" ht="15.75" thickBot="1" x14ac:dyDescent="0.3">
      <c r="B33" s="1"/>
      <c r="C33" s="7" t="s">
        <v>0</v>
      </c>
      <c r="D33" s="8"/>
      <c r="E33" s="8"/>
      <c r="F33" s="9">
        <v>43462</v>
      </c>
      <c r="G33" s="3"/>
    </row>
    <row r="34" spans="2:7" ht="3.75" customHeight="1" x14ac:dyDescent="0.25">
      <c r="B34" s="1"/>
      <c r="C34" s="2"/>
      <c r="D34" s="2"/>
      <c r="E34" s="2"/>
      <c r="F34" s="2"/>
      <c r="G34" s="3"/>
    </row>
    <row r="35" spans="2:7" x14ac:dyDescent="0.25">
      <c r="B35" s="1"/>
      <c r="C35" s="2" t="s">
        <v>13</v>
      </c>
      <c r="D35" s="2"/>
      <c r="E35" s="2"/>
      <c r="F35" s="2">
        <f>YEAR($F$33)</f>
        <v>2018</v>
      </c>
      <c r="G35" s="3"/>
    </row>
    <row r="36" spans="2:7" x14ac:dyDescent="0.25">
      <c r="B36" s="1"/>
      <c r="C36" s="2" t="s">
        <v>14</v>
      </c>
      <c r="D36" s="2"/>
      <c r="E36" s="2"/>
      <c r="F36" s="2">
        <f>MONTH($F$33)</f>
        <v>12</v>
      </c>
      <c r="G36" s="3"/>
    </row>
    <row r="37" spans="2:7" x14ac:dyDescent="0.25">
      <c r="B37" s="1"/>
      <c r="C37" s="20" t="s">
        <v>15</v>
      </c>
      <c r="D37" s="2"/>
      <c r="E37" s="2"/>
      <c r="F37" s="2">
        <f>DAY($F$33)</f>
        <v>28</v>
      </c>
      <c r="G37" s="3"/>
    </row>
    <row r="38" spans="2:7" x14ac:dyDescent="0.25">
      <c r="B38" s="1"/>
      <c r="C38" s="41" t="s">
        <v>16</v>
      </c>
      <c r="D38" s="41"/>
      <c r="E38" s="2"/>
      <c r="F38" s="25">
        <f>F33</f>
        <v>43462</v>
      </c>
      <c r="G38" s="3"/>
    </row>
    <row r="39" spans="2:7" x14ac:dyDescent="0.25">
      <c r="B39" s="1"/>
      <c r="C39" s="38" t="s">
        <v>28</v>
      </c>
      <c r="D39" s="38"/>
      <c r="E39" s="38"/>
      <c r="F39" s="24">
        <f>DATE(F35+3,F36+2,F37+15)</f>
        <v>44635</v>
      </c>
      <c r="G39" s="3"/>
    </row>
    <row r="40" spans="2:7" x14ac:dyDescent="0.25">
      <c r="B40" s="1"/>
      <c r="C40" s="20" t="s">
        <v>17</v>
      </c>
      <c r="D40" s="2"/>
      <c r="E40" s="2"/>
      <c r="F40" s="24">
        <f>EDATE(F33,-12)</f>
        <v>43097</v>
      </c>
      <c r="G40" s="3"/>
    </row>
    <row r="41" spans="2:7" ht="3.75" customHeight="1" x14ac:dyDescent="0.25">
      <c r="B41" s="1"/>
      <c r="C41" s="2"/>
      <c r="D41" s="2"/>
      <c r="E41" s="2"/>
      <c r="F41" s="2"/>
      <c r="G41" s="3"/>
    </row>
    <row r="42" spans="2:7" x14ac:dyDescent="0.25">
      <c r="B42" s="1"/>
      <c r="C42" s="42" t="s">
        <v>18</v>
      </c>
      <c r="D42" s="42"/>
      <c r="E42" s="2"/>
      <c r="F42" s="24">
        <f>EOMONTH(F33,1)</f>
        <v>43496</v>
      </c>
      <c r="G42" s="3"/>
    </row>
    <row r="43" spans="2:7" x14ac:dyDescent="0.25">
      <c r="B43" s="1"/>
      <c r="C43" s="38" t="s">
        <v>19</v>
      </c>
      <c r="D43" s="38"/>
      <c r="E43" s="2"/>
      <c r="F43" s="24">
        <f>EOMONTH(F33,-1)</f>
        <v>43434</v>
      </c>
      <c r="G43" s="3"/>
    </row>
    <row r="44" spans="2:7" x14ac:dyDescent="0.25">
      <c r="B44" s="1"/>
      <c r="C44" s="38" t="s">
        <v>20</v>
      </c>
      <c r="D44" s="38"/>
      <c r="E44" s="2"/>
      <c r="F44" s="24">
        <f>EOMONTH(F33,0)</f>
        <v>43465</v>
      </c>
      <c r="G44" s="3"/>
    </row>
    <row r="45" spans="2:7" x14ac:dyDescent="0.25">
      <c r="B45" s="1"/>
      <c r="C45" s="2" t="s">
        <v>21</v>
      </c>
      <c r="D45" s="2"/>
      <c r="E45" s="2"/>
      <c r="F45" s="24">
        <f>DATE(F35,12,31)</f>
        <v>43465</v>
      </c>
      <c r="G45" s="3"/>
    </row>
    <row r="46" spans="2:7" ht="3.75" customHeight="1" x14ac:dyDescent="0.25">
      <c r="B46" s="1"/>
      <c r="C46" s="2"/>
      <c r="D46" s="2"/>
      <c r="E46" s="2"/>
      <c r="F46" s="2"/>
      <c r="G46" s="3"/>
    </row>
    <row r="47" spans="2:7" x14ac:dyDescent="0.25">
      <c r="B47" s="1"/>
      <c r="C47" s="38" t="s">
        <v>22</v>
      </c>
      <c r="D47" s="38"/>
      <c r="E47" s="2"/>
      <c r="F47" s="24">
        <f>DATE(F35,1,1)</f>
        <v>43101</v>
      </c>
      <c r="G47" s="3"/>
    </row>
    <row r="48" spans="2:7" x14ac:dyDescent="0.25">
      <c r="B48" s="1"/>
      <c r="C48" s="38" t="s">
        <v>23</v>
      </c>
      <c r="D48" s="38"/>
      <c r="E48" s="2"/>
      <c r="F48" s="24">
        <f>EOMONTH(F33,-1)+1</f>
        <v>43435</v>
      </c>
      <c r="G48" s="3"/>
    </row>
    <row r="49" spans="2:7" x14ac:dyDescent="0.25">
      <c r="B49" s="1"/>
      <c r="C49" s="38" t="s">
        <v>24</v>
      </c>
      <c r="D49" s="38"/>
      <c r="E49" s="2"/>
      <c r="F49" s="24">
        <f>EOMONTH(F33,-2)+1</f>
        <v>43405</v>
      </c>
      <c r="G49" s="3"/>
    </row>
    <row r="50" spans="2:7" ht="3.75" customHeight="1" x14ac:dyDescent="0.25">
      <c r="B50" s="1"/>
      <c r="C50" s="2"/>
      <c r="D50" s="2"/>
      <c r="E50" s="2"/>
      <c r="F50" s="2"/>
      <c r="G50" s="3"/>
    </row>
    <row r="51" spans="2:7" x14ac:dyDescent="0.25">
      <c r="B51" s="1"/>
      <c r="C51" s="38" t="s">
        <v>25</v>
      </c>
      <c r="D51" s="38"/>
      <c r="E51" s="2"/>
      <c r="F51" s="27">
        <f>C58+E58</f>
        <v>43438</v>
      </c>
      <c r="G51" s="3"/>
    </row>
    <row r="52" spans="2:7" x14ac:dyDescent="0.25">
      <c r="B52" s="1"/>
      <c r="C52" s="38" t="s">
        <v>26</v>
      </c>
      <c r="D52" s="38"/>
      <c r="E52" s="2"/>
      <c r="F52" s="27">
        <f>C59+E59</f>
        <v>43461</v>
      </c>
      <c r="G52" s="3"/>
    </row>
    <row r="53" spans="2:7" x14ac:dyDescent="0.25">
      <c r="B53" s="1"/>
      <c r="C53" s="38" t="s">
        <v>27</v>
      </c>
      <c r="D53" s="38"/>
      <c r="E53" s="38"/>
      <c r="F53" s="27">
        <f>C60+E60</f>
        <v>43437</v>
      </c>
      <c r="G53" s="3"/>
    </row>
    <row r="54" spans="2:7" x14ac:dyDescent="0.25">
      <c r="B54" s="1"/>
      <c r="C54" s="38" t="s">
        <v>29</v>
      </c>
      <c r="D54" s="38"/>
      <c r="E54" s="38"/>
      <c r="F54" s="27">
        <f>C61+E61</f>
        <v>43465</v>
      </c>
      <c r="G54" s="3"/>
    </row>
    <row r="55" spans="2:7" ht="3.75" customHeight="1" thickBot="1" x14ac:dyDescent="0.3">
      <c r="B55" s="4"/>
      <c r="C55" s="5"/>
      <c r="D55" s="5"/>
      <c r="E55" s="5"/>
      <c r="F55" s="5"/>
      <c r="G55" s="6"/>
    </row>
    <row r="57" spans="2:7" hidden="1" x14ac:dyDescent="0.25">
      <c r="C57" t="s">
        <v>32</v>
      </c>
      <c r="D57" t="s">
        <v>33</v>
      </c>
      <c r="E57" t="s">
        <v>34</v>
      </c>
    </row>
    <row r="58" spans="2:7" hidden="1" x14ac:dyDescent="0.25">
      <c r="C58" s="26">
        <f>EOMONTH(F33,-1)+1</f>
        <v>43435</v>
      </c>
      <c r="D58">
        <f>WEEKDAY(C58,2)</f>
        <v>6</v>
      </c>
      <c r="E58">
        <f>IF(D58&lt;=2,2-D58,9-D58)</f>
        <v>3</v>
      </c>
      <c r="F58" s="26"/>
    </row>
    <row r="59" spans="2:7" hidden="1" x14ac:dyDescent="0.25">
      <c r="C59" s="26">
        <f>EOMONTH(F33,0)</f>
        <v>43465</v>
      </c>
      <c r="D59">
        <f>WEEKDAY(C59,2)</f>
        <v>1</v>
      </c>
      <c r="E59">
        <f>IF(D59&gt;=4,4-D59,-3-D59)</f>
        <v>-4</v>
      </c>
    </row>
    <row r="60" spans="2:7" hidden="1" x14ac:dyDescent="0.25">
      <c r="C60" s="26">
        <f>EOMONTH(F33,-1)+1</f>
        <v>43435</v>
      </c>
      <c r="D60">
        <f>WEEKDAY(C60,2)</f>
        <v>6</v>
      </c>
      <c r="E60">
        <f>IF(D60&lt;=5,0,8-D60)</f>
        <v>2</v>
      </c>
    </row>
    <row r="61" spans="2:7" hidden="1" x14ac:dyDescent="0.25">
      <c r="C61" s="26">
        <f>EOMONTH(F33,0)</f>
        <v>43465</v>
      </c>
      <c r="D61">
        <f>WEEKDAY(C61,2)</f>
        <v>1</v>
      </c>
      <c r="E61">
        <f>IF(D61&lt;=5,0,5-D61)</f>
        <v>0</v>
      </c>
    </row>
  </sheetData>
  <mergeCells count="30">
    <mergeCell ref="C53:E53"/>
    <mergeCell ref="C54:E54"/>
    <mergeCell ref="C23:E23"/>
    <mergeCell ref="C44:D44"/>
    <mergeCell ref="C47:D47"/>
    <mergeCell ref="C48:D48"/>
    <mergeCell ref="C49:D49"/>
    <mergeCell ref="C51:D51"/>
    <mergeCell ref="C52:D52"/>
    <mergeCell ref="B31:G31"/>
    <mergeCell ref="C38:D38"/>
    <mergeCell ref="C39:E39"/>
    <mergeCell ref="C42:D42"/>
    <mergeCell ref="C43:D43"/>
    <mergeCell ref="C24:D24"/>
    <mergeCell ref="C25:D25"/>
    <mergeCell ref="C26:D26"/>
    <mergeCell ref="C27:D27"/>
    <mergeCell ref="C28:D28"/>
    <mergeCell ref="C12:F12"/>
    <mergeCell ref="B15:G15"/>
    <mergeCell ref="C20:D20"/>
    <mergeCell ref="C21:D21"/>
    <mergeCell ref="C22:D22"/>
    <mergeCell ref="C11:F11"/>
    <mergeCell ref="B3:G3"/>
    <mergeCell ref="C7:F7"/>
    <mergeCell ref="C8:F8"/>
    <mergeCell ref="C9:F9"/>
    <mergeCell ref="C10:F10"/>
  </mergeCells>
  <pageMargins left="0.7" right="0.7" top="0.75" bottom="0.75" header="0.3" footer="0.3"/>
  <pageSetup scale="99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2020-09-09T15:26:58Z</cp:lastPrinted>
  <dcterms:created xsi:type="dcterms:W3CDTF">2020-09-05T16:07:38Z</dcterms:created>
  <dcterms:modified xsi:type="dcterms:W3CDTF">2020-09-10T16:23:55Z</dcterms:modified>
</cp:coreProperties>
</file>