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6\"/>
    </mc:Choice>
  </mc:AlternateContent>
  <xr:revisionPtr revIDLastSave="0" documentId="8_{8A410DDD-F192-45C4-9593-066CD2F1CB45}" xr6:coauthVersionLast="45" xr6:coauthVersionMax="45" xr10:uidLastSave="{00000000-0000-0000-0000-000000000000}"/>
  <bookViews>
    <workbookView xWindow="810" yWindow="-120" windowWidth="19800" windowHeight="11760" xr2:uid="{200B4FB6-623A-46EB-9D36-4EDF8F6AFEF7}"/>
  </bookViews>
  <sheets>
    <sheet name="Client Data" sheetId="2" r:id="rId1"/>
    <sheet name="Employee Database" sheetId="1" r:id="rId2"/>
    <sheet name="Spec" sheetId="4" r:id="rId3"/>
    <sheet name="ValData" sheetId="3" r:id="rId4"/>
    <sheet name="Final Sheet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'Client Data'!$A$1:$G$57</definedName>
    <definedName name="AssetM">[1]Table!$J$3:$K$13</definedName>
    <definedName name="Benjamin">OFFSET('[2]Weight Watch'!$B$9,'[2]Weight Watch'!$I$3-9,2,'[2]Weight Watch'!$I$2,1)</definedName>
    <definedName name="Client">[1]X!$C$9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2" i="3"/>
  <c r="C55" i="3"/>
  <c r="N17" i="3" l="1"/>
  <c r="K17" i="3" s="1"/>
  <c r="N18" i="3"/>
  <c r="N19" i="3"/>
  <c r="C19" i="3" s="1"/>
  <c r="N20" i="3"/>
  <c r="K20" i="3" s="1"/>
  <c r="N21" i="3"/>
  <c r="N22" i="3"/>
  <c r="C22" i="3" s="1"/>
  <c r="N23" i="3"/>
  <c r="N24" i="3"/>
  <c r="N25" i="3"/>
  <c r="K25" i="3" s="1"/>
  <c r="N26" i="3"/>
  <c r="N27" i="3"/>
  <c r="C27" i="3" s="1"/>
  <c r="N28" i="3"/>
  <c r="K28" i="3" s="1"/>
  <c r="N29" i="3"/>
  <c r="G29" i="3" s="1"/>
  <c r="N30" i="3"/>
  <c r="D30" i="3" s="1"/>
  <c r="N31" i="3"/>
  <c r="N32" i="3"/>
  <c r="N33" i="3"/>
  <c r="K33" i="3" s="1"/>
  <c r="N34" i="3"/>
  <c r="N35" i="3"/>
  <c r="F35" i="3" s="1"/>
  <c r="N36" i="3"/>
  <c r="K36" i="3" s="1"/>
  <c r="N37" i="3"/>
  <c r="F37" i="3" s="1"/>
  <c r="N38" i="3"/>
  <c r="D38" i="3" s="1"/>
  <c r="N39" i="3"/>
  <c r="N40" i="3"/>
  <c r="N41" i="3"/>
  <c r="K41" i="3" s="1"/>
  <c r="N42" i="3"/>
  <c r="N43" i="3"/>
  <c r="F43" i="3" s="1"/>
  <c r="N44" i="3"/>
  <c r="K44" i="3" s="1"/>
  <c r="N45" i="3"/>
  <c r="G45" i="3" s="1"/>
  <c r="N46" i="3"/>
  <c r="C46" i="3" s="1"/>
  <c r="N47" i="3"/>
  <c r="N48" i="3"/>
  <c r="N49" i="3"/>
  <c r="K49" i="3" s="1"/>
  <c r="N50" i="3"/>
  <c r="N51" i="3"/>
  <c r="C51" i="3" s="1"/>
  <c r="N52" i="3"/>
  <c r="K52" i="3" s="1"/>
  <c r="N53" i="3"/>
  <c r="N54" i="3"/>
  <c r="C54" i="3" s="1"/>
  <c r="N55" i="3"/>
  <c r="N56" i="3"/>
  <c r="N57" i="3"/>
  <c r="K57" i="3" s="1"/>
  <c r="N58" i="3"/>
  <c r="N3" i="3"/>
  <c r="C3" i="3" s="1"/>
  <c r="N4" i="3"/>
  <c r="C4" i="3" s="1"/>
  <c r="N5" i="3"/>
  <c r="N6" i="3"/>
  <c r="D6" i="3" s="1"/>
  <c r="N7" i="3"/>
  <c r="N8" i="3"/>
  <c r="N9" i="3"/>
  <c r="K9" i="3" s="1"/>
  <c r="N10" i="3"/>
  <c r="N11" i="3"/>
  <c r="C11" i="3" s="1"/>
  <c r="N12" i="3"/>
  <c r="D12" i="3" s="1"/>
  <c r="N13" i="3"/>
  <c r="N14" i="3"/>
  <c r="D14" i="3" s="1"/>
  <c r="N15" i="3"/>
  <c r="N16" i="3"/>
  <c r="N2" i="3"/>
  <c r="G2" i="3" s="1"/>
  <c r="M3" i="3"/>
  <c r="M4" i="3"/>
  <c r="J4" i="3" s="1"/>
  <c r="M5" i="3"/>
  <c r="O5" i="3" s="1"/>
  <c r="M6" i="3"/>
  <c r="J6" i="3" s="1"/>
  <c r="M7" i="3"/>
  <c r="M8" i="3"/>
  <c r="J8" i="3" s="1"/>
  <c r="M9" i="3"/>
  <c r="M10" i="3"/>
  <c r="J10" i="3" s="1"/>
  <c r="M11" i="3"/>
  <c r="M12" i="3"/>
  <c r="M13" i="3"/>
  <c r="O13" i="3" s="1"/>
  <c r="M14" i="3"/>
  <c r="M15" i="3"/>
  <c r="H15" i="3" s="1"/>
  <c r="M16" i="3"/>
  <c r="H16" i="3" s="1"/>
  <c r="M17" i="3"/>
  <c r="M18" i="3"/>
  <c r="I18" i="3" s="1"/>
  <c r="M19" i="3"/>
  <c r="M20" i="3"/>
  <c r="H20" i="3" s="1"/>
  <c r="M21" i="3"/>
  <c r="E21" i="3" s="1"/>
  <c r="M22" i="3"/>
  <c r="E22" i="3" s="1"/>
  <c r="M23" i="3"/>
  <c r="E23" i="3" s="1"/>
  <c r="M24" i="3"/>
  <c r="E24" i="3" s="1"/>
  <c r="M25" i="3"/>
  <c r="M26" i="3"/>
  <c r="M27" i="3"/>
  <c r="M28" i="3"/>
  <c r="J28" i="3" s="1"/>
  <c r="M29" i="3"/>
  <c r="O29" i="3" s="1"/>
  <c r="M30" i="3"/>
  <c r="M31" i="3"/>
  <c r="M32" i="3"/>
  <c r="M33" i="3"/>
  <c r="M34" i="3"/>
  <c r="M35" i="3"/>
  <c r="M36" i="3"/>
  <c r="O36" i="3" s="1"/>
  <c r="M37" i="3"/>
  <c r="O37" i="3" s="1"/>
  <c r="M38" i="3"/>
  <c r="E38" i="3" s="1"/>
  <c r="M39" i="3"/>
  <c r="I39" i="3" s="1"/>
  <c r="M40" i="3"/>
  <c r="E40" i="3" s="1"/>
  <c r="M41" i="3"/>
  <c r="M42" i="3"/>
  <c r="I42" i="3" s="1"/>
  <c r="M43" i="3"/>
  <c r="M44" i="3"/>
  <c r="I44" i="3" s="1"/>
  <c r="M45" i="3"/>
  <c r="I45" i="3" s="1"/>
  <c r="M46" i="3"/>
  <c r="I46" i="3" s="1"/>
  <c r="M47" i="3"/>
  <c r="E47" i="3" s="1"/>
  <c r="M48" i="3"/>
  <c r="I48" i="3" s="1"/>
  <c r="M49" i="3"/>
  <c r="M50" i="3"/>
  <c r="I50" i="3" s="1"/>
  <c r="M51" i="3"/>
  <c r="M52" i="3"/>
  <c r="O52" i="3" s="1"/>
  <c r="M53" i="3"/>
  <c r="O53" i="3" s="1"/>
  <c r="M54" i="3"/>
  <c r="I54" i="3" s="1"/>
  <c r="M55" i="3"/>
  <c r="M56" i="3"/>
  <c r="M57" i="3"/>
  <c r="M58" i="3"/>
  <c r="I58" i="3" s="1"/>
  <c r="M2" i="3"/>
  <c r="O40" i="3" l="1"/>
  <c r="H24" i="3"/>
  <c r="F57" i="3"/>
  <c r="F19" i="3"/>
  <c r="O20" i="3"/>
  <c r="C6" i="3"/>
  <c r="C30" i="3"/>
  <c r="P53" i="3"/>
  <c r="C28" i="3"/>
  <c r="H23" i="3"/>
  <c r="F51" i="3"/>
  <c r="F11" i="3"/>
  <c r="P45" i="3"/>
  <c r="F3" i="3"/>
  <c r="P37" i="3"/>
  <c r="C52" i="3"/>
  <c r="R52" i="3" s="1"/>
  <c r="C20" i="3"/>
  <c r="I52" i="3"/>
  <c r="I10" i="3"/>
  <c r="G44" i="3"/>
  <c r="J52" i="3"/>
  <c r="O4" i="3"/>
  <c r="P29" i="3"/>
  <c r="C14" i="3"/>
  <c r="R14" i="3" s="1"/>
  <c r="G37" i="3"/>
  <c r="J44" i="3"/>
  <c r="P21" i="3"/>
  <c r="C44" i="3"/>
  <c r="C12" i="3"/>
  <c r="R12" i="3" s="1"/>
  <c r="I47" i="3"/>
  <c r="F27" i="3"/>
  <c r="J36" i="3"/>
  <c r="P13" i="3"/>
  <c r="C38" i="3"/>
  <c r="F25" i="3"/>
  <c r="P5" i="3"/>
  <c r="C36" i="3"/>
  <c r="R36" i="3" s="1"/>
  <c r="I29" i="3"/>
  <c r="E13" i="3"/>
  <c r="G20" i="3"/>
  <c r="J2" i="3"/>
  <c r="I2" i="3"/>
  <c r="U2" i="3" s="1"/>
  <c r="H2" i="3"/>
  <c r="T2" i="3" s="1"/>
  <c r="E2" i="3"/>
  <c r="P2" i="3"/>
  <c r="J43" i="3"/>
  <c r="H43" i="3"/>
  <c r="T43" i="3" s="1"/>
  <c r="I43" i="3"/>
  <c r="U43" i="3" s="1"/>
  <c r="E43" i="3"/>
  <c r="P43" i="3"/>
  <c r="O43" i="3"/>
  <c r="J35" i="3"/>
  <c r="E35" i="3"/>
  <c r="I35" i="3"/>
  <c r="U35" i="3" s="1"/>
  <c r="H35" i="3"/>
  <c r="T35" i="3" s="1"/>
  <c r="O35" i="3"/>
  <c r="P35" i="3"/>
  <c r="R19" i="3"/>
  <c r="J19" i="3"/>
  <c r="H19" i="3"/>
  <c r="T19" i="3" s="1"/>
  <c r="E19" i="3"/>
  <c r="I19" i="3"/>
  <c r="U19" i="3" s="1"/>
  <c r="O19" i="3"/>
  <c r="P19" i="3"/>
  <c r="R11" i="3"/>
  <c r="J11" i="3"/>
  <c r="H11" i="3"/>
  <c r="T11" i="3" s="1"/>
  <c r="I11" i="3"/>
  <c r="U11" i="3" s="1"/>
  <c r="E11" i="3"/>
  <c r="O11" i="3"/>
  <c r="P11" i="3"/>
  <c r="R3" i="3"/>
  <c r="J3" i="3"/>
  <c r="E3" i="3"/>
  <c r="H3" i="3"/>
  <c r="T3" i="3" s="1"/>
  <c r="O3" i="3"/>
  <c r="I3" i="3"/>
  <c r="U3" i="3" s="1"/>
  <c r="P3" i="3"/>
  <c r="K10" i="3"/>
  <c r="F10" i="3"/>
  <c r="G10" i="3"/>
  <c r="D10" i="3"/>
  <c r="C10" i="3"/>
  <c r="R10" i="3" s="1"/>
  <c r="R58" i="3"/>
  <c r="R57" i="3"/>
  <c r="T57" i="3"/>
  <c r="E57" i="3"/>
  <c r="U57" i="3"/>
  <c r="H57" i="3"/>
  <c r="O57" i="3"/>
  <c r="S57" i="3"/>
  <c r="J57" i="3"/>
  <c r="P57" i="3"/>
  <c r="I57" i="3"/>
  <c r="E49" i="3"/>
  <c r="H49" i="3"/>
  <c r="T49" i="3" s="1"/>
  <c r="O49" i="3"/>
  <c r="I49" i="3"/>
  <c r="U49" i="3" s="1"/>
  <c r="J49" i="3"/>
  <c r="P49" i="3"/>
  <c r="E41" i="3"/>
  <c r="H41" i="3"/>
  <c r="T41" i="3" s="1"/>
  <c r="O41" i="3"/>
  <c r="J41" i="3"/>
  <c r="P41" i="3"/>
  <c r="I41" i="3"/>
  <c r="U41" i="3" s="1"/>
  <c r="E33" i="3"/>
  <c r="H33" i="3"/>
  <c r="T33" i="3" s="1"/>
  <c r="O33" i="3"/>
  <c r="J33" i="3"/>
  <c r="I33" i="3"/>
  <c r="U33" i="3" s="1"/>
  <c r="P33" i="3"/>
  <c r="E25" i="3"/>
  <c r="H25" i="3"/>
  <c r="T25" i="3" s="1"/>
  <c r="O25" i="3"/>
  <c r="I25" i="3"/>
  <c r="U25" i="3" s="1"/>
  <c r="J25" i="3"/>
  <c r="P25" i="3"/>
  <c r="E17" i="3"/>
  <c r="H17" i="3"/>
  <c r="T17" i="3" s="1"/>
  <c r="I17" i="3"/>
  <c r="U17" i="3" s="1"/>
  <c r="O17" i="3"/>
  <c r="P17" i="3"/>
  <c r="J17" i="3"/>
  <c r="E9" i="3"/>
  <c r="H9" i="3"/>
  <c r="T9" i="3" s="1"/>
  <c r="J9" i="3"/>
  <c r="O9" i="3"/>
  <c r="P9" i="3"/>
  <c r="I9" i="3"/>
  <c r="U9" i="3" s="1"/>
  <c r="G16" i="3"/>
  <c r="K16" i="3"/>
  <c r="D16" i="3"/>
  <c r="C16" i="3"/>
  <c r="R16" i="3" s="1"/>
  <c r="F16" i="3"/>
  <c r="T16" i="3"/>
  <c r="G8" i="3"/>
  <c r="K8" i="3"/>
  <c r="D8" i="3"/>
  <c r="C8" i="3"/>
  <c r="F8" i="3"/>
  <c r="K48" i="3"/>
  <c r="O48" i="3"/>
  <c r="F48" i="3"/>
  <c r="C48" i="3"/>
  <c r="R48" i="3" s="1"/>
  <c r="G48" i="3"/>
  <c r="D48" i="3"/>
  <c r="K32" i="3"/>
  <c r="G32" i="3"/>
  <c r="D32" i="3"/>
  <c r="S32" i="3" s="1"/>
  <c r="C32" i="3"/>
  <c r="R32" i="3" s="1"/>
  <c r="F32" i="3"/>
  <c r="O2" i="3"/>
  <c r="O8" i="3"/>
  <c r="O10" i="3"/>
  <c r="O16" i="3"/>
  <c r="K56" i="3"/>
  <c r="O56" i="3"/>
  <c r="C56" i="3"/>
  <c r="F56" i="3"/>
  <c r="D56" i="3"/>
  <c r="G56" i="3"/>
  <c r="K40" i="3"/>
  <c r="F40" i="3"/>
  <c r="D40" i="3"/>
  <c r="S40" i="3" s="1"/>
  <c r="G40" i="3"/>
  <c r="C40" i="3"/>
  <c r="R40" i="3" s="1"/>
  <c r="K24" i="3"/>
  <c r="C24" i="3"/>
  <c r="R24" i="3" s="1"/>
  <c r="F24" i="3"/>
  <c r="D24" i="3"/>
  <c r="G24" i="3"/>
  <c r="R51" i="3"/>
  <c r="J51" i="3"/>
  <c r="H51" i="3"/>
  <c r="T51" i="3" s="1"/>
  <c r="I51" i="3"/>
  <c r="U51" i="3" s="1"/>
  <c r="O51" i="3"/>
  <c r="E51" i="3"/>
  <c r="P51" i="3"/>
  <c r="R27" i="3"/>
  <c r="J27" i="3"/>
  <c r="E27" i="3"/>
  <c r="P27" i="3"/>
  <c r="H27" i="3"/>
  <c r="T27" i="3" s="1"/>
  <c r="I27" i="3"/>
  <c r="U27" i="3" s="1"/>
  <c r="O27" i="3"/>
  <c r="O24" i="3"/>
  <c r="F58" i="3"/>
  <c r="G58" i="3"/>
  <c r="O58" i="3"/>
  <c r="C58" i="3"/>
  <c r="K58" i="3"/>
  <c r="D58" i="3"/>
  <c r="F50" i="3"/>
  <c r="G50" i="3"/>
  <c r="D50" i="3"/>
  <c r="S50" i="3" s="1"/>
  <c r="O50" i="3"/>
  <c r="C50" i="3"/>
  <c r="R50" i="3" s="1"/>
  <c r="K50" i="3"/>
  <c r="F42" i="3"/>
  <c r="G42" i="3"/>
  <c r="D42" i="3"/>
  <c r="C42" i="3"/>
  <c r="R42" i="3" s="1"/>
  <c r="K42" i="3"/>
  <c r="O42" i="3"/>
  <c r="F34" i="3"/>
  <c r="G34" i="3"/>
  <c r="D34" i="3"/>
  <c r="C34" i="3"/>
  <c r="R34" i="3" s="1"/>
  <c r="O34" i="3"/>
  <c r="K34" i="3"/>
  <c r="F26" i="3"/>
  <c r="G26" i="3"/>
  <c r="D26" i="3"/>
  <c r="C26" i="3"/>
  <c r="R26" i="3" s="1"/>
  <c r="K26" i="3"/>
  <c r="K18" i="3"/>
  <c r="F18" i="3"/>
  <c r="G18" i="3"/>
  <c r="D18" i="3"/>
  <c r="S18" i="3" s="1"/>
  <c r="O18" i="3"/>
  <c r="C18" i="3"/>
  <c r="R18" i="3" s="1"/>
  <c r="O26" i="3"/>
  <c r="O32" i="3"/>
  <c r="J18" i="3"/>
  <c r="U56" i="3"/>
  <c r="S56" i="3"/>
  <c r="U48" i="3"/>
  <c r="S48" i="3"/>
  <c r="I40" i="3"/>
  <c r="U40" i="3" s="1"/>
  <c r="I32" i="3"/>
  <c r="U32" i="3" s="1"/>
  <c r="I24" i="3"/>
  <c r="U24" i="3" s="1"/>
  <c r="S24" i="3"/>
  <c r="I16" i="3"/>
  <c r="U16" i="3" s="1"/>
  <c r="S16" i="3"/>
  <c r="I8" i="3"/>
  <c r="U8" i="3" s="1"/>
  <c r="S8" i="3"/>
  <c r="K15" i="3"/>
  <c r="G15" i="3"/>
  <c r="K7" i="3"/>
  <c r="G7" i="3"/>
  <c r="K55" i="3"/>
  <c r="G55" i="3"/>
  <c r="K47" i="3"/>
  <c r="G47" i="3"/>
  <c r="K39" i="3"/>
  <c r="G39" i="3"/>
  <c r="K31" i="3"/>
  <c r="G31" i="3"/>
  <c r="K23" i="3"/>
  <c r="G23" i="3"/>
  <c r="P50" i="3"/>
  <c r="P42" i="3"/>
  <c r="P34" i="3"/>
  <c r="P26" i="3"/>
  <c r="P18" i="3"/>
  <c r="P10" i="3"/>
  <c r="P58" i="3"/>
  <c r="C43" i="3"/>
  <c r="R43" i="3" s="1"/>
  <c r="C35" i="3"/>
  <c r="R35" i="3" s="1"/>
  <c r="D57" i="3"/>
  <c r="D47" i="3"/>
  <c r="D36" i="3"/>
  <c r="D25" i="3"/>
  <c r="S25" i="3" s="1"/>
  <c r="D15" i="3"/>
  <c r="S15" i="3" s="1"/>
  <c r="H52" i="3"/>
  <c r="H47" i="3"/>
  <c r="T47" i="3" s="1"/>
  <c r="H28" i="3"/>
  <c r="T28" i="3" s="1"/>
  <c r="I22" i="3"/>
  <c r="U22" i="3" s="1"/>
  <c r="I15" i="3"/>
  <c r="E48" i="3"/>
  <c r="E37" i="3"/>
  <c r="G49" i="3"/>
  <c r="F44" i="3"/>
  <c r="F31" i="3"/>
  <c r="G17" i="3"/>
  <c r="G9" i="3"/>
  <c r="R46" i="3"/>
  <c r="T15" i="3"/>
  <c r="U55" i="3"/>
  <c r="J55" i="3"/>
  <c r="S55" i="3"/>
  <c r="R55" i="3"/>
  <c r="J31" i="3"/>
  <c r="J7" i="3"/>
  <c r="K6" i="3"/>
  <c r="F6" i="3"/>
  <c r="G6" i="3"/>
  <c r="F46" i="3"/>
  <c r="G46" i="3"/>
  <c r="F38" i="3"/>
  <c r="G38" i="3"/>
  <c r="F30" i="3"/>
  <c r="G30" i="3"/>
  <c r="K22" i="3"/>
  <c r="F22" i="3"/>
  <c r="G22" i="3"/>
  <c r="O12" i="3"/>
  <c r="O28" i="3"/>
  <c r="O44" i="3"/>
  <c r="C2" i="3"/>
  <c r="R2" i="3" s="1"/>
  <c r="D46" i="3"/>
  <c r="I56" i="3"/>
  <c r="H40" i="3"/>
  <c r="T40" i="3" s="1"/>
  <c r="I34" i="3"/>
  <c r="U34" i="3" s="1"/>
  <c r="I21" i="3"/>
  <c r="H8" i="3"/>
  <c r="T8" i="3" s="1"/>
  <c r="E8" i="3"/>
  <c r="F49" i="3"/>
  <c r="G36" i="3"/>
  <c r="F17" i="3"/>
  <c r="F9" i="3"/>
  <c r="J58" i="3"/>
  <c r="J50" i="3"/>
  <c r="J42" i="3"/>
  <c r="J34" i="3"/>
  <c r="J26" i="3"/>
  <c r="J16" i="3"/>
  <c r="J5" i="3"/>
  <c r="U47" i="3"/>
  <c r="J47" i="3"/>
  <c r="S47" i="3"/>
  <c r="J23" i="3"/>
  <c r="U15" i="3"/>
  <c r="J15" i="3"/>
  <c r="K14" i="3"/>
  <c r="F14" i="3"/>
  <c r="G14" i="3"/>
  <c r="F54" i="3"/>
  <c r="G54" i="3"/>
  <c r="S54" i="3"/>
  <c r="T54" i="3"/>
  <c r="U54" i="3"/>
  <c r="H54" i="3"/>
  <c r="S46" i="3"/>
  <c r="U46" i="3"/>
  <c r="H46" i="3"/>
  <c r="T46" i="3" s="1"/>
  <c r="S38" i="3"/>
  <c r="R38" i="3"/>
  <c r="H38" i="3"/>
  <c r="T38" i="3" s="1"/>
  <c r="S30" i="3"/>
  <c r="R30" i="3"/>
  <c r="H30" i="3"/>
  <c r="T30" i="3" s="1"/>
  <c r="R22" i="3"/>
  <c r="H22" i="3"/>
  <c r="T22" i="3" s="1"/>
  <c r="S14" i="3"/>
  <c r="T14" i="3"/>
  <c r="H14" i="3"/>
  <c r="S6" i="3"/>
  <c r="R6" i="3"/>
  <c r="H6" i="3"/>
  <c r="T6" i="3" s="1"/>
  <c r="K13" i="3"/>
  <c r="D13" i="3"/>
  <c r="K5" i="3"/>
  <c r="D5" i="3"/>
  <c r="K53" i="3"/>
  <c r="D53" i="3"/>
  <c r="S53" i="3" s="1"/>
  <c r="K45" i="3"/>
  <c r="D45" i="3"/>
  <c r="S45" i="3" s="1"/>
  <c r="K37" i="3"/>
  <c r="D37" i="3"/>
  <c r="S37" i="3" s="1"/>
  <c r="K29" i="3"/>
  <c r="D29" i="3"/>
  <c r="S29" i="3" s="1"/>
  <c r="K21" i="3"/>
  <c r="D21" i="3"/>
  <c r="S21" i="3" s="1"/>
  <c r="O21" i="3"/>
  <c r="O45" i="3"/>
  <c r="P56" i="3"/>
  <c r="P48" i="3"/>
  <c r="P40" i="3"/>
  <c r="P32" i="3"/>
  <c r="P24" i="3"/>
  <c r="P16" i="3"/>
  <c r="P8" i="3"/>
  <c r="C9" i="3"/>
  <c r="R9" i="3" s="1"/>
  <c r="C57" i="3"/>
  <c r="C49" i="3"/>
  <c r="R49" i="3" s="1"/>
  <c r="C41" i="3"/>
  <c r="R41" i="3" s="1"/>
  <c r="C33" i="3"/>
  <c r="R33" i="3" s="1"/>
  <c r="C25" i="3"/>
  <c r="R25" i="3" s="1"/>
  <c r="C17" i="3"/>
  <c r="R17" i="3" s="1"/>
  <c r="D2" i="3"/>
  <c r="S2" i="3" s="1"/>
  <c r="D55" i="3"/>
  <c r="D44" i="3"/>
  <c r="S44" i="3" s="1"/>
  <c r="D33" i="3"/>
  <c r="S33" i="3" s="1"/>
  <c r="D23" i="3"/>
  <c r="S23" i="3" s="1"/>
  <c r="H56" i="3"/>
  <c r="I14" i="3"/>
  <c r="U14" i="3" s="1"/>
  <c r="I7" i="3"/>
  <c r="U7" i="3" s="1"/>
  <c r="E46" i="3"/>
  <c r="E32" i="3"/>
  <c r="E7" i="3"/>
  <c r="F55" i="3"/>
  <c r="G41" i="3"/>
  <c r="F36" i="3"/>
  <c r="F29" i="3"/>
  <c r="F23" i="3"/>
  <c r="J14" i="3"/>
  <c r="R8" i="3"/>
  <c r="U39" i="3"/>
  <c r="J39" i="3"/>
  <c r="T45" i="3"/>
  <c r="U45" i="3"/>
  <c r="H45" i="3"/>
  <c r="U29" i="3"/>
  <c r="H29" i="3"/>
  <c r="T29" i="3" s="1"/>
  <c r="S13" i="3"/>
  <c r="H13" i="3"/>
  <c r="T13" i="3" s="1"/>
  <c r="S5" i="3"/>
  <c r="H5" i="3"/>
  <c r="T5" i="3" s="1"/>
  <c r="G12" i="3"/>
  <c r="K12" i="3"/>
  <c r="G4" i="3"/>
  <c r="K4" i="3"/>
  <c r="O6" i="3"/>
  <c r="O14" i="3"/>
  <c r="O22" i="3"/>
  <c r="O30" i="3"/>
  <c r="O38" i="3"/>
  <c r="O46" i="3"/>
  <c r="O54" i="3"/>
  <c r="P55" i="3"/>
  <c r="P47" i="3"/>
  <c r="P39" i="3"/>
  <c r="P31" i="3"/>
  <c r="P23" i="3"/>
  <c r="P15" i="3"/>
  <c r="P7" i="3"/>
  <c r="D54" i="3"/>
  <c r="D22" i="3"/>
  <c r="S22" i="3" s="1"/>
  <c r="I55" i="3"/>
  <c r="H39" i="3"/>
  <c r="T39" i="3" s="1"/>
  <c r="H32" i="3"/>
  <c r="T32" i="3" s="1"/>
  <c r="I26" i="3"/>
  <c r="U26" i="3" s="1"/>
  <c r="I13" i="3"/>
  <c r="U13" i="3" s="1"/>
  <c r="H7" i="3"/>
  <c r="T7" i="3" s="1"/>
  <c r="E56" i="3"/>
  <c r="E45" i="3"/>
  <c r="E31" i="3"/>
  <c r="E6" i="3"/>
  <c r="G53" i="3"/>
  <c r="F41" i="3"/>
  <c r="G28" i="3"/>
  <c r="G21" i="3"/>
  <c r="F15" i="3"/>
  <c r="F7" i="3"/>
  <c r="J56" i="3"/>
  <c r="J48" i="3"/>
  <c r="J40" i="3"/>
  <c r="J32" i="3"/>
  <c r="J24" i="3"/>
  <c r="J13" i="3"/>
  <c r="T56" i="3"/>
  <c r="T24" i="3"/>
  <c r="T53" i="3"/>
  <c r="H53" i="3"/>
  <c r="H37" i="3"/>
  <c r="T37" i="3" s="1"/>
  <c r="U21" i="3"/>
  <c r="H21" i="3"/>
  <c r="T21" i="3" s="1"/>
  <c r="U52" i="3"/>
  <c r="E52" i="3"/>
  <c r="U44" i="3"/>
  <c r="R44" i="3"/>
  <c r="E44" i="3"/>
  <c r="S36" i="3"/>
  <c r="I36" i="3"/>
  <c r="U36" i="3" s="1"/>
  <c r="E36" i="3"/>
  <c r="R28" i="3"/>
  <c r="I28" i="3"/>
  <c r="U28" i="3" s="1"/>
  <c r="E28" i="3"/>
  <c r="R20" i="3"/>
  <c r="I20" i="3"/>
  <c r="U20" i="3" s="1"/>
  <c r="E20" i="3"/>
  <c r="S12" i="3"/>
  <c r="I12" i="3"/>
  <c r="U12" i="3" s="1"/>
  <c r="E12" i="3"/>
  <c r="R4" i="3"/>
  <c r="I4" i="3"/>
  <c r="U4" i="3" s="1"/>
  <c r="E4" i="3"/>
  <c r="K11" i="3"/>
  <c r="D11" i="3"/>
  <c r="S11" i="3" s="1"/>
  <c r="G11" i="3"/>
  <c r="K3" i="3"/>
  <c r="D3" i="3"/>
  <c r="S3" i="3" s="1"/>
  <c r="G3" i="3"/>
  <c r="K51" i="3"/>
  <c r="D51" i="3"/>
  <c r="S51" i="3" s="1"/>
  <c r="G51" i="3"/>
  <c r="K43" i="3"/>
  <c r="D43" i="3"/>
  <c r="S43" i="3" s="1"/>
  <c r="G43" i="3"/>
  <c r="K35" i="3"/>
  <c r="D35" i="3"/>
  <c r="S35" i="3" s="1"/>
  <c r="G35" i="3"/>
  <c r="K27" i="3"/>
  <c r="D27" i="3"/>
  <c r="S27" i="3" s="1"/>
  <c r="G27" i="3"/>
  <c r="K19" i="3"/>
  <c r="D19" i="3"/>
  <c r="S19" i="3" s="1"/>
  <c r="G19" i="3"/>
  <c r="O7" i="3"/>
  <c r="O15" i="3"/>
  <c r="O23" i="3"/>
  <c r="O31" i="3"/>
  <c r="O39" i="3"/>
  <c r="O47" i="3"/>
  <c r="O55" i="3"/>
  <c r="P54" i="3"/>
  <c r="P46" i="3"/>
  <c r="P38" i="3"/>
  <c r="P30" i="3"/>
  <c r="P22" i="3"/>
  <c r="P14" i="3"/>
  <c r="P6" i="3"/>
  <c r="C7" i="3"/>
  <c r="R7" i="3" s="1"/>
  <c r="C47" i="3"/>
  <c r="R47" i="3" s="1"/>
  <c r="C39" i="3"/>
  <c r="R39" i="3" s="1"/>
  <c r="C31" i="3"/>
  <c r="R31" i="3" s="1"/>
  <c r="C23" i="3"/>
  <c r="R23" i="3" s="1"/>
  <c r="C15" i="3"/>
  <c r="R15" i="3" s="1"/>
  <c r="D7" i="3"/>
  <c r="S7" i="3" s="1"/>
  <c r="D52" i="3"/>
  <c r="S52" i="3" s="1"/>
  <c r="D41" i="3"/>
  <c r="S41" i="3" s="1"/>
  <c r="D31" i="3"/>
  <c r="S31" i="3" s="1"/>
  <c r="D20" i="3"/>
  <c r="S20" i="3" s="1"/>
  <c r="D9" i="3"/>
  <c r="S9" i="3" s="1"/>
  <c r="H55" i="3"/>
  <c r="H44" i="3"/>
  <c r="T44" i="3" s="1"/>
  <c r="I38" i="3"/>
  <c r="U38" i="3" s="1"/>
  <c r="I31" i="3"/>
  <c r="U31" i="3" s="1"/>
  <c r="H12" i="3"/>
  <c r="T12" i="3" s="1"/>
  <c r="I6" i="3"/>
  <c r="U6" i="3" s="1"/>
  <c r="E55" i="3"/>
  <c r="E30" i="3"/>
  <c r="E16" i="3"/>
  <c r="E5" i="3"/>
  <c r="F53" i="3"/>
  <c r="F47" i="3"/>
  <c r="G33" i="3"/>
  <c r="F28" i="3"/>
  <c r="F21" i="3"/>
  <c r="G13" i="3"/>
  <c r="G5" i="3"/>
  <c r="K54" i="3"/>
  <c r="K46" i="3"/>
  <c r="K38" i="3"/>
  <c r="K30" i="3"/>
  <c r="J22" i="3"/>
  <c r="J12" i="3"/>
  <c r="R56" i="3"/>
  <c r="T55" i="3"/>
  <c r="T23" i="3"/>
  <c r="I37" i="3"/>
  <c r="U37" i="3" s="1"/>
  <c r="H31" i="3"/>
  <c r="T31" i="3" s="1"/>
  <c r="I5" i="3"/>
  <c r="U5" i="3" s="1"/>
  <c r="E54" i="3"/>
  <c r="E29" i="3"/>
  <c r="E15" i="3"/>
  <c r="G52" i="3"/>
  <c r="F33" i="3"/>
  <c r="F13" i="3"/>
  <c r="F5" i="3"/>
  <c r="J54" i="3"/>
  <c r="J46" i="3"/>
  <c r="J38" i="3"/>
  <c r="J30" i="3"/>
  <c r="J21" i="3"/>
  <c r="R54" i="3"/>
  <c r="T52" i="3"/>
  <c r="T20" i="3"/>
  <c r="S58" i="3"/>
  <c r="E58" i="3"/>
  <c r="T58" i="3"/>
  <c r="U58" i="3"/>
  <c r="H58" i="3"/>
  <c r="E50" i="3"/>
  <c r="U50" i="3"/>
  <c r="H50" i="3"/>
  <c r="T50" i="3" s="1"/>
  <c r="S42" i="3"/>
  <c r="E42" i="3"/>
  <c r="U42" i="3"/>
  <c r="H42" i="3"/>
  <c r="T42" i="3" s="1"/>
  <c r="S34" i="3"/>
  <c r="E34" i="3"/>
  <c r="H34" i="3"/>
  <c r="T34" i="3" s="1"/>
  <c r="S26" i="3"/>
  <c r="E26" i="3"/>
  <c r="H26" i="3"/>
  <c r="T26" i="3" s="1"/>
  <c r="E18" i="3"/>
  <c r="T18" i="3"/>
  <c r="U18" i="3"/>
  <c r="H18" i="3"/>
  <c r="S10" i="3"/>
  <c r="E10" i="3"/>
  <c r="U10" i="3"/>
  <c r="H10" i="3"/>
  <c r="T10" i="3" s="1"/>
  <c r="K2" i="3"/>
  <c r="F2" i="3"/>
  <c r="P52" i="3"/>
  <c r="P44" i="3"/>
  <c r="P36" i="3"/>
  <c r="P28" i="3"/>
  <c r="P20" i="3"/>
  <c r="P12" i="3"/>
  <c r="P4" i="3"/>
  <c r="C5" i="3"/>
  <c r="R5" i="3" s="1"/>
  <c r="C53" i="3"/>
  <c r="R53" i="3" s="1"/>
  <c r="C45" i="3"/>
  <c r="R45" i="3" s="1"/>
  <c r="C37" i="3"/>
  <c r="R37" i="3" s="1"/>
  <c r="C29" i="3"/>
  <c r="R29" i="3" s="1"/>
  <c r="C21" i="3"/>
  <c r="R21" i="3" s="1"/>
  <c r="C13" i="3"/>
  <c r="R13" i="3" s="1"/>
  <c r="D4" i="3"/>
  <c r="S4" i="3" s="1"/>
  <c r="D49" i="3"/>
  <c r="S49" i="3" s="1"/>
  <c r="D39" i="3"/>
  <c r="S39" i="3" s="1"/>
  <c r="D28" i="3"/>
  <c r="S28" i="3" s="1"/>
  <c r="D17" i="3"/>
  <c r="S17" i="3" s="1"/>
  <c r="I53" i="3"/>
  <c r="U53" i="3" s="1"/>
  <c r="H48" i="3"/>
  <c r="T48" i="3" s="1"/>
  <c r="H36" i="3"/>
  <c r="T36" i="3" s="1"/>
  <c r="I30" i="3"/>
  <c r="U30" i="3" s="1"/>
  <c r="I23" i="3"/>
  <c r="U23" i="3" s="1"/>
  <c r="H4" i="3"/>
  <c r="T4" i="3" s="1"/>
  <c r="E53" i="3"/>
  <c r="E39" i="3"/>
  <c r="E14" i="3"/>
  <c r="G57" i="3"/>
  <c r="F52" i="3"/>
  <c r="F45" i="3"/>
  <c r="F39" i="3"/>
  <c r="G25" i="3"/>
  <c r="F20" i="3"/>
  <c r="F12" i="3"/>
  <c r="F4" i="3"/>
  <c r="J53" i="3"/>
  <c r="J45" i="3"/>
  <c r="J37" i="3"/>
  <c r="J29" i="3"/>
  <c r="J20" i="3"/>
</calcChain>
</file>

<file path=xl/sharedStrings.xml><?xml version="1.0" encoding="utf-8"?>
<sst xmlns="http://schemas.openxmlformats.org/spreadsheetml/2006/main" count="555" uniqueCount="87">
  <si>
    <t>Employee Data Provided for the 2015 valuation</t>
  </si>
  <si>
    <t>ID</t>
  </si>
  <si>
    <t>Name</t>
  </si>
  <si>
    <t>Date of Birth</t>
  </si>
  <si>
    <t>Date of Hire</t>
  </si>
  <si>
    <t>2014 Salary</t>
  </si>
  <si>
    <t>2013 Salary</t>
  </si>
  <si>
    <t>2012 Salary</t>
  </si>
  <si>
    <t>Retirement Date</t>
  </si>
  <si>
    <t>Retirement Benefit</t>
  </si>
  <si>
    <t>1/1/2015 Status</t>
  </si>
  <si>
    <t>1/1/2014 Status</t>
  </si>
  <si>
    <t xml:space="preserve">Age </t>
  </si>
  <si>
    <t xml:space="preserve">Service </t>
  </si>
  <si>
    <t>Average Salary</t>
  </si>
  <si>
    <t>Salary Increase</t>
  </si>
  <si>
    <t>Shapiro, Amanda</t>
  </si>
  <si>
    <t>A</t>
  </si>
  <si>
    <t>Donovan, Adrienne</t>
  </si>
  <si>
    <t>Tiedens, Bret</t>
  </si>
  <si>
    <t>Souers, Celina</t>
  </si>
  <si>
    <t>Al Jaloud, Steve</t>
  </si>
  <si>
    <t>Butina, Natalie</t>
  </si>
  <si>
    <t>Olson, Nicholas</t>
  </si>
  <si>
    <t>Richman, Michelle</t>
  </si>
  <si>
    <t>Johnson, Aaron</t>
  </si>
  <si>
    <t>Brinkley, Jeanne M</t>
  </si>
  <si>
    <t>Brinkley, Roxanne L</t>
  </si>
  <si>
    <t>2/30/1960</t>
  </si>
  <si>
    <t>Nelson, Yuyang</t>
  </si>
  <si>
    <t>Bossler, Bill</t>
  </si>
  <si>
    <t>Cress, Scott G</t>
  </si>
  <si>
    <t>Aljebreen, Patric</t>
  </si>
  <si>
    <t>Dehn, Diane M</t>
  </si>
  <si>
    <t>Baker, Eric</t>
  </si>
  <si>
    <t>Asche, Ryan</t>
  </si>
  <si>
    <t>Chen, Jerome F</t>
  </si>
  <si>
    <t>Gist, Tracy A</t>
  </si>
  <si>
    <t>Carlson, Jeremy</t>
  </si>
  <si>
    <t>Duvall, DeeAnn S</t>
  </si>
  <si>
    <t>Gall, Susann K</t>
  </si>
  <si>
    <t>Harvestine, Susan R</t>
  </si>
  <si>
    <t>Harada, Richard G</t>
  </si>
  <si>
    <t>Guy, Robert L</t>
  </si>
  <si>
    <t>Kampwerth, Rebecca M</t>
  </si>
  <si>
    <t>Asche, Alexis</t>
  </si>
  <si>
    <t>Hitpas, Bruce D</t>
  </si>
  <si>
    <t>Jumaan, Casey A</t>
  </si>
  <si>
    <t>Donovan, Alina</t>
  </si>
  <si>
    <t>Carlson, Austin</t>
  </si>
  <si>
    <t>Hohl, David L</t>
  </si>
  <si>
    <t>Jackson, Dawn E</t>
  </si>
  <si>
    <t>Lam, Jacqueline E</t>
  </si>
  <si>
    <t>Nelson, Jumaan</t>
  </si>
  <si>
    <t>Larson, Luke</t>
  </si>
  <si>
    <t>Doll Woolley, Yazeed</t>
  </si>
  <si>
    <t>Larson, Brian</t>
  </si>
  <si>
    <t>Aho, Blake</t>
  </si>
  <si>
    <t>Klendshoj, Saleh</t>
  </si>
  <si>
    <t>Bartho, George</t>
  </si>
  <si>
    <t>Benson, Jessika</t>
  </si>
  <si>
    <t>Wang, Eric</t>
  </si>
  <si>
    <t>V</t>
  </si>
  <si>
    <t>Larson, Chris</t>
  </si>
  <si>
    <t>R</t>
  </si>
  <si>
    <t>Larson, George</t>
  </si>
  <si>
    <t>Jobs, Benjamin</t>
  </si>
  <si>
    <t>Jordon, Hillary</t>
  </si>
  <si>
    <t>Clinton, Bills</t>
  </si>
  <si>
    <t>Lee, Gordon</t>
  </si>
  <si>
    <t>Salary</t>
  </si>
  <si>
    <t>Status</t>
  </si>
  <si>
    <t>2015 Salary</t>
  </si>
  <si>
    <t>Status Code</t>
  </si>
  <si>
    <t>Prior Status</t>
  </si>
  <si>
    <t>Client
Data
Index</t>
  </si>
  <si>
    <t>New
Record</t>
  </si>
  <si>
    <t>Gone
Record</t>
  </si>
  <si>
    <t>Difference
in DOB</t>
  </si>
  <si>
    <t>Difference
in DOH</t>
  </si>
  <si>
    <t>Emplyee Database
Index</t>
  </si>
  <si>
    <t>Employee Database</t>
  </si>
  <si>
    <t>Client Data</t>
  </si>
  <si>
    <t/>
  </si>
  <si>
    <t>Difference
in DOR</t>
  </si>
  <si>
    <t>Difference
in Benefit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</si>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</sst>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/dd/yy;@"/>
    <numFmt numFmtId="165" formatCode="mm/dd/yyyy"/>
    <numFmt numFmtId="166" formatCode="_(* #,##0_);_(* \(#,##0\);_(* &quot;-&quot;??_);_(@_)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</cellStyleXfs>
  <cellXfs count="29">
    <xf numFmtId="0" fontId="0" fillId="0" borderId="0" xfId="0"/>
    <xf numFmtId="0" fontId="3" fillId="0" borderId="0" xfId="2"/>
    <xf numFmtId="0" fontId="4" fillId="0" borderId="0" xfId="0" applyFont="1"/>
    <xf numFmtId="0" fontId="5" fillId="2" borderId="1" xfId="2" applyFont="1" applyFill="1" applyBorder="1" applyAlignment="1">
      <alignment horizontal="center"/>
    </xf>
    <xf numFmtId="0" fontId="5" fillId="2" borderId="2" xfId="2" applyFont="1" applyFill="1" applyBorder="1" applyAlignment="1">
      <alignment horizontal="center"/>
    </xf>
    <xf numFmtId="164" fontId="5" fillId="2" borderId="2" xfId="2" applyNumberFormat="1" applyFont="1" applyFill="1" applyBorder="1" applyAlignment="1">
      <alignment horizontal="center"/>
    </xf>
    <xf numFmtId="0" fontId="5" fillId="2" borderId="2" xfId="2" applyFont="1" applyFill="1" applyBorder="1" applyAlignment="1">
      <alignment horizontal="center" wrapText="1"/>
    </xf>
    <xf numFmtId="0" fontId="5" fillId="2" borderId="3" xfId="2" applyFont="1" applyFill="1" applyBorder="1" applyAlignment="1">
      <alignment horizontal="center"/>
    </xf>
    <xf numFmtId="0" fontId="3" fillId="3" borderId="4" xfId="2" applyFill="1" applyBorder="1" applyAlignment="1">
      <alignment horizontal="center"/>
    </xf>
    <xf numFmtId="0" fontId="3" fillId="3" borderId="0" xfId="2" applyFill="1"/>
    <xf numFmtId="165" fontId="3" fillId="3" borderId="4" xfId="2" applyNumberFormat="1" applyFill="1" applyBorder="1" applyAlignment="1">
      <alignment horizontal="center"/>
    </xf>
    <xf numFmtId="166" fontId="0" fillId="3" borderId="4" xfId="3" applyNumberFormat="1" applyFont="1" applyFill="1" applyBorder="1"/>
    <xf numFmtId="166" fontId="3" fillId="0" borderId="0" xfId="2" applyNumberFormat="1"/>
    <xf numFmtId="0" fontId="6" fillId="0" borderId="1" xfId="2" applyFont="1" applyBorder="1" applyAlignment="1">
      <alignment horizontal="center"/>
    </xf>
    <xf numFmtId="164" fontId="6" fillId="0" borderId="2" xfId="2" applyNumberFormat="1" applyFont="1" applyBorder="1" applyAlignment="1">
      <alignment horizontal="center" wrapText="1"/>
    </xf>
    <xf numFmtId="0" fontId="6" fillId="0" borderId="2" xfId="2" applyFont="1" applyBorder="1" applyAlignment="1">
      <alignment horizontal="center"/>
    </xf>
    <xf numFmtId="0" fontId="1" fillId="0" borderId="0" xfId="4"/>
    <xf numFmtId="166" fontId="0" fillId="3" borderId="4" xfId="3" applyNumberFormat="1" applyFont="1" applyFill="1" applyBorder="1" applyAlignment="1">
      <alignment horizontal="center"/>
    </xf>
    <xf numFmtId="0" fontId="7" fillId="4" borderId="0" xfId="2" applyFont="1" applyFill="1" applyAlignment="1">
      <alignment horizontal="center" wrapText="1"/>
    </xf>
    <xf numFmtId="0" fontId="7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1" fillId="4" borderId="4" xfId="4" applyFill="1" applyBorder="1"/>
    <xf numFmtId="0" fontId="1" fillId="4" borderId="4" xfId="4" applyFill="1" applyBorder="1" applyAlignment="1">
      <alignment horizontal="center"/>
    </xf>
    <xf numFmtId="14" fontId="0" fillId="0" borderId="0" xfId="0" applyNumberFormat="1"/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0" xfId="1" applyNumberFormat="1" applyFont="1"/>
    <xf numFmtId="0" fontId="5" fillId="2" borderId="5" xfId="2" applyFont="1" applyFill="1" applyBorder="1" applyAlignment="1">
      <alignment horizontal="center"/>
    </xf>
    <xf numFmtId="0" fontId="3" fillId="3" borderId="0" xfId="2" applyFill="1" applyBorder="1" applyAlignment="1">
      <alignment horizontal="left"/>
    </xf>
  </cellXfs>
  <cellStyles count="5">
    <cellStyle name="Comma" xfId="1" builtinId="3"/>
    <cellStyle name="Comma 2" xfId="3" xr:uid="{C855DD05-6FDF-418E-945E-3F61C01956F1}"/>
    <cellStyle name="Normal" xfId="0" builtinId="0"/>
    <cellStyle name="Normal 2" xfId="2" xr:uid="{FF2CCEBA-8559-45C5-BF0D-132AC42DC8CA}"/>
    <cellStyle name="Normal 5" xfId="4" xr:uid="{6F372DFA-BAE9-4CE3-87A9-A227833F24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m1jk7r\Documents\Guodong%20on%20C\Excel\Excel\201\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Private%20-%20Li\Pleasure\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Maryville\Maryville%20-%20Key%20Files\ACSC%20201%20and%20301\Tests%20and%20Exams\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\Pending\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F7373-0241-46F7-B1B2-0423E6DB0BCE}">
  <sheetPr>
    <pageSetUpPr fitToPage="1"/>
  </sheetPr>
  <dimension ref="A1:G69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9.7109375" style="1" customWidth="1"/>
    <col min="2" max="2" width="10.140625" style="1" bestFit="1" customWidth="1"/>
    <col min="3" max="3" width="10.140625" style="1" customWidth="1"/>
    <col min="4" max="4" width="13.85546875" style="1" bestFit="1" customWidth="1"/>
    <col min="5" max="6" width="11.85546875" style="16" customWidth="1"/>
    <col min="7" max="7" width="6.5703125" style="16" bestFit="1" customWidth="1"/>
    <col min="8" max="16384" width="9.140625" style="16"/>
  </cols>
  <sheetData>
    <row r="1" spans="1:7" ht="26.25" x14ac:dyDescent="0.25">
      <c r="A1" s="13" t="s">
        <v>1</v>
      </c>
      <c r="B1" s="14" t="s">
        <v>3</v>
      </c>
      <c r="C1" s="14" t="s">
        <v>4</v>
      </c>
      <c r="D1" s="15" t="s">
        <v>70</v>
      </c>
      <c r="E1" s="14" t="s">
        <v>8</v>
      </c>
      <c r="F1" s="14" t="s">
        <v>9</v>
      </c>
      <c r="G1" s="14" t="s">
        <v>71</v>
      </c>
    </row>
    <row r="2" spans="1:7" x14ac:dyDescent="0.25">
      <c r="A2" s="8">
        <v>123491</v>
      </c>
      <c r="B2" s="10">
        <v>24017</v>
      </c>
      <c r="C2" s="10">
        <v>34809</v>
      </c>
      <c r="D2" s="11">
        <v>250000</v>
      </c>
      <c r="E2" s="10"/>
      <c r="F2" s="11"/>
      <c r="G2" s="17" t="s">
        <v>17</v>
      </c>
    </row>
    <row r="3" spans="1:7" x14ac:dyDescent="0.25">
      <c r="A3" s="8">
        <v>144983</v>
      </c>
      <c r="B3" s="10">
        <v>27601</v>
      </c>
      <c r="C3" s="10">
        <v>38001</v>
      </c>
      <c r="D3" s="11">
        <v>99000</v>
      </c>
      <c r="E3" s="10"/>
      <c r="F3" s="11"/>
      <c r="G3" s="17" t="s">
        <v>17</v>
      </c>
    </row>
    <row r="4" spans="1:7" x14ac:dyDescent="0.25">
      <c r="A4" s="8">
        <v>187427</v>
      </c>
      <c r="B4" s="10">
        <v>21170</v>
      </c>
      <c r="C4" s="10">
        <v>37975</v>
      </c>
      <c r="D4" s="11">
        <v>98000</v>
      </c>
      <c r="E4" s="10"/>
      <c r="F4" s="11"/>
      <c r="G4" s="17" t="s">
        <v>17</v>
      </c>
    </row>
    <row r="5" spans="1:7" x14ac:dyDescent="0.25">
      <c r="A5" s="8">
        <v>189508</v>
      </c>
      <c r="B5" s="10">
        <v>30229</v>
      </c>
      <c r="C5" s="10">
        <v>35020</v>
      </c>
      <c r="D5" s="11">
        <v>97000</v>
      </c>
      <c r="E5" s="10"/>
      <c r="F5" s="11"/>
      <c r="G5" s="17" t="s">
        <v>17</v>
      </c>
    </row>
    <row r="6" spans="1:7" x14ac:dyDescent="0.25">
      <c r="A6" s="8">
        <v>199741</v>
      </c>
      <c r="B6" s="10">
        <v>16439</v>
      </c>
      <c r="C6" s="10">
        <v>35929</v>
      </c>
      <c r="D6" s="11">
        <v>96000</v>
      </c>
      <c r="E6" s="10"/>
      <c r="F6" s="11"/>
      <c r="G6" s="17" t="s">
        <v>17</v>
      </c>
    </row>
    <row r="7" spans="1:7" x14ac:dyDescent="0.25">
      <c r="A7" s="8">
        <v>205217</v>
      </c>
      <c r="B7" s="10">
        <v>17620</v>
      </c>
      <c r="C7" s="10">
        <v>34867</v>
      </c>
      <c r="D7" s="11">
        <v>95000</v>
      </c>
      <c r="E7" s="10"/>
      <c r="F7" s="11"/>
      <c r="G7" s="17" t="s">
        <v>17</v>
      </c>
    </row>
    <row r="8" spans="1:7" x14ac:dyDescent="0.25">
      <c r="A8" s="8">
        <v>206418</v>
      </c>
      <c r="B8" s="10">
        <v>20874</v>
      </c>
      <c r="C8" s="10">
        <v>40497</v>
      </c>
      <c r="D8" s="11">
        <v>320000</v>
      </c>
      <c r="E8" s="10"/>
      <c r="F8" s="11"/>
      <c r="G8" s="17" t="s">
        <v>17</v>
      </c>
    </row>
    <row r="9" spans="1:7" x14ac:dyDescent="0.25">
      <c r="A9" s="8">
        <v>218201</v>
      </c>
      <c r="B9" s="10">
        <v>15818</v>
      </c>
      <c r="C9" s="10">
        <v>35362</v>
      </c>
      <c r="D9" s="11">
        <v>93000</v>
      </c>
      <c r="E9" s="10"/>
      <c r="F9" s="11"/>
      <c r="G9" s="17" t="s">
        <v>17</v>
      </c>
    </row>
    <row r="10" spans="1:7" x14ac:dyDescent="0.25">
      <c r="A10" s="8">
        <v>225139</v>
      </c>
      <c r="B10" s="10">
        <v>33987</v>
      </c>
      <c r="C10" s="10">
        <v>41074</v>
      </c>
      <c r="D10" s="11">
        <v>92000</v>
      </c>
      <c r="E10" s="10"/>
      <c r="F10" s="11"/>
      <c r="G10" s="17" t="s">
        <v>17</v>
      </c>
    </row>
    <row r="11" spans="1:7" x14ac:dyDescent="0.25">
      <c r="A11" s="8">
        <v>232072</v>
      </c>
      <c r="B11" s="10">
        <v>24290</v>
      </c>
      <c r="C11" s="10">
        <v>39634</v>
      </c>
      <c r="D11" s="11">
        <v>91000</v>
      </c>
      <c r="E11" s="10"/>
      <c r="F11" s="11"/>
      <c r="G11" s="17" t="s">
        <v>17</v>
      </c>
    </row>
    <row r="12" spans="1:7" x14ac:dyDescent="0.25">
      <c r="A12" s="8">
        <v>250067</v>
      </c>
      <c r="B12" s="10" t="s">
        <v>28</v>
      </c>
      <c r="C12" s="10">
        <v>40073</v>
      </c>
      <c r="D12" s="11">
        <v>90000</v>
      </c>
      <c r="E12" s="10"/>
      <c r="F12" s="11"/>
      <c r="G12" s="17" t="s">
        <v>17</v>
      </c>
    </row>
    <row r="13" spans="1:7" x14ac:dyDescent="0.25">
      <c r="A13" s="8">
        <v>253862</v>
      </c>
      <c r="B13" s="10">
        <v>23332</v>
      </c>
      <c r="C13" s="10">
        <v>40339</v>
      </c>
      <c r="D13" s="11">
        <v>89000</v>
      </c>
      <c r="E13" s="10"/>
      <c r="F13" s="11"/>
      <c r="G13" s="17" t="s">
        <v>17</v>
      </c>
    </row>
    <row r="14" spans="1:7" x14ac:dyDescent="0.25">
      <c r="A14" s="8">
        <v>255179</v>
      </c>
      <c r="B14" s="10">
        <v>22281</v>
      </c>
      <c r="C14" s="10">
        <v>40774</v>
      </c>
      <c r="D14" s="11">
        <v>88000</v>
      </c>
      <c r="E14" s="10"/>
      <c r="F14" s="11"/>
      <c r="G14" s="17" t="s">
        <v>17</v>
      </c>
    </row>
    <row r="15" spans="1:7" x14ac:dyDescent="0.25">
      <c r="A15" s="8">
        <v>258130</v>
      </c>
      <c r="B15" s="10">
        <v>29124</v>
      </c>
      <c r="C15" s="10">
        <v>29006</v>
      </c>
      <c r="D15" s="11">
        <v>87000</v>
      </c>
      <c r="E15" s="10"/>
      <c r="F15" s="11"/>
      <c r="G15" s="17" t="s">
        <v>17</v>
      </c>
    </row>
    <row r="16" spans="1:7" x14ac:dyDescent="0.25">
      <c r="A16" s="8">
        <v>286491</v>
      </c>
      <c r="B16" s="10">
        <v>16018</v>
      </c>
      <c r="C16" s="10">
        <v>31071</v>
      </c>
      <c r="D16" s="11">
        <v>86000</v>
      </c>
      <c r="E16" s="10"/>
      <c r="F16" s="11"/>
      <c r="G16" s="17" t="s">
        <v>17</v>
      </c>
    </row>
    <row r="17" spans="1:7" x14ac:dyDescent="0.25">
      <c r="A17" s="8">
        <v>290999</v>
      </c>
      <c r="B17" s="10">
        <v>25991</v>
      </c>
      <c r="C17" s="10">
        <v>41600</v>
      </c>
      <c r="D17" s="11">
        <v>85000</v>
      </c>
      <c r="E17" s="10"/>
      <c r="F17" s="11"/>
      <c r="G17" s="17" t="s">
        <v>17</v>
      </c>
    </row>
    <row r="18" spans="1:7" x14ac:dyDescent="0.25">
      <c r="A18" s="8">
        <v>300843</v>
      </c>
      <c r="B18" s="10">
        <v>17659</v>
      </c>
      <c r="C18" s="10">
        <v>31876</v>
      </c>
      <c r="D18" s="11">
        <v>84000</v>
      </c>
      <c r="E18" s="10"/>
      <c r="F18" s="11"/>
      <c r="G18" s="17" t="s">
        <v>17</v>
      </c>
    </row>
    <row r="19" spans="1:7" x14ac:dyDescent="0.25">
      <c r="A19" s="8">
        <v>302798</v>
      </c>
      <c r="B19" s="10">
        <v>28924</v>
      </c>
      <c r="C19" s="10">
        <v>35009</v>
      </c>
      <c r="D19" s="11">
        <v>86000</v>
      </c>
      <c r="E19" s="10"/>
      <c r="F19" s="11"/>
      <c r="G19" s="17" t="s">
        <v>17</v>
      </c>
    </row>
    <row r="20" spans="1:7" x14ac:dyDescent="0.25">
      <c r="A20" s="8">
        <v>310267</v>
      </c>
      <c r="B20" s="10">
        <v>23532</v>
      </c>
      <c r="C20" s="10">
        <v>38201</v>
      </c>
      <c r="D20" s="11">
        <v>86000</v>
      </c>
      <c r="E20" s="10"/>
      <c r="F20" s="11"/>
      <c r="G20" s="17" t="s">
        <v>17</v>
      </c>
    </row>
    <row r="21" spans="1:7" x14ac:dyDescent="0.25">
      <c r="A21" s="8">
        <v>313615</v>
      </c>
      <c r="B21" s="10">
        <v>34187</v>
      </c>
      <c r="C21" s="10">
        <v>38175</v>
      </c>
      <c r="D21" s="11">
        <v>87000</v>
      </c>
      <c r="E21" s="10"/>
      <c r="F21" s="11"/>
      <c r="G21" s="17" t="s">
        <v>17</v>
      </c>
    </row>
    <row r="22" spans="1:7" x14ac:dyDescent="0.25">
      <c r="A22" s="8">
        <v>320387</v>
      </c>
      <c r="B22" s="10">
        <v>25791</v>
      </c>
      <c r="C22" s="10">
        <v>35220</v>
      </c>
      <c r="D22" s="11">
        <v>76000</v>
      </c>
      <c r="E22" s="10"/>
      <c r="F22" s="11"/>
      <c r="G22" s="17" t="s">
        <v>17</v>
      </c>
    </row>
    <row r="23" spans="1:7" x14ac:dyDescent="0.25">
      <c r="A23" s="8">
        <v>340436</v>
      </c>
      <c r="B23" s="10">
        <v>27801</v>
      </c>
      <c r="C23" s="10">
        <v>36129</v>
      </c>
      <c r="D23" s="11">
        <v>75000</v>
      </c>
      <c r="E23" s="10"/>
      <c r="F23" s="11"/>
      <c r="G23" s="17" t="s">
        <v>17</v>
      </c>
    </row>
    <row r="24" spans="1:7" x14ac:dyDescent="0.25">
      <c r="A24" s="8">
        <v>345767</v>
      </c>
      <c r="B24" s="10">
        <v>24217</v>
      </c>
      <c r="C24" s="10">
        <v>35067</v>
      </c>
      <c r="D24" s="11">
        <v>86000</v>
      </c>
      <c r="E24" s="10"/>
      <c r="F24" s="11"/>
      <c r="G24" s="17" t="s">
        <v>17</v>
      </c>
    </row>
    <row r="25" spans="1:7" x14ac:dyDescent="0.25">
      <c r="A25" s="8">
        <v>352244</v>
      </c>
      <c r="B25" s="10">
        <v>21370</v>
      </c>
      <c r="C25" s="10">
        <v>45081</v>
      </c>
      <c r="D25" s="11">
        <v>96000</v>
      </c>
      <c r="E25" s="10"/>
      <c r="F25" s="11"/>
      <c r="G25" s="17" t="s">
        <v>17</v>
      </c>
    </row>
    <row r="26" spans="1:7" x14ac:dyDescent="0.25">
      <c r="A26" s="8">
        <v>357982</v>
      </c>
      <c r="B26" s="10">
        <v>17820</v>
      </c>
      <c r="C26" s="10">
        <v>35562</v>
      </c>
      <c r="D26" s="11">
        <v>94000</v>
      </c>
      <c r="E26" s="10"/>
      <c r="F26" s="11"/>
      <c r="G26" s="17" t="s">
        <v>17</v>
      </c>
    </row>
    <row r="27" spans="1:7" x14ac:dyDescent="0.25">
      <c r="A27" s="8">
        <v>369257</v>
      </c>
      <c r="B27" s="10">
        <v>3651</v>
      </c>
      <c r="C27" s="10">
        <v>41274</v>
      </c>
      <c r="D27" s="11">
        <v>86000</v>
      </c>
      <c r="E27" s="10"/>
      <c r="F27" s="11"/>
      <c r="G27" s="17" t="s">
        <v>17</v>
      </c>
    </row>
    <row r="28" spans="1:7" x14ac:dyDescent="0.25">
      <c r="A28" s="8">
        <v>375122</v>
      </c>
      <c r="B28" s="10">
        <v>17859</v>
      </c>
      <c r="C28" s="10">
        <v>39834</v>
      </c>
      <c r="D28" s="11">
        <v>23000</v>
      </c>
      <c r="E28" s="10"/>
      <c r="F28" s="11"/>
      <c r="G28" s="17" t="s">
        <v>17</v>
      </c>
    </row>
    <row r="29" spans="1:7" x14ac:dyDescent="0.25">
      <c r="A29" s="8">
        <v>406300</v>
      </c>
      <c r="B29" s="10">
        <v>1</v>
      </c>
      <c r="C29" s="10">
        <v>40273</v>
      </c>
      <c r="D29" s="11">
        <v>54000</v>
      </c>
      <c r="E29" s="10"/>
      <c r="F29" s="11"/>
      <c r="G29" s="17" t="s">
        <v>17</v>
      </c>
    </row>
    <row r="30" spans="1:7" x14ac:dyDescent="0.25">
      <c r="A30" s="8">
        <v>422365</v>
      </c>
      <c r="B30" s="10">
        <v>21074</v>
      </c>
      <c r="C30" s="10">
        <v>40539</v>
      </c>
      <c r="D30" s="11">
        <v>86000</v>
      </c>
      <c r="E30" s="10"/>
      <c r="F30" s="11"/>
      <c r="G30" s="17" t="s">
        <v>17</v>
      </c>
    </row>
    <row r="31" spans="1:7" x14ac:dyDescent="0.25">
      <c r="A31" s="8">
        <v>423109</v>
      </c>
      <c r="B31" s="10">
        <v>16218</v>
      </c>
      <c r="C31" s="10">
        <v>40974</v>
      </c>
      <c r="D31" s="11">
        <v>79000</v>
      </c>
      <c r="E31" s="10"/>
      <c r="F31" s="11"/>
      <c r="G31" s="17" t="s">
        <v>17</v>
      </c>
    </row>
    <row r="32" spans="1:7" x14ac:dyDescent="0.25">
      <c r="A32" s="8">
        <v>426223</v>
      </c>
      <c r="B32" s="10">
        <v>26191</v>
      </c>
      <c r="C32" s="10">
        <v>27116</v>
      </c>
      <c r="D32" s="11">
        <v>83000</v>
      </c>
      <c r="E32" s="10"/>
      <c r="F32" s="11"/>
      <c r="G32" s="17" t="s">
        <v>17</v>
      </c>
    </row>
    <row r="33" spans="1:7" x14ac:dyDescent="0.25">
      <c r="A33" s="8">
        <v>430276</v>
      </c>
      <c r="B33" s="10">
        <v>29324</v>
      </c>
      <c r="C33" s="10">
        <v>31271</v>
      </c>
      <c r="D33" s="11">
        <v>100000</v>
      </c>
      <c r="E33" s="10"/>
      <c r="F33" s="11"/>
      <c r="G33" s="17" t="s">
        <v>17</v>
      </c>
    </row>
    <row r="34" spans="1:7" x14ac:dyDescent="0.25">
      <c r="A34" s="8">
        <v>430534</v>
      </c>
      <c r="B34" s="10">
        <v>16018</v>
      </c>
      <c r="C34" s="10">
        <v>1</v>
      </c>
      <c r="D34" s="11">
        <v>110000</v>
      </c>
      <c r="E34" s="10"/>
      <c r="F34" s="11"/>
      <c r="G34" s="17" t="s">
        <v>17</v>
      </c>
    </row>
    <row r="35" spans="1:7" x14ac:dyDescent="0.25">
      <c r="A35" s="8">
        <v>443913</v>
      </c>
      <c r="B35" s="10">
        <v>16639</v>
      </c>
      <c r="C35" s="10">
        <v>32076</v>
      </c>
      <c r="D35" s="11">
        <v>200000</v>
      </c>
      <c r="E35" s="10"/>
      <c r="F35" s="11"/>
      <c r="G35" s="17" t="s">
        <v>17</v>
      </c>
    </row>
    <row r="36" spans="1:7" x14ac:dyDescent="0.25">
      <c r="A36" s="8">
        <v>446641</v>
      </c>
      <c r="B36" s="10">
        <v>24017</v>
      </c>
      <c r="C36" s="10">
        <v>35209</v>
      </c>
      <c r="D36" s="11">
        <v>86000</v>
      </c>
      <c r="E36" s="10"/>
      <c r="F36" s="11"/>
      <c r="G36" s="17" t="s">
        <v>17</v>
      </c>
    </row>
    <row r="37" spans="1:7" x14ac:dyDescent="0.25">
      <c r="A37" s="8">
        <v>462488</v>
      </c>
      <c r="B37" s="10">
        <v>22481</v>
      </c>
      <c r="C37" s="10">
        <v>38401</v>
      </c>
      <c r="D37" s="11">
        <v>86000</v>
      </c>
      <c r="E37" s="10"/>
      <c r="F37" s="11"/>
      <c r="G37" s="17" t="s">
        <v>17</v>
      </c>
    </row>
    <row r="38" spans="1:7" x14ac:dyDescent="0.25">
      <c r="A38" s="8">
        <v>472297</v>
      </c>
      <c r="B38" s="10">
        <v>33987</v>
      </c>
      <c r="C38" s="10">
        <v>38375</v>
      </c>
      <c r="D38" s="11">
        <v>86000</v>
      </c>
      <c r="E38" s="10"/>
      <c r="F38" s="11"/>
      <c r="G38" s="17" t="s">
        <v>17</v>
      </c>
    </row>
    <row r="39" spans="1:7" x14ac:dyDescent="0.25">
      <c r="A39" s="8">
        <v>489909</v>
      </c>
      <c r="B39" s="10">
        <v>24490</v>
      </c>
      <c r="C39" s="10">
        <v>1</v>
      </c>
      <c r="D39" s="11">
        <v>86000</v>
      </c>
      <c r="E39" s="10"/>
      <c r="F39" s="11"/>
      <c r="G39" s="17" t="s">
        <v>17</v>
      </c>
    </row>
    <row r="40" spans="1:7" x14ac:dyDescent="0.25">
      <c r="A40" s="8">
        <v>489933</v>
      </c>
      <c r="B40" s="10">
        <v>22158</v>
      </c>
      <c r="C40" s="10">
        <v>36329</v>
      </c>
      <c r="D40" s="11">
        <v>86000</v>
      </c>
      <c r="E40" s="10"/>
      <c r="F40" s="11"/>
      <c r="G40" s="17" t="s">
        <v>17</v>
      </c>
    </row>
    <row r="41" spans="1:7" x14ac:dyDescent="0.25">
      <c r="A41" s="8">
        <v>537613</v>
      </c>
      <c r="B41" s="10">
        <v>30229</v>
      </c>
      <c r="C41" s="10">
        <v>35267</v>
      </c>
      <c r="D41" s="11">
        <v>86000</v>
      </c>
      <c r="E41" s="10"/>
      <c r="F41" s="11"/>
      <c r="G41" s="17" t="s">
        <v>17</v>
      </c>
    </row>
    <row r="42" spans="1:7" x14ac:dyDescent="0.25">
      <c r="A42" s="8">
        <v>538228</v>
      </c>
      <c r="B42" s="10">
        <v>15818</v>
      </c>
      <c r="C42" s="10">
        <v>45281</v>
      </c>
      <c r="D42" s="11">
        <v>86000</v>
      </c>
      <c r="E42" s="10"/>
      <c r="F42" s="11"/>
      <c r="G42" s="17" t="s">
        <v>17</v>
      </c>
    </row>
    <row r="43" spans="1:7" x14ac:dyDescent="0.25">
      <c r="A43" s="8">
        <v>545776</v>
      </c>
      <c r="B43" s="10">
        <v>24090</v>
      </c>
      <c r="C43" s="10">
        <v>35762</v>
      </c>
      <c r="D43" s="11">
        <v>86000</v>
      </c>
      <c r="E43" s="10"/>
      <c r="F43" s="11"/>
      <c r="G43" s="17" t="s">
        <v>17</v>
      </c>
    </row>
    <row r="44" spans="1:7" x14ac:dyDescent="0.25">
      <c r="A44" s="8">
        <v>123486</v>
      </c>
      <c r="B44" s="10">
        <v>19725</v>
      </c>
      <c r="C44" s="10">
        <v>41474</v>
      </c>
      <c r="D44" s="11"/>
      <c r="E44" s="10">
        <v>43466</v>
      </c>
      <c r="F44" s="11">
        <v>8990</v>
      </c>
      <c r="G44" s="17" t="s">
        <v>62</v>
      </c>
    </row>
    <row r="45" spans="1:7" x14ac:dyDescent="0.25">
      <c r="A45" s="8">
        <v>123485</v>
      </c>
      <c r="B45" s="10">
        <v>16254</v>
      </c>
      <c r="C45" s="10">
        <v>40073</v>
      </c>
      <c r="D45" s="11"/>
      <c r="E45" s="10">
        <v>39995</v>
      </c>
      <c r="F45" s="11">
        <v>18047</v>
      </c>
      <c r="G45" s="17" t="s">
        <v>64</v>
      </c>
    </row>
    <row r="46" spans="1:7" x14ac:dyDescent="0.25">
      <c r="A46" s="8">
        <v>123484</v>
      </c>
      <c r="B46" s="10">
        <v>18203</v>
      </c>
      <c r="C46" s="10">
        <v>40339</v>
      </c>
      <c r="D46" s="11"/>
      <c r="E46" s="10">
        <v>41944</v>
      </c>
      <c r="F46" s="11">
        <v>9625</v>
      </c>
      <c r="G46" s="17" t="s">
        <v>64</v>
      </c>
    </row>
    <row r="47" spans="1:7" x14ac:dyDescent="0.25">
      <c r="A47" s="8">
        <v>123472</v>
      </c>
      <c r="B47" s="10">
        <v>19725</v>
      </c>
      <c r="C47" s="10">
        <v>40774</v>
      </c>
      <c r="D47" s="11"/>
      <c r="E47" s="10">
        <v>43466</v>
      </c>
      <c r="F47" s="11">
        <v>5840</v>
      </c>
      <c r="G47" s="17" t="s">
        <v>62</v>
      </c>
    </row>
    <row r="48" spans="1:7" x14ac:dyDescent="0.25">
      <c r="A48" s="8">
        <v>123466</v>
      </c>
      <c r="B48" s="10">
        <v>22098</v>
      </c>
      <c r="C48" s="10"/>
      <c r="D48" s="11"/>
      <c r="E48" s="10">
        <v>45839</v>
      </c>
      <c r="F48" s="11">
        <v>15804</v>
      </c>
      <c r="G48" s="17" t="s">
        <v>62</v>
      </c>
    </row>
    <row r="49" spans="1:7" x14ac:dyDescent="0.25">
      <c r="A49" s="8">
        <v>123465</v>
      </c>
      <c r="B49" s="10">
        <v>16803</v>
      </c>
      <c r="C49" s="10"/>
      <c r="D49" s="11"/>
      <c r="E49" s="10">
        <v>40544</v>
      </c>
      <c r="F49" s="11">
        <v>10349</v>
      </c>
      <c r="G49" s="17" t="s">
        <v>64</v>
      </c>
    </row>
    <row r="50" spans="1:7" x14ac:dyDescent="0.25">
      <c r="A50" s="8">
        <v>579277</v>
      </c>
      <c r="B50" s="10">
        <v>22084</v>
      </c>
      <c r="C50" s="10"/>
      <c r="D50" s="11">
        <v>85000</v>
      </c>
      <c r="E50" s="10"/>
      <c r="F50" s="11"/>
      <c r="G50" s="17" t="s">
        <v>17</v>
      </c>
    </row>
    <row r="51" spans="1:7" x14ac:dyDescent="0.25">
      <c r="A51" s="8">
        <v>565414</v>
      </c>
      <c r="B51" s="10">
        <v>21758</v>
      </c>
      <c r="C51" s="10"/>
      <c r="D51" s="11">
        <v>110000</v>
      </c>
      <c r="E51" s="10"/>
      <c r="F51" s="11"/>
      <c r="G51" s="17" t="s">
        <v>17</v>
      </c>
    </row>
    <row r="52" spans="1:7" x14ac:dyDescent="0.25">
      <c r="A52" s="8">
        <v>570202</v>
      </c>
      <c r="B52" s="10">
        <v>16239</v>
      </c>
      <c r="C52" s="10"/>
      <c r="D52" s="11"/>
      <c r="E52" s="10"/>
      <c r="F52" s="11"/>
      <c r="G52" s="17"/>
    </row>
    <row r="53" spans="1:7" x14ac:dyDescent="0.25">
      <c r="A53" s="8">
        <v>578408</v>
      </c>
      <c r="B53" s="10">
        <v>17459</v>
      </c>
      <c r="C53" s="10"/>
      <c r="D53" s="11"/>
      <c r="E53" s="10"/>
      <c r="F53" s="11"/>
      <c r="G53" s="17"/>
    </row>
    <row r="54" spans="1:7" x14ac:dyDescent="0.25">
      <c r="A54" s="8">
        <v>579268</v>
      </c>
      <c r="B54" s="10">
        <v>22081</v>
      </c>
      <c r="C54" s="10"/>
      <c r="D54" s="11">
        <v>83000</v>
      </c>
      <c r="E54" s="10"/>
      <c r="F54" s="11"/>
      <c r="G54" s="17" t="s">
        <v>17</v>
      </c>
    </row>
    <row r="55" spans="1:7" x14ac:dyDescent="0.25">
      <c r="A55" s="8">
        <v>579271</v>
      </c>
      <c r="B55" s="10">
        <v>22069</v>
      </c>
      <c r="C55" s="10"/>
      <c r="D55" s="11"/>
      <c r="E55" s="10"/>
      <c r="F55" s="11"/>
      <c r="G55" s="17"/>
    </row>
    <row r="56" spans="1:7" x14ac:dyDescent="0.25">
      <c r="A56" s="8">
        <v>579274</v>
      </c>
      <c r="B56" s="10">
        <v>20256</v>
      </c>
      <c r="C56" s="10"/>
      <c r="D56" s="11">
        <v>200000</v>
      </c>
      <c r="E56" s="10"/>
      <c r="F56" s="11"/>
      <c r="G56" s="17" t="s">
        <v>17</v>
      </c>
    </row>
    <row r="57" spans="1:7" x14ac:dyDescent="0.25">
      <c r="A57" s="8">
        <v>579414</v>
      </c>
      <c r="B57" s="10">
        <v>32874</v>
      </c>
      <c r="C57" s="10">
        <v>41974</v>
      </c>
      <c r="D57" s="11">
        <v>110000</v>
      </c>
      <c r="E57" s="10"/>
      <c r="F57" s="11"/>
      <c r="G57" s="17" t="s">
        <v>17</v>
      </c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</sheetData>
  <autoFilter ref="A1:G57" xr:uid="{BE7140B0-F73D-4ADE-9CC8-C57121475174}"/>
  <pageMargins left="0.7" right="0.7" top="0.75" bottom="0.75" header="0.3" footer="0.3"/>
  <pageSetup scale="81" orientation="portrait" horizontalDpi="300" verticalDpi="300" r:id="rId1"/>
  <headerFooter>
    <oddFooter>&amp;L&amp;F
&amp;A&amp;C&amp;P of &amp;N&amp;R&amp;D
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C30B-47A1-43CA-8B3E-1667ACEADFF3}">
  <sheetPr>
    <pageSetUpPr fitToPage="1"/>
  </sheetPr>
  <dimension ref="A1:R58"/>
  <sheetViews>
    <sheetView workbookViewId="0">
      <pane ySplit="5" topLeftCell="A8" activePane="bottomLeft" state="frozen"/>
      <selection pane="bottomLeft"/>
    </sheetView>
  </sheetViews>
  <sheetFormatPr defaultColWidth="8.85546875" defaultRowHeight="12.75" x14ac:dyDescent="0.2"/>
  <cols>
    <col min="1" max="1" width="9.7109375" style="1" customWidth="1"/>
    <col min="2" max="2" width="20.28515625" style="1" bestFit="1" customWidth="1"/>
    <col min="3" max="3" width="12.28515625" style="1" bestFit="1" customWidth="1"/>
    <col min="4" max="4" width="11.7109375" style="1" bestFit="1" customWidth="1"/>
    <col min="5" max="7" width="11.42578125" style="1" bestFit="1" customWidth="1"/>
    <col min="8" max="9" width="11.42578125" style="1" customWidth="1"/>
    <col min="10" max="10" width="12.28515625" style="1" customWidth="1"/>
    <col min="11" max="11" width="11.28515625" style="1" customWidth="1"/>
    <col min="12" max="12" width="8.85546875" style="1"/>
    <col min="13" max="13" width="8.42578125" style="1" bestFit="1" customWidth="1"/>
    <col min="14" max="14" width="15.140625" style="1" bestFit="1" customWidth="1"/>
    <col min="15" max="15" width="14.42578125" style="1" bestFit="1" customWidth="1"/>
    <col min="16" max="16" width="11.140625" style="1" customWidth="1"/>
    <col min="17" max="17" width="10.140625" style="1" bestFit="1" customWidth="1"/>
    <col min="18" max="16384" width="8.85546875" style="1"/>
  </cols>
  <sheetData>
    <row r="1" spans="1:18" x14ac:dyDescent="0.2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 spans="1:18" ht="15.75" x14ac:dyDescent="0.25">
      <c r="A2" s="2" t="s">
        <v>0</v>
      </c>
      <c r="B2"/>
      <c r="C2"/>
      <c r="D2"/>
      <c r="E2"/>
      <c r="F2"/>
      <c r="G2"/>
      <c r="H2"/>
      <c r="I2"/>
      <c r="J2"/>
      <c r="K2"/>
      <c r="L2"/>
      <c r="M2"/>
      <c r="N2"/>
    </row>
    <row r="3" spans="1:18" x14ac:dyDescent="0.2">
      <c r="A3"/>
      <c r="B3"/>
      <c r="C3"/>
      <c r="D3"/>
      <c r="E3"/>
      <c r="F3"/>
      <c r="G3"/>
      <c r="H3"/>
      <c r="I3"/>
      <c r="J3"/>
      <c r="K3"/>
      <c r="L3"/>
      <c r="M3"/>
      <c r="N3"/>
    </row>
    <row r="4" spans="1:18" ht="13.5" thickBot="1" x14ac:dyDescent="0.25"/>
    <row r="5" spans="1:18" ht="25.5" x14ac:dyDescent="0.2">
      <c r="A5" s="3" t="s">
        <v>1</v>
      </c>
      <c r="B5" s="4" t="s">
        <v>2</v>
      </c>
      <c r="C5" s="5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4" t="s">
        <v>12</v>
      </c>
      <c r="M5" s="4" t="s">
        <v>13</v>
      </c>
      <c r="N5" s="7" t="s">
        <v>14</v>
      </c>
      <c r="O5" s="7" t="s">
        <v>15</v>
      </c>
    </row>
    <row r="6" spans="1:18" x14ac:dyDescent="0.2">
      <c r="A6" s="8">
        <v>123491</v>
      </c>
      <c r="B6" s="9" t="s">
        <v>16</v>
      </c>
      <c r="C6" s="10">
        <v>24017</v>
      </c>
      <c r="D6" s="10">
        <v>34809</v>
      </c>
      <c r="E6" s="11">
        <v>250000</v>
      </c>
      <c r="F6" s="11">
        <v>230000</v>
      </c>
      <c r="G6" s="11">
        <v>210000</v>
      </c>
      <c r="H6" s="10"/>
      <c r="I6" s="11"/>
      <c r="J6" s="8" t="s">
        <v>17</v>
      </c>
      <c r="K6" s="8" t="s">
        <v>17</v>
      </c>
      <c r="P6" s="12"/>
      <c r="Q6" s="12"/>
      <c r="R6" s="12"/>
    </row>
    <row r="7" spans="1:18" x14ac:dyDescent="0.2">
      <c r="A7" s="8">
        <v>144983</v>
      </c>
      <c r="B7" s="9" t="s">
        <v>18</v>
      </c>
      <c r="C7" s="10">
        <v>27601</v>
      </c>
      <c r="D7" s="10">
        <v>38001</v>
      </c>
      <c r="E7" s="11">
        <v>99000</v>
      </c>
      <c r="F7" s="11">
        <v>94300</v>
      </c>
      <c r="G7" s="11">
        <v>89800</v>
      </c>
      <c r="H7" s="10"/>
      <c r="I7" s="11"/>
      <c r="J7" s="8" t="s">
        <v>17</v>
      </c>
      <c r="K7" s="8" t="s">
        <v>17</v>
      </c>
      <c r="P7" s="12"/>
      <c r="Q7" s="12"/>
      <c r="R7" s="12"/>
    </row>
    <row r="8" spans="1:18" x14ac:dyDescent="0.2">
      <c r="A8" s="8">
        <v>187427</v>
      </c>
      <c r="B8" s="9" t="s">
        <v>19</v>
      </c>
      <c r="C8" s="10">
        <v>21170</v>
      </c>
      <c r="D8" s="10">
        <v>37975</v>
      </c>
      <c r="E8" s="11">
        <v>98000</v>
      </c>
      <c r="F8" s="11">
        <v>93300</v>
      </c>
      <c r="G8" s="11">
        <v>88900</v>
      </c>
      <c r="H8" s="10"/>
      <c r="I8" s="11"/>
      <c r="J8" s="8" t="s">
        <v>17</v>
      </c>
      <c r="K8" s="8" t="s">
        <v>17</v>
      </c>
      <c r="P8" s="12"/>
      <c r="Q8" s="12"/>
      <c r="R8" s="12"/>
    </row>
    <row r="9" spans="1:18" x14ac:dyDescent="0.2">
      <c r="A9" s="8">
        <v>189508</v>
      </c>
      <c r="B9" s="9" t="s">
        <v>20</v>
      </c>
      <c r="C9" s="10">
        <v>30229</v>
      </c>
      <c r="D9" s="10">
        <v>35020</v>
      </c>
      <c r="E9" s="11">
        <v>97000</v>
      </c>
      <c r="F9" s="11">
        <v>92400</v>
      </c>
      <c r="G9" s="11">
        <v>88000</v>
      </c>
      <c r="H9" s="10"/>
      <c r="I9" s="11"/>
      <c r="J9" s="8" t="s">
        <v>17</v>
      </c>
      <c r="K9" s="8" t="s">
        <v>17</v>
      </c>
      <c r="P9" s="12"/>
      <c r="Q9" s="12"/>
      <c r="R9" s="12"/>
    </row>
    <row r="10" spans="1:18" x14ac:dyDescent="0.2">
      <c r="A10" s="8">
        <v>199741</v>
      </c>
      <c r="B10" s="9" t="s">
        <v>21</v>
      </c>
      <c r="C10" s="10">
        <v>16439</v>
      </c>
      <c r="D10" s="10">
        <v>35929</v>
      </c>
      <c r="E10" s="11">
        <v>96000</v>
      </c>
      <c r="F10" s="11">
        <v>91400</v>
      </c>
      <c r="G10" s="11">
        <v>87100</v>
      </c>
      <c r="H10" s="10"/>
      <c r="I10" s="11"/>
      <c r="J10" s="8" t="s">
        <v>17</v>
      </c>
      <c r="K10" s="8" t="s">
        <v>17</v>
      </c>
      <c r="P10" s="12"/>
      <c r="Q10" s="12"/>
      <c r="R10" s="12"/>
    </row>
    <row r="11" spans="1:18" x14ac:dyDescent="0.2">
      <c r="A11" s="8">
        <v>205217</v>
      </c>
      <c r="B11" s="9" t="s">
        <v>22</v>
      </c>
      <c r="C11" s="10">
        <v>17620</v>
      </c>
      <c r="D11" s="10">
        <v>34867</v>
      </c>
      <c r="E11" s="11">
        <v>95000</v>
      </c>
      <c r="F11" s="11">
        <v>90500</v>
      </c>
      <c r="G11" s="11">
        <v>86200</v>
      </c>
      <c r="H11" s="10"/>
      <c r="I11" s="11"/>
      <c r="J11" s="8" t="s">
        <v>17</v>
      </c>
      <c r="K11" s="8" t="s">
        <v>17</v>
      </c>
      <c r="P11" s="12"/>
      <c r="Q11" s="12"/>
      <c r="R11" s="12"/>
    </row>
    <row r="12" spans="1:18" x14ac:dyDescent="0.2">
      <c r="A12" s="8">
        <v>206418</v>
      </c>
      <c r="B12" s="9" t="s">
        <v>23</v>
      </c>
      <c r="C12" s="10">
        <v>20874</v>
      </c>
      <c r="D12" s="10">
        <v>40497</v>
      </c>
      <c r="E12" s="11">
        <v>320000</v>
      </c>
      <c r="F12" s="11">
        <v>32000</v>
      </c>
      <c r="G12" s="11"/>
      <c r="H12" s="10"/>
      <c r="I12" s="11"/>
      <c r="J12" s="8" t="s">
        <v>17</v>
      </c>
      <c r="K12" s="8" t="s">
        <v>17</v>
      </c>
      <c r="P12" s="12"/>
      <c r="Q12" s="12"/>
      <c r="R12" s="12"/>
    </row>
    <row r="13" spans="1:18" x14ac:dyDescent="0.2">
      <c r="A13" s="8">
        <v>218201</v>
      </c>
      <c r="B13" s="9" t="s">
        <v>24</v>
      </c>
      <c r="C13" s="10">
        <v>15818</v>
      </c>
      <c r="D13" s="10">
        <v>35362</v>
      </c>
      <c r="E13" s="11">
        <v>93000</v>
      </c>
      <c r="F13" s="11">
        <v>88600</v>
      </c>
      <c r="G13" s="11">
        <v>84400</v>
      </c>
      <c r="H13" s="10"/>
      <c r="I13" s="11"/>
      <c r="J13" s="8" t="s">
        <v>17</v>
      </c>
      <c r="K13" s="8" t="s">
        <v>17</v>
      </c>
      <c r="P13" s="12"/>
      <c r="Q13" s="12"/>
      <c r="R13" s="12"/>
    </row>
    <row r="14" spans="1:18" x14ac:dyDescent="0.2">
      <c r="A14" s="8">
        <v>225139</v>
      </c>
      <c r="B14" s="9" t="s">
        <v>25</v>
      </c>
      <c r="C14" s="10">
        <v>33987</v>
      </c>
      <c r="D14" s="10">
        <v>41074</v>
      </c>
      <c r="E14" s="11">
        <v>92000</v>
      </c>
      <c r="F14" s="11">
        <v>40000</v>
      </c>
      <c r="G14" s="11"/>
      <c r="H14" s="10"/>
      <c r="I14" s="11"/>
      <c r="J14" s="8" t="s">
        <v>17</v>
      </c>
      <c r="K14" s="8" t="s">
        <v>17</v>
      </c>
      <c r="P14" s="12"/>
      <c r="Q14" s="12"/>
      <c r="R14" s="12"/>
    </row>
    <row r="15" spans="1:18" x14ac:dyDescent="0.2">
      <c r="A15" s="8">
        <v>232072</v>
      </c>
      <c r="B15" s="9" t="s">
        <v>26</v>
      </c>
      <c r="C15" s="10">
        <v>24290</v>
      </c>
      <c r="D15" s="10">
        <v>39634</v>
      </c>
      <c r="E15" s="11">
        <v>91000</v>
      </c>
      <c r="F15" s="11">
        <v>86700</v>
      </c>
      <c r="G15" s="11">
        <v>82500</v>
      </c>
      <c r="H15" s="10"/>
      <c r="I15" s="11"/>
      <c r="J15" s="8" t="s">
        <v>17</v>
      </c>
      <c r="K15" s="8" t="s">
        <v>17</v>
      </c>
      <c r="P15" s="12"/>
      <c r="Q15" s="12"/>
      <c r="R15" s="12"/>
    </row>
    <row r="16" spans="1:18" x14ac:dyDescent="0.2">
      <c r="A16" s="8">
        <v>250067</v>
      </c>
      <c r="B16" s="9" t="s">
        <v>27</v>
      </c>
      <c r="C16" s="10" t="s">
        <v>28</v>
      </c>
      <c r="D16" s="10">
        <v>40073</v>
      </c>
      <c r="E16" s="11">
        <v>90000</v>
      </c>
      <c r="F16" s="11">
        <v>85700</v>
      </c>
      <c r="G16" s="11">
        <v>81600</v>
      </c>
      <c r="H16" s="10"/>
      <c r="I16" s="11"/>
      <c r="J16" s="8" t="s">
        <v>17</v>
      </c>
      <c r="K16" s="8" t="s">
        <v>17</v>
      </c>
      <c r="P16" s="12"/>
      <c r="Q16" s="12"/>
      <c r="R16" s="12"/>
    </row>
    <row r="17" spans="1:18" x14ac:dyDescent="0.2">
      <c r="A17" s="8">
        <v>253862</v>
      </c>
      <c r="B17" s="9" t="s">
        <v>29</v>
      </c>
      <c r="C17" s="10">
        <v>23332</v>
      </c>
      <c r="D17" s="10">
        <v>40339</v>
      </c>
      <c r="E17" s="11">
        <v>89000</v>
      </c>
      <c r="F17" s="11">
        <v>84800</v>
      </c>
      <c r="G17" s="11">
        <v>80700</v>
      </c>
      <c r="H17" s="10"/>
      <c r="I17" s="11"/>
      <c r="J17" s="8" t="s">
        <v>17</v>
      </c>
      <c r="K17" s="8" t="s">
        <v>17</v>
      </c>
      <c r="P17" s="12"/>
      <c r="Q17" s="12"/>
      <c r="R17" s="12"/>
    </row>
    <row r="18" spans="1:18" x14ac:dyDescent="0.2">
      <c r="A18" s="8">
        <v>255179</v>
      </c>
      <c r="B18" s="9" t="s">
        <v>30</v>
      </c>
      <c r="C18" s="10">
        <v>22281</v>
      </c>
      <c r="D18" s="10">
        <v>40774</v>
      </c>
      <c r="E18" s="11">
        <v>88000</v>
      </c>
      <c r="F18" s="11">
        <v>83800</v>
      </c>
      <c r="G18" s="11">
        <v>40000</v>
      </c>
      <c r="H18" s="10"/>
      <c r="I18" s="11"/>
      <c r="J18" s="8" t="s">
        <v>17</v>
      </c>
      <c r="K18" s="8" t="s">
        <v>17</v>
      </c>
      <c r="P18" s="12"/>
      <c r="Q18" s="12"/>
      <c r="R18" s="12"/>
    </row>
    <row r="19" spans="1:18" x14ac:dyDescent="0.2">
      <c r="A19" s="8">
        <v>258130</v>
      </c>
      <c r="B19" s="9" t="s">
        <v>31</v>
      </c>
      <c r="C19" s="10">
        <v>29124</v>
      </c>
      <c r="D19" s="10">
        <v>29006</v>
      </c>
      <c r="E19" s="11">
        <v>87000</v>
      </c>
      <c r="F19" s="11">
        <v>82900</v>
      </c>
      <c r="G19" s="11">
        <v>78900</v>
      </c>
      <c r="H19" s="10"/>
      <c r="I19" s="11"/>
      <c r="J19" s="8" t="s">
        <v>17</v>
      </c>
      <c r="K19" s="8" t="s">
        <v>17</v>
      </c>
      <c r="P19" s="12"/>
      <c r="Q19" s="12"/>
      <c r="R19" s="12"/>
    </row>
    <row r="20" spans="1:18" x14ac:dyDescent="0.2">
      <c r="A20" s="8">
        <v>286491</v>
      </c>
      <c r="B20" s="9" t="s">
        <v>32</v>
      </c>
      <c r="C20" s="10">
        <v>16018</v>
      </c>
      <c r="D20" s="10">
        <v>31071</v>
      </c>
      <c r="E20" s="11">
        <v>86000</v>
      </c>
      <c r="F20" s="11">
        <v>81900</v>
      </c>
      <c r="G20" s="11">
        <v>78000</v>
      </c>
      <c r="H20" s="10"/>
      <c r="I20" s="11"/>
      <c r="J20" s="8" t="s">
        <v>17</v>
      </c>
      <c r="K20" s="8" t="s">
        <v>17</v>
      </c>
      <c r="P20" s="12"/>
      <c r="Q20" s="12"/>
      <c r="R20" s="12"/>
    </row>
    <row r="21" spans="1:18" x14ac:dyDescent="0.2">
      <c r="A21" s="8">
        <v>290999</v>
      </c>
      <c r="B21" s="9" t="s">
        <v>33</v>
      </c>
      <c r="C21" s="10">
        <v>25991</v>
      </c>
      <c r="D21" s="10">
        <v>41600</v>
      </c>
      <c r="E21" s="11">
        <v>85000</v>
      </c>
      <c r="F21" s="11">
        <v>2000</v>
      </c>
      <c r="G21" s="11"/>
      <c r="H21" s="10"/>
      <c r="I21" s="11"/>
      <c r="J21" s="8" t="s">
        <v>17</v>
      </c>
      <c r="K21" s="8"/>
      <c r="P21" s="12"/>
      <c r="Q21" s="12"/>
      <c r="R21" s="12"/>
    </row>
    <row r="22" spans="1:18" x14ac:dyDescent="0.2">
      <c r="A22" s="8">
        <v>300843</v>
      </c>
      <c r="B22" s="9" t="s">
        <v>34</v>
      </c>
      <c r="C22" s="10">
        <v>17659</v>
      </c>
      <c r="D22" s="10">
        <v>31876</v>
      </c>
      <c r="E22" s="11">
        <v>84000</v>
      </c>
      <c r="F22" s="11">
        <v>80000</v>
      </c>
      <c r="G22" s="11">
        <v>76200</v>
      </c>
      <c r="H22" s="10"/>
      <c r="I22" s="11"/>
      <c r="J22" s="8" t="s">
        <v>17</v>
      </c>
      <c r="K22" s="8" t="s">
        <v>17</v>
      </c>
      <c r="P22" s="12"/>
      <c r="Q22" s="12"/>
      <c r="R22" s="12"/>
    </row>
    <row r="23" spans="1:18" x14ac:dyDescent="0.2">
      <c r="A23" s="8">
        <v>302798</v>
      </c>
      <c r="B23" s="9" t="s">
        <v>35</v>
      </c>
      <c r="C23" s="10">
        <v>28924</v>
      </c>
      <c r="D23" s="10">
        <v>35009</v>
      </c>
      <c r="E23" s="11">
        <v>300000</v>
      </c>
      <c r="F23" s="11">
        <v>276000</v>
      </c>
      <c r="G23" s="11">
        <v>252000</v>
      </c>
      <c r="H23" s="10"/>
      <c r="I23" s="11"/>
      <c r="J23" s="8" t="s">
        <v>17</v>
      </c>
      <c r="K23" s="8" t="s">
        <v>17</v>
      </c>
      <c r="P23" s="12"/>
      <c r="Q23" s="12"/>
      <c r="R23" s="12"/>
    </row>
    <row r="24" spans="1:18" x14ac:dyDescent="0.2">
      <c r="A24" s="8">
        <v>310267</v>
      </c>
      <c r="B24" s="9" t="s">
        <v>36</v>
      </c>
      <c r="C24" s="10">
        <v>23532</v>
      </c>
      <c r="D24" s="10">
        <v>38201</v>
      </c>
      <c r="E24" s="11">
        <v>118800</v>
      </c>
      <c r="F24" s="11">
        <v>113100</v>
      </c>
      <c r="G24" s="11">
        <v>107800</v>
      </c>
      <c r="H24" s="10"/>
      <c r="I24" s="11"/>
      <c r="J24" s="8" t="s">
        <v>17</v>
      </c>
      <c r="K24" s="8" t="s">
        <v>17</v>
      </c>
      <c r="P24" s="12"/>
      <c r="Q24" s="12"/>
      <c r="R24" s="12"/>
    </row>
    <row r="25" spans="1:18" x14ac:dyDescent="0.2">
      <c r="A25" s="8">
        <v>313615</v>
      </c>
      <c r="B25" s="9" t="s">
        <v>37</v>
      </c>
      <c r="C25" s="10">
        <v>34187</v>
      </c>
      <c r="D25" s="10">
        <v>38175</v>
      </c>
      <c r="E25" s="11">
        <v>117600</v>
      </c>
      <c r="F25" s="11">
        <v>112000</v>
      </c>
      <c r="G25" s="11">
        <v>106700</v>
      </c>
      <c r="H25" s="10"/>
      <c r="I25" s="11"/>
      <c r="J25" s="8" t="s">
        <v>17</v>
      </c>
      <c r="K25" s="8" t="s">
        <v>17</v>
      </c>
      <c r="P25" s="12"/>
      <c r="Q25" s="12"/>
      <c r="R25" s="12"/>
    </row>
    <row r="26" spans="1:18" x14ac:dyDescent="0.2">
      <c r="A26" s="8">
        <v>320387</v>
      </c>
      <c r="B26" s="9" t="s">
        <v>38</v>
      </c>
      <c r="C26" s="10">
        <v>25791</v>
      </c>
      <c r="D26" s="10">
        <v>35220</v>
      </c>
      <c r="E26" s="11">
        <v>116400</v>
      </c>
      <c r="F26" s="11">
        <v>110900</v>
      </c>
      <c r="G26" s="11">
        <v>105600</v>
      </c>
      <c r="H26" s="10"/>
      <c r="I26" s="11"/>
      <c r="J26" s="8" t="s">
        <v>17</v>
      </c>
      <c r="K26" s="8" t="s">
        <v>17</v>
      </c>
      <c r="P26" s="12"/>
      <c r="Q26" s="12"/>
      <c r="R26" s="12"/>
    </row>
    <row r="27" spans="1:18" x14ac:dyDescent="0.2">
      <c r="A27" s="8">
        <v>340436</v>
      </c>
      <c r="B27" s="9" t="s">
        <v>39</v>
      </c>
      <c r="C27" s="10">
        <v>27791</v>
      </c>
      <c r="D27" s="10">
        <v>36129</v>
      </c>
      <c r="E27" s="11">
        <v>115200</v>
      </c>
      <c r="F27" s="11">
        <v>109700</v>
      </c>
      <c r="G27" s="11">
        <v>104500</v>
      </c>
      <c r="H27" s="10"/>
      <c r="I27" s="11"/>
      <c r="J27" s="8" t="s">
        <v>17</v>
      </c>
      <c r="K27" s="8" t="s">
        <v>17</v>
      </c>
      <c r="P27" s="12"/>
      <c r="Q27" s="12"/>
      <c r="R27" s="12"/>
    </row>
    <row r="28" spans="1:18" x14ac:dyDescent="0.2">
      <c r="A28" s="8">
        <v>345767</v>
      </c>
      <c r="B28" s="9" t="s">
        <v>40</v>
      </c>
      <c r="C28" s="10">
        <v>24217</v>
      </c>
      <c r="D28" s="10">
        <v>35067</v>
      </c>
      <c r="E28" s="11">
        <v>114000</v>
      </c>
      <c r="F28" s="11">
        <v>108600</v>
      </c>
      <c r="G28" s="11">
        <v>103400</v>
      </c>
      <c r="H28" s="10"/>
      <c r="I28" s="11"/>
      <c r="J28" s="8" t="s">
        <v>17</v>
      </c>
      <c r="K28" s="8" t="s">
        <v>17</v>
      </c>
      <c r="P28" s="12"/>
      <c r="Q28" s="12"/>
      <c r="R28" s="12"/>
    </row>
    <row r="29" spans="1:18" x14ac:dyDescent="0.2">
      <c r="A29" s="8">
        <v>352244</v>
      </c>
      <c r="B29" s="9" t="s">
        <v>41</v>
      </c>
      <c r="C29" s="10">
        <v>21370</v>
      </c>
      <c r="D29" s="10">
        <v>41429</v>
      </c>
      <c r="E29" s="11">
        <v>384000</v>
      </c>
      <c r="F29" s="11">
        <v>38400</v>
      </c>
      <c r="G29" s="11"/>
      <c r="H29" s="10"/>
      <c r="I29" s="11"/>
      <c r="J29" s="8" t="s">
        <v>17</v>
      </c>
      <c r="K29" s="8"/>
      <c r="P29" s="12"/>
      <c r="Q29" s="12"/>
      <c r="R29" s="12"/>
    </row>
    <row r="30" spans="1:18" x14ac:dyDescent="0.2">
      <c r="A30" s="8">
        <v>357982</v>
      </c>
      <c r="B30" s="9" t="s">
        <v>42</v>
      </c>
      <c r="C30" s="10">
        <v>17820</v>
      </c>
      <c r="D30" s="10">
        <v>35562</v>
      </c>
      <c r="E30" s="11">
        <v>111600</v>
      </c>
      <c r="F30" s="11">
        <v>106300</v>
      </c>
      <c r="G30" s="11">
        <v>101200</v>
      </c>
      <c r="H30" s="10"/>
      <c r="I30" s="11"/>
      <c r="J30" s="8" t="s">
        <v>17</v>
      </c>
      <c r="K30" s="8" t="s">
        <v>17</v>
      </c>
      <c r="P30" s="12"/>
      <c r="Q30" s="12"/>
      <c r="R30" s="12"/>
    </row>
    <row r="31" spans="1:18" x14ac:dyDescent="0.2">
      <c r="A31" s="8">
        <v>369257</v>
      </c>
      <c r="B31" s="9" t="s">
        <v>43</v>
      </c>
      <c r="C31" s="10">
        <v>3651</v>
      </c>
      <c r="D31" s="10">
        <v>41274</v>
      </c>
      <c r="E31" s="11">
        <v>110400</v>
      </c>
      <c r="F31" s="11">
        <v>48000</v>
      </c>
      <c r="G31" s="11"/>
      <c r="H31" s="10"/>
      <c r="I31" s="11"/>
      <c r="J31" s="8" t="s">
        <v>17</v>
      </c>
      <c r="K31" s="8" t="s">
        <v>17</v>
      </c>
      <c r="P31" s="12"/>
      <c r="Q31" s="12"/>
      <c r="R31" s="12"/>
    </row>
    <row r="32" spans="1:18" x14ac:dyDescent="0.2">
      <c r="A32" s="8">
        <v>375122</v>
      </c>
      <c r="B32" s="9" t="s">
        <v>44</v>
      </c>
      <c r="C32" s="10">
        <v>17859</v>
      </c>
      <c r="D32" s="10">
        <v>39834</v>
      </c>
      <c r="E32" s="11">
        <v>109200</v>
      </c>
      <c r="F32" s="11">
        <v>104000</v>
      </c>
      <c r="G32" s="11">
        <v>99000</v>
      </c>
      <c r="H32" s="10"/>
      <c r="I32" s="11"/>
      <c r="J32" s="8" t="s">
        <v>17</v>
      </c>
      <c r="K32" s="8" t="s">
        <v>17</v>
      </c>
      <c r="P32" s="12"/>
      <c r="Q32" s="12"/>
      <c r="R32" s="12"/>
    </row>
    <row r="33" spans="1:18" x14ac:dyDescent="0.2">
      <c r="A33" s="8">
        <v>406300</v>
      </c>
      <c r="B33" s="9" t="s">
        <v>45</v>
      </c>
      <c r="C33" s="10">
        <v>1</v>
      </c>
      <c r="D33" s="10">
        <v>40273</v>
      </c>
      <c r="E33" s="11">
        <v>108000</v>
      </c>
      <c r="F33" s="11">
        <v>102900</v>
      </c>
      <c r="G33" s="11">
        <v>98000</v>
      </c>
      <c r="H33" s="10"/>
      <c r="I33" s="11"/>
      <c r="J33" s="8" t="s">
        <v>17</v>
      </c>
      <c r="K33" s="8" t="s">
        <v>17</v>
      </c>
      <c r="P33" s="12"/>
      <c r="Q33" s="12"/>
      <c r="R33" s="12"/>
    </row>
    <row r="34" spans="1:18" x14ac:dyDescent="0.2">
      <c r="A34" s="8">
        <v>422365</v>
      </c>
      <c r="B34" s="9" t="s">
        <v>46</v>
      </c>
      <c r="C34" s="10">
        <v>21074</v>
      </c>
      <c r="D34" s="10">
        <v>40539</v>
      </c>
      <c r="E34" s="11">
        <v>106800</v>
      </c>
      <c r="F34" s="11">
        <v>101700</v>
      </c>
      <c r="G34" s="11">
        <v>96900</v>
      </c>
      <c r="H34" s="10"/>
      <c r="I34" s="11"/>
      <c r="J34" s="8" t="s">
        <v>17</v>
      </c>
      <c r="K34" s="8" t="s">
        <v>17</v>
      </c>
      <c r="P34" s="12"/>
      <c r="Q34" s="12"/>
      <c r="R34" s="12"/>
    </row>
    <row r="35" spans="1:18" x14ac:dyDescent="0.2">
      <c r="A35" s="8">
        <v>423109</v>
      </c>
      <c r="B35" s="9" t="s">
        <v>47</v>
      </c>
      <c r="C35" s="10">
        <v>16218</v>
      </c>
      <c r="D35" s="10">
        <v>40974</v>
      </c>
      <c r="E35" s="11">
        <v>105600</v>
      </c>
      <c r="F35" s="11">
        <v>100600</v>
      </c>
      <c r="G35" s="11">
        <v>48000</v>
      </c>
      <c r="H35" s="10"/>
      <c r="I35" s="11"/>
      <c r="J35" s="8" t="s">
        <v>17</v>
      </c>
      <c r="K35" s="8" t="s">
        <v>17</v>
      </c>
      <c r="P35" s="12"/>
      <c r="Q35" s="12"/>
      <c r="R35" s="12"/>
    </row>
    <row r="36" spans="1:18" x14ac:dyDescent="0.2">
      <c r="A36" s="8">
        <v>426223</v>
      </c>
      <c r="B36" s="9" t="s">
        <v>48</v>
      </c>
      <c r="C36" s="10">
        <v>26191</v>
      </c>
      <c r="D36" s="10">
        <v>27116</v>
      </c>
      <c r="E36" s="11">
        <v>104400</v>
      </c>
      <c r="F36" s="11">
        <v>99400</v>
      </c>
      <c r="G36" s="11">
        <v>94700</v>
      </c>
      <c r="H36" s="10"/>
      <c r="I36" s="11"/>
      <c r="J36" s="8" t="s">
        <v>17</v>
      </c>
      <c r="K36" s="8" t="s">
        <v>17</v>
      </c>
      <c r="P36" s="12"/>
      <c r="Q36" s="12"/>
      <c r="R36" s="12"/>
    </row>
    <row r="37" spans="1:18" x14ac:dyDescent="0.2">
      <c r="A37" s="8">
        <v>430276</v>
      </c>
      <c r="B37" s="9" t="s">
        <v>49</v>
      </c>
      <c r="C37" s="10">
        <v>29324</v>
      </c>
      <c r="D37" s="10">
        <v>31271</v>
      </c>
      <c r="E37" s="11">
        <v>103200</v>
      </c>
      <c r="F37" s="11">
        <v>98300</v>
      </c>
      <c r="G37" s="11">
        <v>93600</v>
      </c>
      <c r="H37" s="10"/>
      <c r="I37" s="11"/>
      <c r="J37" s="8" t="s">
        <v>17</v>
      </c>
      <c r="K37" s="8" t="s">
        <v>17</v>
      </c>
      <c r="P37" s="12"/>
      <c r="Q37" s="12"/>
      <c r="R37" s="12"/>
    </row>
    <row r="38" spans="1:18" x14ac:dyDescent="0.2">
      <c r="A38" s="8">
        <v>430534</v>
      </c>
      <c r="B38" s="9" t="s">
        <v>50</v>
      </c>
      <c r="C38" s="10">
        <v>16018</v>
      </c>
      <c r="D38" s="10">
        <v>1</v>
      </c>
      <c r="E38" s="11">
        <v>102000</v>
      </c>
      <c r="F38" s="11">
        <v>2400</v>
      </c>
      <c r="G38" s="11"/>
      <c r="H38" s="10"/>
      <c r="I38" s="11"/>
      <c r="J38" s="8" t="s">
        <v>17</v>
      </c>
      <c r="K38" s="8" t="s">
        <v>17</v>
      </c>
      <c r="P38" s="12"/>
      <c r="Q38" s="12"/>
      <c r="R38" s="12"/>
    </row>
    <row r="39" spans="1:18" x14ac:dyDescent="0.2">
      <c r="A39" s="8">
        <v>443913</v>
      </c>
      <c r="B39" s="9" t="s">
        <v>51</v>
      </c>
      <c r="C39" s="10">
        <v>16639</v>
      </c>
      <c r="D39" s="10">
        <v>32076</v>
      </c>
      <c r="E39" s="11">
        <v>100800</v>
      </c>
      <c r="F39" s="11">
        <v>96000</v>
      </c>
      <c r="G39" s="11">
        <v>91400</v>
      </c>
      <c r="H39" s="10"/>
      <c r="I39" s="11"/>
      <c r="J39" s="8" t="s">
        <v>17</v>
      </c>
      <c r="K39" s="8" t="s">
        <v>17</v>
      </c>
      <c r="P39" s="12"/>
      <c r="Q39" s="12"/>
      <c r="R39" s="12"/>
    </row>
    <row r="40" spans="1:18" x14ac:dyDescent="0.2">
      <c r="A40" s="8">
        <v>446641</v>
      </c>
      <c r="B40" s="9" t="s">
        <v>16</v>
      </c>
      <c r="C40" s="10">
        <v>23652</v>
      </c>
      <c r="D40" s="10">
        <v>35209</v>
      </c>
      <c r="E40" s="11">
        <v>360000</v>
      </c>
      <c r="F40" s="11">
        <v>331200</v>
      </c>
      <c r="G40" s="11">
        <v>302400</v>
      </c>
      <c r="H40" s="10"/>
      <c r="I40" s="11"/>
      <c r="J40" s="8" t="s">
        <v>17</v>
      </c>
      <c r="K40" s="8" t="s">
        <v>17</v>
      </c>
      <c r="P40" s="12"/>
      <c r="Q40" s="12"/>
      <c r="R40" s="12"/>
    </row>
    <row r="41" spans="1:18" x14ac:dyDescent="0.2">
      <c r="A41" s="8">
        <v>462488</v>
      </c>
      <c r="B41" s="9" t="s">
        <v>52</v>
      </c>
      <c r="C41" s="10">
        <v>22481</v>
      </c>
      <c r="D41" s="10">
        <v>38401</v>
      </c>
      <c r="E41" s="11">
        <v>142600</v>
      </c>
      <c r="F41" s="11">
        <v>135700</v>
      </c>
      <c r="G41" s="11">
        <v>129400</v>
      </c>
      <c r="H41" s="10"/>
      <c r="I41" s="11"/>
      <c r="J41" s="8" t="s">
        <v>17</v>
      </c>
      <c r="K41" s="8" t="s">
        <v>17</v>
      </c>
      <c r="P41" s="12"/>
      <c r="Q41" s="12"/>
      <c r="R41" s="12"/>
    </row>
    <row r="42" spans="1:18" x14ac:dyDescent="0.2">
      <c r="A42" s="8">
        <v>472297</v>
      </c>
      <c r="B42" s="9" t="s">
        <v>25</v>
      </c>
      <c r="C42" s="10">
        <v>33987</v>
      </c>
      <c r="D42" s="10">
        <v>38375</v>
      </c>
      <c r="E42" s="11">
        <v>141100</v>
      </c>
      <c r="F42" s="11">
        <v>134400</v>
      </c>
      <c r="G42" s="11">
        <v>128000</v>
      </c>
      <c r="H42" s="10"/>
      <c r="I42" s="11"/>
      <c r="J42" s="8" t="s">
        <v>17</v>
      </c>
      <c r="K42" s="8" t="s">
        <v>17</v>
      </c>
      <c r="P42" s="12"/>
      <c r="Q42" s="12"/>
      <c r="R42" s="12"/>
    </row>
    <row r="43" spans="1:18" x14ac:dyDescent="0.2">
      <c r="A43" s="8">
        <v>489909</v>
      </c>
      <c r="B43" s="9" t="s">
        <v>53</v>
      </c>
      <c r="C43" s="10">
        <v>24490</v>
      </c>
      <c r="D43" s="10">
        <v>1</v>
      </c>
      <c r="E43" s="11">
        <v>139700</v>
      </c>
      <c r="F43" s="11">
        <v>133100</v>
      </c>
      <c r="G43" s="11">
        <v>126700</v>
      </c>
      <c r="H43" s="10"/>
      <c r="I43" s="11"/>
      <c r="J43" s="8" t="s">
        <v>17</v>
      </c>
      <c r="K43" s="8" t="s">
        <v>17</v>
      </c>
      <c r="P43" s="12"/>
      <c r="Q43" s="12"/>
      <c r="R43" s="12"/>
    </row>
    <row r="44" spans="1:18" x14ac:dyDescent="0.2">
      <c r="A44" s="8">
        <v>489933</v>
      </c>
      <c r="B44" s="9" t="s">
        <v>54</v>
      </c>
      <c r="C44" s="10">
        <v>22158</v>
      </c>
      <c r="D44" s="10">
        <v>36329</v>
      </c>
      <c r="E44" s="11">
        <v>138200</v>
      </c>
      <c r="F44" s="11">
        <v>131600</v>
      </c>
      <c r="G44" s="11">
        <v>125400</v>
      </c>
      <c r="H44" s="10"/>
      <c r="I44" s="11"/>
      <c r="J44" s="8" t="s">
        <v>17</v>
      </c>
      <c r="K44" s="8" t="s">
        <v>17</v>
      </c>
      <c r="P44" s="12"/>
      <c r="Q44" s="12"/>
      <c r="R44" s="12"/>
    </row>
    <row r="45" spans="1:18" x14ac:dyDescent="0.2">
      <c r="A45" s="8">
        <v>537613</v>
      </c>
      <c r="B45" s="9" t="s">
        <v>20</v>
      </c>
      <c r="C45" s="10">
        <v>30229</v>
      </c>
      <c r="D45" s="10">
        <v>35267</v>
      </c>
      <c r="E45" s="11">
        <v>136800</v>
      </c>
      <c r="F45" s="11">
        <v>130300</v>
      </c>
      <c r="G45" s="11">
        <v>124100</v>
      </c>
      <c r="H45" s="10"/>
      <c r="I45" s="11"/>
      <c r="J45" s="8" t="s">
        <v>17</v>
      </c>
      <c r="K45" s="8" t="s">
        <v>17</v>
      </c>
      <c r="P45" s="12"/>
      <c r="Q45" s="12"/>
      <c r="R45" s="12"/>
    </row>
    <row r="46" spans="1:18" x14ac:dyDescent="0.2">
      <c r="A46" s="8">
        <v>538228</v>
      </c>
      <c r="B46" s="9" t="s">
        <v>55</v>
      </c>
      <c r="C46" s="10">
        <v>15818</v>
      </c>
      <c r="D46" s="10">
        <v>41629</v>
      </c>
      <c r="E46" s="11">
        <v>460800</v>
      </c>
      <c r="F46" s="11">
        <v>46100</v>
      </c>
      <c r="G46" s="11"/>
      <c r="H46" s="10"/>
      <c r="I46" s="11"/>
      <c r="J46" s="8" t="s">
        <v>17</v>
      </c>
      <c r="K46" s="8"/>
      <c r="P46" s="12"/>
      <c r="Q46" s="12"/>
      <c r="R46" s="12"/>
    </row>
    <row r="47" spans="1:18" x14ac:dyDescent="0.2">
      <c r="A47" s="8">
        <v>545776</v>
      </c>
      <c r="B47" s="9" t="s">
        <v>56</v>
      </c>
      <c r="C47" s="10">
        <v>24090</v>
      </c>
      <c r="D47" s="10">
        <v>35762</v>
      </c>
      <c r="E47" s="11">
        <v>133900</v>
      </c>
      <c r="F47" s="11">
        <v>127600</v>
      </c>
      <c r="G47" s="11">
        <v>121400</v>
      </c>
      <c r="H47" s="10"/>
      <c r="I47" s="11"/>
      <c r="J47" s="8" t="s">
        <v>17</v>
      </c>
      <c r="K47" s="8" t="s">
        <v>17</v>
      </c>
      <c r="P47" s="12"/>
      <c r="Q47" s="12"/>
      <c r="R47" s="12"/>
    </row>
    <row r="48" spans="1:18" x14ac:dyDescent="0.2">
      <c r="A48" s="8">
        <v>565414</v>
      </c>
      <c r="B48" s="9" t="s">
        <v>57</v>
      </c>
      <c r="C48" s="10">
        <v>21758</v>
      </c>
      <c r="D48" s="10">
        <v>41474</v>
      </c>
      <c r="E48" s="11">
        <v>132500</v>
      </c>
      <c r="F48" s="11">
        <v>57600</v>
      </c>
      <c r="G48" s="11"/>
      <c r="H48" s="10"/>
      <c r="I48" s="11"/>
      <c r="J48" s="8" t="s">
        <v>17</v>
      </c>
      <c r="K48" s="8"/>
      <c r="P48" s="12"/>
      <c r="Q48" s="12"/>
      <c r="R48" s="12"/>
    </row>
    <row r="49" spans="1:18" x14ac:dyDescent="0.2">
      <c r="A49" s="8">
        <v>570202</v>
      </c>
      <c r="B49" s="9" t="s">
        <v>58</v>
      </c>
      <c r="C49" s="10">
        <v>16239</v>
      </c>
      <c r="D49" s="10">
        <v>40073</v>
      </c>
      <c r="E49" s="11">
        <v>90000</v>
      </c>
      <c r="F49" s="11">
        <v>85700</v>
      </c>
      <c r="G49" s="11">
        <v>81600</v>
      </c>
      <c r="H49" s="10"/>
      <c r="I49" s="11"/>
      <c r="J49" s="8" t="s">
        <v>17</v>
      </c>
      <c r="K49" s="8" t="s">
        <v>17</v>
      </c>
      <c r="P49" s="12"/>
      <c r="Q49" s="12"/>
      <c r="R49" s="12"/>
    </row>
    <row r="50" spans="1:18" x14ac:dyDescent="0.2">
      <c r="A50" s="8">
        <v>578408</v>
      </c>
      <c r="B50" s="9" t="s">
        <v>59</v>
      </c>
      <c r="C50" s="10">
        <v>17459</v>
      </c>
      <c r="D50" s="10">
        <v>40339</v>
      </c>
      <c r="E50" s="11">
        <v>89000</v>
      </c>
      <c r="F50" s="11">
        <v>84800</v>
      </c>
      <c r="G50" s="11">
        <v>80700</v>
      </c>
      <c r="H50" s="10"/>
      <c r="I50" s="11"/>
      <c r="J50" s="8" t="s">
        <v>17</v>
      </c>
      <c r="K50" s="8" t="s">
        <v>17</v>
      </c>
      <c r="P50" s="12"/>
      <c r="Q50" s="12"/>
      <c r="R50" s="12"/>
    </row>
    <row r="51" spans="1:18" x14ac:dyDescent="0.2">
      <c r="A51" s="8">
        <v>579268</v>
      </c>
      <c r="B51" s="9" t="s">
        <v>60</v>
      </c>
      <c r="C51" s="10">
        <v>22081</v>
      </c>
      <c r="D51" s="10">
        <v>40774</v>
      </c>
      <c r="E51" s="11">
        <v>88000</v>
      </c>
      <c r="F51" s="11">
        <v>83800</v>
      </c>
      <c r="G51" s="11">
        <v>40000</v>
      </c>
      <c r="H51" s="10"/>
      <c r="I51" s="11"/>
      <c r="J51" s="8" t="s">
        <v>17</v>
      </c>
      <c r="K51" s="8" t="s">
        <v>17</v>
      </c>
      <c r="P51" s="12"/>
      <c r="Q51" s="12"/>
      <c r="R51" s="12"/>
    </row>
    <row r="52" spans="1:18" x14ac:dyDescent="0.2">
      <c r="A52" s="8">
        <v>123486</v>
      </c>
      <c r="B52" s="9" t="s">
        <v>61</v>
      </c>
      <c r="C52" s="10">
        <v>19725</v>
      </c>
      <c r="D52" s="10"/>
      <c r="E52" s="11"/>
      <c r="F52" s="11"/>
      <c r="G52" s="11"/>
      <c r="H52" s="10">
        <v>43466</v>
      </c>
      <c r="I52" s="11">
        <v>8990</v>
      </c>
      <c r="J52" s="8" t="s">
        <v>62</v>
      </c>
      <c r="K52" s="8" t="s">
        <v>62</v>
      </c>
    </row>
    <row r="53" spans="1:18" x14ac:dyDescent="0.2">
      <c r="A53" s="8">
        <v>123485</v>
      </c>
      <c r="B53" s="9" t="s">
        <v>63</v>
      </c>
      <c r="C53" s="10">
        <v>16254</v>
      </c>
      <c r="D53" s="10"/>
      <c r="E53" s="11"/>
      <c r="F53" s="11"/>
      <c r="G53" s="11"/>
      <c r="H53" s="10">
        <v>39995</v>
      </c>
      <c r="I53" s="11">
        <v>18047</v>
      </c>
      <c r="J53" s="8" t="s">
        <v>64</v>
      </c>
      <c r="K53" s="8" t="s">
        <v>64</v>
      </c>
    </row>
    <row r="54" spans="1:18" x14ac:dyDescent="0.2">
      <c r="A54" s="8">
        <v>123484</v>
      </c>
      <c r="B54" s="9" t="s">
        <v>65</v>
      </c>
      <c r="C54" s="10">
        <v>18203</v>
      </c>
      <c r="D54" s="10"/>
      <c r="E54" s="11"/>
      <c r="F54" s="11"/>
      <c r="G54" s="11"/>
      <c r="H54" s="10">
        <v>41944</v>
      </c>
      <c r="I54" s="11">
        <v>9625</v>
      </c>
      <c r="J54" s="8" t="s">
        <v>64</v>
      </c>
      <c r="K54" s="8" t="s">
        <v>17</v>
      </c>
    </row>
    <row r="55" spans="1:18" x14ac:dyDescent="0.2">
      <c r="A55" s="8">
        <v>123472</v>
      </c>
      <c r="B55" s="9" t="s">
        <v>66</v>
      </c>
      <c r="C55" s="10">
        <v>19725</v>
      </c>
      <c r="D55" s="10"/>
      <c r="E55" s="11"/>
      <c r="F55" s="11"/>
      <c r="G55" s="11"/>
      <c r="H55" s="10">
        <v>43466</v>
      </c>
      <c r="I55" s="11">
        <v>5840</v>
      </c>
      <c r="J55" s="8" t="s">
        <v>62</v>
      </c>
      <c r="K55" s="8" t="s">
        <v>17</v>
      </c>
    </row>
    <row r="56" spans="1:18" x14ac:dyDescent="0.2">
      <c r="A56" s="8">
        <v>123466</v>
      </c>
      <c r="B56" s="9" t="s">
        <v>67</v>
      </c>
      <c r="C56" s="10">
        <v>22098</v>
      </c>
      <c r="D56" s="10"/>
      <c r="E56" s="11"/>
      <c r="F56" s="11"/>
      <c r="G56" s="11"/>
      <c r="H56" s="10">
        <v>45839</v>
      </c>
      <c r="I56" s="11">
        <v>15804</v>
      </c>
      <c r="J56" s="8" t="s">
        <v>62</v>
      </c>
      <c r="K56" s="8" t="s">
        <v>62</v>
      </c>
    </row>
    <row r="57" spans="1:18" x14ac:dyDescent="0.2">
      <c r="A57" s="8">
        <v>123465</v>
      </c>
      <c r="B57" s="9" t="s">
        <v>68</v>
      </c>
      <c r="C57" s="10">
        <v>16803</v>
      </c>
      <c r="D57" s="10"/>
      <c r="E57" s="11"/>
      <c r="F57" s="11"/>
      <c r="G57" s="11"/>
      <c r="H57" s="10">
        <v>40544</v>
      </c>
      <c r="I57" s="11">
        <v>10349</v>
      </c>
      <c r="J57" s="8" t="s">
        <v>64</v>
      </c>
      <c r="K57" s="8" t="s">
        <v>64</v>
      </c>
    </row>
    <row r="58" spans="1:18" x14ac:dyDescent="0.2">
      <c r="A58" s="8">
        <v>123451</v>
      </c>
      <c r="B58" s="9" t="s">
        <v>69</v>
      </c>
      <c r="C58" s="10">
        <v>13789</v>
      </c>
      <c r="D58" s="10"/>
      <c r="E58" s="11"/>
      <c r="F58" s="11"/>
      <c r="G58" s="11"/>
      <c r="H58" s="10">
        <v>37530</v>
      </c>
      <c r="I58" s="11">
        <v>7800</v>
      </c>
      <c r="J58" s="8" t="s">
        <v>64</v>
      </c>
      <c r="K58" s="8" t="s">
        <v>64</v>
      </c>
    </row>
  </sheetData>
  <pageMargins left="0.7" right="0.7" top="0.75" bottom="0.75" header="0.3" footer="0.3"/>
  <pageSetup scale="68" orientation="landscape" horizontalDpi="300" verticalDpi="300" r:id="rId1"/>
  <headerFooter>
    <oddFooter>&amp;L&amp;F
&amp;A&amp;C&amp;P of &amp;N&amp;R&amp;D
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D016-9C48-4694-A520-426224794AB7}">
  <sheetPr>
    <pageSetUpPr fitToPage="1"/>
  </sheetPr>
  <dimension ref="A1:J3"/>
  <sheetViews>
    <sheetView workbookViewId="0"/>
  </sheetViews>
  <sheetFormatPr defaultRowHeight="15" x14ac:dyDescent="0.25"/>
  <cols>
    <col min="1" max="1" width="19.28515625" style="16" customWidth="1"/>
    <col min="2" max="6" width="12.85546875" style="16" customWidth="1"/>
    <col min="7" max="8" width="11.42578125" style="16" customWidth="1"/>
    <col min="9" max="16384" width="9.140625" style="16"/>
  </cols>
  <sheetData>
    <row r="1" spans="1:10" ht="39" x14ac:dyDescent="0.25">
      <c r="A1" s="3" t="s">
        <v>1</v>
      </c>
      <c r="B1" s="5" t="s">
        <v>3</v>
      </c>
      <c r="C1" s="4" t="s">
        <v>4</v>
      </c>
      <c r="D1" s="4" t="s">
        <v>72</v>
      </c>
      <c r="E1" s="4" t="s">
        <v>5</v>
      </c>
      <c r="F1" s="4" t="s">
        <v>6</v>
      </c>
      <c r="G1" s="6" t="s">
        <v>8</v>
      </c>
      <c r="H1" s="6" t="s">
        <v>9</v>
      </c>
      <c r="I1" s="6" t="s">
        <v>73</v>
      </c>
      <c r="J1" s="6" t="s">
        <v>74</v>
      </c>
    </row>
    <row r="2" spans="1:10" x14ac:dyDescent="0.25">
      <c r="A2" s="21" t="s">
        <v>81</v>
      </c>
      <c r="B2" s="22">
        <v>3</v>
      </c>
      <c r="C2" s="22">
        <v>4</v>
      </c>
      <c r="D2" s="22"/>
      <c r="E2" s="22">
        <v>5</v>
      </c>
      <c r="F2" s="22">
        <v>6</v>
      </c>
      <c r="G2" s="22">
        <v>8</v>
      </c>
      <c r="H2" s="22">
        <v>9</v>
      </c>
      <c r="I2" s="22"/>
      <c r="J2" s="22">
        <v>10</v>
      </c>
    </row>
    <row r="3" spans="1:10" x14ac:dyDescent="0.25">
      <c r="A3" s="21" t="s">
        <v>82</v>
      </c>
      <c r="B3" s="22">
        <v>2</v>
      </c>
      <c r="C3" s="22">
        <v>3</v>
      </c>
      <c r="D3" s="22">
        <v>4</v>
      </c>
      <c r="E3" s="22"/>
      <c r="F3" s="22"/>
      <c r="G3" s="22">
        <v>5</v>
      </c>
      <c r="H3" s="22">
        <v>6</v>
      </c>
      <c r="I3" s="22">
        <v>7</v>
      </c>
      <c r="J3" s="22"/>
    </row>
  </sheetData>
  <pageMargins left="0.7" right="0.7" top="0.75" bottom="0.75" header="0.3" footer="0.3"/>
  <pageSetup orientation="landscape" horizontalDpi="300" verticalDpi="300" r:id="rId1"/>
  <headerFooter>
    <oddFooter>&amp;L&amp;F
&amp;A&amp;C&amp;P of &amp;N&amp;R&amp;D
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CADE-F0CE-4A28-9C32-D1688DA72B95}">
  <sheetPr>
    <pageSetUpPr fitToPage="1"/>
  </sheetPr>
  <dimension ref="A1:U58"/>
  <sheetViews>
    <sheetView workbookViewId="0">
      <pane ySplit="1" topLeftCell="A6" activePane="bottomLeft" state="frozen"/>
      <selection pane="bottomLeft" activeCell="A2" sqref="A2"/>
    </sheetView>
  </sheetViews>
  <sheetFormatPr defaultRowHeight="12.75" x14ac:dyDescent="0.2"/>
  <cols>
    <col min="2" max="2" width="21.42578125" customWidth="1"/>
    <col min="3" max="9" width="11.42578125" customWidth="1"/>
    <col min="12" max="12" width="2.140625" customWidth="1"/>
    <col min="17" max="17" width="2.140625" customWidth="1"/>
    <col min="18" max="18" width="10.140625" customWidth="1"/>
    <col min="19" max="21" width="10" customWidth="1"/>
  </cols>
  <sheetData>
    <row r="1" spans="1:21" ht="38.25" customHeight="1" x14ac:dyDescent="0.2">
      <c r="A1" s="3" t="s">
        <v>1</v>
      </c>
      <c r="B1" s="27" t="s">
        <v>2</v>
      </c>
      <c r="C1" s="5" t="s">
        <v>3</v>
      </c>
      <c r="D1" s="4" t="s">
        <v>4</v>
      </c>
      <c r="E1" s="4" t="s">
        <v>72</v>
      </c>
      <c r="F1" s="4" t="s">
        <v>5</v>
      </c>
      <c r="G1" s="4" t="s">
        <v>6</v>
      </c>
      <c r="H1" s="6" t="s">
        <v>8</v>
      </c>
      <c r="I1" s="6" t="s">
        <v>9</v>
      </c>
      <c r="J1" s="6" t="s">
        <v>73</v>
      </c>
      <c r="K1" s="6" t="s">
        <v>74</v>
      </c>
      <c r="M1" s="18" t="s">
        <v>75</v>
      </c>
      <c r="N1" s="18" t="s">
        <v>80</v>
      </c>
      <c r="O1" s="18" t="s">
        <v>76</v>
      </c>
      <c r="P1" s="18" t="s">
        <v>77</v>
      </c>
      <c r="Q1" s="19"/>
      <c r="R1" s="18" t="s">
        <v>78</v>
      </c>
      <c r="S1" s="18" t="s">
        <v>79</v>
      </c>
      <c r="T1" s="18" t="s">
        <v>84</v>
      </c>
      <c r="U1" s="18" t="s">
        <v>85</v>
      </c>
    </row>
    <row r="2" spans="1:21" x14ac:dyDescent="0.2">
      <c r="A2" s="8">
        <v>123491</v>
      </c>
      <c r="B2" s="28" t="str">
        <f>IF(ISNA(MATCH(A2,'Employee Database'!$A$6:$A$58,0)),"Not Available",INDEX('Employee Database'!$B$6:$B$58,MATCH(A2,'Employee Database'!$A$6:$A$58,0)))</f>
        <v>Shapiro, Amanda</v>
      </c>
      <c r="C2" s="24">
        <f>IF(NOT(ISNA($N2)),VLOOKUP($A2,'Employee Database'!$A:$K,Spec!B$2,FALSE), IF(NOT(ISNA($M2)), VLOOKUP($A2,'Client Data'!$A:$G,Spec!B$3,FALSE),""))</f>
        <v>24017</v>
      </c>
      <c r="D2" s="24">
        <f>IF(NOT(ISNA($N2)),VLOOKUP($A2,'Employee Database'!$A:$K,Spec!C$2,FALSE), IF(NOT(ISNA($M2)), VLOOKUP($A2,'Client Data'!$A:$G,Spec!C$3,FALSE),""))</f>
        <v>34809</v>
      </c>
      <c r="E2" s="26">
        <f>IF(NOT(ISNA($M2)), VLOOKUP($A2,'Client Data'!$A:$G,Spec!D$3,FALSE), "")</f>
        <v>250000</v>
      </c>
      <c r="F2" s="26">
        <f>IF(NOT(ISNA($N2)), VLOOKUP($A2,'Employee Database'!$A:$K,Spec!E$2,FALSE), "")</f>
        <v>250000</v>
      </c>
      <c r="G2" s="26">
        <f>IF(NOT(ISNA($N2)), VLOOKUP($A2,'Employee Database'!$A:$K,Spec!F$2,FALSE), "")</f>
        <v>230000</v>
      </c>
      <c r="H2" s="24" t="str">
        <f>IF(ISNA($M2), "", IF(VLOOKUP($A2,'Client Data'!$A:$G,Spec!G$3,FALSE)="", "", VLOOKUP($A2, 'Client Data'!$A:$G,Spec!G$3,FALSE)))</f>
        <v/>
      </c>
      <c r="I2" s="24" t="str">
        <f>IF(ISNA($M2), "", IF(VLOOKUP($A2,'Client Data'!$A:$G,Spec!H$3,FALSE)="", "", VLOOKUP($A2, 'Client Data'!$A:$G,Spec!H$3,FALSE)))</f>
        <v/>
      </c>
      <c r="J2" s="20" t="str">
        <f>IF(NOT(ISNA($M2)), VLOOKUP($A2,'Client Data'!$A:$G,Spec!I$3,FALSE), "")</f>
        <v>A</v>
      </c>
      <c r="K2" s="20" t="str">
        <f>IF(NOT(ISNA($N2)), VLOOKUP($A2,'Employee Database'!$A:$K,Spec!J$2,FALSE), "")</f>
        <v>A</v>
      </c>
      <c r="M2" s="20">
        <f>MATCH(A2,'Client Data'!A:A,0)</f>
        <v>2</v>
      </c>
      <c r="N2" s="20">
        <f>MATCH(A2,'Employee Database'!A:A,0)</f>
        <v>6</v>
      </c>
      <c r="O2" t="str">
        <f>IF(AND(NOT(ISNA(M2)), ISNA(N2)),TRUE,"")</f>
        <v/>
      </c>
      <c r="P2" t="str">
        <f>IF(AND(ISNA(M2), NOT(ISNA(N2))),TRUE,"")</f>
        <v/>
      </c>
      <c r="R2" s="23" t="str">
        <f>IF(OR(ISNA($M2),ISNA($N2)),"",IF(C2=VLOOKUP($A2,'Client Data'!$A:$G,Spec!B$3,FALSE),"",VLOOKUP($A2,'Client Data'!$A:$G,Spec!B$3,FALSE)))</f>
        <v/>
      </c>
      <c r="S2" s="23" t="str">
        <f>IF(OR(ISNA($M2),ISNA($N2)),"",IF(D2=VLOOKUP($A2,'Client Data'!$A:$G,Spec!C$3,FALSE),"",VLOOKUP($A2,'Client Data'!$A:$G,Spec!C$3,FALSE)))</f>
        <v/>
      </c>
      <c r="T2" s="23" t="str">
        <f>IF(OR(ISNA($M2),ISNA($N2)),"",IF(H2=VLOOKUP($A2,'Employee Database'!$A:$K,Spec!G$2,FALSE),"",VLOOKUP($A2,'Employee Database'!$A:$K,Spec!G$2,FALSE)))</f>
        <v/>
      </c>
      <c r="U2" s="23" t="str">
        <f>IF(OR(ISNA($M2),ISNA($N2)),"",IF(I2=VLOOKUP($A2,'Employee Database'!$A:$K,Spec!H$2,FALSE),"",VLOOKUP($A2,'Employee Database'!$A:$K,Spec!H$2,FALSE)))</f>
        <v/>
      </c>
    </row>
    <row r="3" spans="1:21" x14ac:dyDescent="0.2">
      <c r="A3" s="8">
        <v>144983</v>
      </c>
      <c r="B3" s="28" t="str">
        <f>IF(ISNA(MATCH(A3,'Employee Database'!$A$6:$A$58,0)),"Not Available",INDEX('Employee Database'!$B$6:$B$58,MATCH(A3,'Employee Database'!$A$6:$A$58,0)))</f>
        <v>Donovan, Adrienne</v>
      </c>
      <c r="C3" s="24">
        <f>IF(NOT(ISNA($N3)),VLOOKUP($A3,'Employee Database'!$A:$K,Spec!B$2,FALSE), IF(NOT(ISNA($M3)), VLOOKUP($A3,'Client Data'!$A:$G,Spec!B$3,FALSE),""))</f>
        <v>27601</v>
      </c>
      <c r="D3" s="24">
        <f>IF(NOT(ISNA($N3)),VLOOKUP($A3,'Employee Database'!$A:$K,Spec!C$2,FALSE), IF(NOT(ISNA($M3)), VLOOKUP($A3,'Client Data'!$A:$G,Spec!C$3,FALSE),""))</f>
        <v>38001</v>
      </c>
      <c r="E3" s="26">
        <f>IF(NOT(ISNA($M3)), VLOOKUP($A3,'Client Data'!$A:$G,Spec!D$3,FALSE), "")</f>
        <v>99000</v>
      </c>
      <c r="F3" s="26">
        <f>IF(NOT(ISNA($N3)), VLOOKUP($A3,'Employee Database'!$A:$K,Spec!E$2,FALSE), "")</f>
        <v>99000</v>
      </c>
      <c r="G3" s="26">
        <f>IF(NOT(ISNA($N3)), VLOOKUP($A3,'Employee Database'!$A:$K,Spec!F$2,FALSE), "")</f>
        <v>94300</v>
      </c>
      <c r="H3" s="24" t="str">
        <f>IF(ISNA($M3), "", IF(VLOOKUP($A3,'Client Data'!$A:$G,Spec!G$3,FALSE)="", "", VLOOKUP($A3, 'Client Data'!$A:$G,Spec!G$3,FALSE)))</f>
        <v/>
      </c>
      <c r="I3" s="24" t="str">
        <f>IF(ISNA($M3), "", IF(VLOOKUP($A3,'Client Data'!$A:$G,Spec!H$3,FALSE)="", "", VLOOKUP($A3, 'Client Data'!$A:$G,Spec!H$3,FALSE)))</f>
        <v/>
      </c>
      <c r="J3" s="20" t="str">
        <f>IF(NOT(ISNA($M3)), VLOOKUP($A3,'Client Data'!$A:$G,Spec!I$3,FALSE), "")</f>
        <v>A</v>
      </c>
      <c r="K3" s="20" t="str">
        <f>IF(NOT(ISNA($N3)), VLOOKUP($A3,'Employee Database'!$A:$K,Spec!J$2,FALSE), "")</f>
        <v>A</v>
      </c>
      <c r="M3" s="20">
        <f>MATCH(A3,'Client Data'!A:A,0)</f>
        <v>3</v>
      </c>
      <c r="N3" s="20">
        <f>MATCH(A3,'Employee Database'!A:A,0)</f>
        <v>7</v>
      </c>
      <c r="O3" t="str">
        <f t="shared" ref="O3:O58" si="0">IF(AND(NOT(ISNA(M3)), ISNA(N3)),TRUE,"")</f>
        <v/>
      </c>
      <c r="P3" t="str">
        <f t="shared" ref="P3:P57" si="1">IF(AND(ISNA(M3), NOT(ISNA(N3))),TRUE,"")</f>
        <v/>
      </c>
      <c r="R3" s="23" t="str">
        <f>IF(OR(ISNA($M3),ISNA($N3)),"",IF(C3=VLOOKUP($A3,'Client Data'!$A:$G,Spec!B$3,FALSE),"",VLOOKUP($A3,'Client Data'!$A:$G,Spec!B$3,FALSE)))</f>
        <v/>
      </c>
      <c r="S3" s="23" t="str">
        <f>IF(OR(ISNA($M3),ISNA($N3)),"",IF(D3=VLOOKUP($A3,'Client Data'!$A:$G,Spec!C$3,FALSE),"",VLOOKUP($A3,'Client Data'!$A:$G,Spec!C$3,FALSE)))</f>
        <v/>
      </c>
      <c r="T3" s="23" t="str">
        <f>IF(OR(ISNA($M3),ISNA($N3)),"",IF(H3=VLOOKUP($A3,'Employee Database'!$A:$K,Spec!G$2,FALSE),"",VLOOKUP($A3,'Employee Database'!$A:$K,Spec!G$2,FALSE)))</f>
        <v/>
      </c>
      <c r="U3" s="23" t="str">
        <f>IF(OR(ISNA($M3),ISNA($N3)),"",IF(I3=VLOOKUP($A3,'Employee Database'!$A:$K,Spec!H$2,FALSE),"",VLOOKUP($A3,'Employee Database'!$A:$K,Spec!H$2,FALSE)))</f>
        <v/>
      </c>
    </row>
    <row r="4" spans="1:21" x14ac:dyDescent="0.2">
      <c r="A4" s="8">
        <v>187427</v>
      </c>
      <c r="B4" s="28" t="str">
        <f>IF(ISNA(MATCH(A4,'Employee Database'!$A$6:$A$58,0)),"Not Available",INDEX('Employee Database'!$B$6:$B$58,MATCH(A4,'Employee Database'!$A$6:$A$58,0)))</f>
        <v>Tiedens, Bret</v>
      </c>
      <c r="C4" s="24">
        <f>IF(NOT(ISNA($N4)),VLOOKUP($A4,'Employee Database'!$A:$K,Spec!B$2,FALSE), IF(NOT(ISNA($M4)), VLOOKUP($A4,'Client Data'!$A:$G,Spec!B$3,FALSE),""))</f>
        <v>21170</v>
      </c>
      <c r="D4" s="24">
        <f>IF(NOT(ISNA($N4)),VLOOKUP($A4,'Employee Database'!$A:$K,Spec!C$2,FALSE), IF(NOT(ISNA($M4)), VLOOKUP($A4,'Client Data'!$A:$G,Spec!C$3,FALSE),""))</f>
        <v>37975</v>
      </c>
      <c r="E4" s="26">
        <f>IF(NOT(ISNA($M4)), VLOOKUP($A4,'Client Data'!$A:$G,Spec!D$3,FALSE), "")</f>
        <v>98000</v>
      </c>
      <c r="F4" s="26">
        <f>IF(NOT(ISNA($N4)), VLOOKUP($A4,'Employee Database'!$A:$K,Spec!E$2,FALSE), "")</f>
        <v>98000</v>
      </c>
      <c r="G4" s="26">
        <f>IF(NOT(ISNA($N4)), VLOOKUP($A4,'Employee Database'!$A:$K,Spec!F$2,FALSE), "")</f>
        <v>93300</v>
      </c>
      <c r="H4" s="24" t="str">
        <f>IF(ISNA($M4), "", IF(VLOOKUP($A4,'Client Data'!$A:$G,Spec!G$3,FALSE)="", "", VLOOKUP($A4, 'Client Data'!$A:$G,Spec!G$3,FALSE)))</f>
        <v/>
      </c>
      <c r="I4" s="24" t="str">
        <f>IF(ISNA($M4), "", IF(VLOOKUP($A4,'Client Data'!$A:$G,Spec!H$3,FALSE)="", "", VLOOKUP($A4, 'Client Data'!$A:$G,Spec!H$3,FALSE)))</f>
        <v/>
      </c>
      <c r="J4" s="20" t="str">
        <f>IF(NOT(ISNA($M4)), VLOOKUP($A4,'Client Data'!$A:$G,Spec!I$3,FALSE), "")</f>
        <v>A</v>
      </c>
      <c r="K4" s="20" t="str">
        <f>IF(NOT(ISNA($N4)), VLOOKUP($A4,'Employee Database'!$A:$K,Spec!J$2,FALSE), "")</f>
        <v>A</v>
      </c>
      <c r="M4" s="20">
        <f>MATCH(A4,'Client Data'!A:A,0)</f>
        <v>4</v>
      </c>
      <c r="N4" s="20">
        <f>MATCH(A4,'Employee Database'!A:A,0)</f>
        <v>8</v>
      </c>
      <c r="O4" t="str">
        <f t="shared" si="0"/>
        <v/>
      </c>
      <c r="P4" t="str">
        <f t="shared" si="1"/>
        <v/>
      </c>
      <c r="R4" s="23" t="str">
        <f>IF(OR(ISNA($M4),ISNA($N4)),"",IF(C4=VLOOKUP($A4,'Client Data'!$A:$G,Spec!B$3,FALSE),"",VLOOKUP($A4,'Client Data'!$A:$G,Spec!B$3,FALSE)))</f>
        <v/>
      </c>
      <c r="S4" s="23" t="str">
        <f>IF(OR(ISNA($M4),ISNA($N4)),"",IF(D4=VLOOKUP($A4,'Client Data'!$A:$G,Spec!C$3,FALSE),"",VLOOKUP($A4,'Client Data'!$A:$G,Spec!C$3,FALSE)))</f>
        <v/>
      </c>
      <c r="T4" s="23" t="str">
        <f>IF(OR(ISNA($M4),ISNA($N4)),"",IF(H4=VLOOKUP($A4,'Employee Database'!$A:$K,Spec!G$2,FALSE),"",VLOOKUP($A4,'Employee Database'!$A:$K,Spec!G$2,FALSE)))</f>
        <v/>
      </c>
      <c r="U4" s="23" t="str">
        <f>IF(OR(ISNA($M4),ISNA($N4)),"",IF(I4=VLOOKUP($A4,'Employee Database'!$A:$K,Spec!H$2,FALSE),"",VLOOKUP($A4,'Employee Database'!$A:$K,Spec!H$2,FALSE)))</f>
        <v/>
      </c>
    </row>
    <row r="5" spans="1:21" x14ac:dyDescent="0.2">
      <c r="A5" s="8">
        <v>189508</v>
      </c>
      <c r="B5" s="28" t="str">
        <f>IF(ISNA(MATCH(A5,'Employee Database'!$A$6:$A$58,0)),"Not Available",INDEX('Employee Database'!$B$6:$B$58,MATCH(A5,'Employee Database'!$A$6:$A$58,0)))</f>
        <v>Souers, Celina</v>
      </c>
      <c r="C5" s="24">
        <f>IF(NOT(ISNA($N5)),VLOOKUP($A5,'Employee Database'!$A:$K,Spec!B$2,FALSE), IF(NOT(ISNA($M5)), VLOOKUP($A5,'Client Data'!$A:$G,Spec!B$3,FALSE),""))</f>
        <v>30229</v>
      </c>
      <c r="D5" s="24">
        <f>IF(NOT(ISNA($N5)),VLOOKUP($A5,'Employee Database'!$A:$K,Spec!C$2,FALSE), IF(NOT(ISNA($M5)), VLOOKUP($A5,'Client Data'!$A:$G,Spec!C$3,FALSE),""))</f>
        <v>35020</v>
      </c>
      <c r="E5" s="26">
        <f>IF(NOT(ISNA($M5)), VLOOKUP($A5,'Client Data'!$A:$G,Spec!D$3,FALSE), "")</f>
        <v>97000</v>
      </c>
      <c r="F5" s="26">
        <f>IF(NOT(ISNA($N5)), VLOOKUP($A5,'Employee Database'!$A:$K,Spec!E$2,FALSE), "")</f>
        <v>97000</v>
      </c>
      <c r="G5" s="26">
        <f>IF(NOT(ISNA($N5)), VLOOKUP($A5,'Employee Database'!$A:$K,Spec!F$2,FALSE), "")</f>
        <v>92400</v>
      </c>
      <c r="H5" s="24" t="str">
        <f>IF(ISNA($M5), "", IF(VLOOKUP($A5,'Client Data'!$A:$G,Spec!G$3,FALSE)="", "", VLOOKUP($A5, 'Client Data'!$A:$G,Spec!G$3,FALSE)))</f>
        <v/>
      </c>
      <c r="I5" s="24" t="str">
        <f>IF(ISNA($M5), "", IF(VLOOKUP($A5,'Client Data'!$A:$G,Spec!H$3,FALSE)="", "", VLOOKUP($A5, 'Client Data'!$A:$G,Spec!H$3,FALSE)))</f>
        <v/>
      </c>
      <c r="J5" s="20" t="str">
        <f>IF(NOT(ISNA($M5)), VLOOKUP($A5,'Client Data'!$A:$G,Spec!I$3,FALSE), "")</f>
        <v>A</v>
      </c>
      <c r="K5" s="20" t="str">
        <f>IF(NOT(ISNA($N5)), VLOOKUP($A5,'Employee Database'!$A:$K,Spec!J$2,FALSE), "")</f>
        <v>A</v>
      </c>
      <c r="M5" s="20">
        <f>MATCH(A5,'Client Data'!A:A,0)</f>
        <v>5</v>
      </c>
      <c r="N5" s="20">
        <f>MATCH(A5,'Employee Database'!A:A,0)</f>
        <v>9</v>
      </c>
      <c r="O5" t="str">
        <f t="shared" si="0"/>
        <v/>
      </c>
      <c r="P5" t="str">
        <f t="shared" si="1"/>
        <v/>
      </c>
      <c r="R5" s="23" t="str">
        <f>IF(OR(ISNA($M5),ISNA($N5)),"",IF(C5=VLOOKUP($A5,'Client Data'!$A:$G,Spec!B$3,FALSE),"",VLOOKUP($A5,'Client Data'!$A:$G,Spec!B$3,FALSE)))</f>
        <v/>
      </c>
      <c r="S5" s="23" t="str">
        <f>IF(OR(ISNA($M5),ISNA($N5)),"",IF(D5=VLOOKUP($A5,'Client Data'!$A:$G,Spec!C$3,FALSE),"",VLOOKUP($A5,'Client Data'!$A:$G,Spec!C$3,FALSE)))</f>
        <v/>
      </c>
      <c r="T5" s="23" t="str">
        <f>IF(OR(ISNA($M5),ISNA($N5)),"",IF(H5=VLOOKUP($A5,'Employee Database'!$A:$K,Spec!G$2,FALSE),"",VLOOKUP($A5,'Employee Database'!$A:$K,Spec!G$2,FALSE)))</f>
        <v/>
      </c>
      <c r="U5" s="23" t="str">
        <f>IF(OR(ISNA($M5),ISNA($N5)),"",IF(I5=VLOOKUP($A5,'Employee Database'!$A:$K,Spec!H$2,FALSE),"",VLOOKUP($A5,'Employee Database'!$A:$K,Spec!H$2,FALSE)))</f>
        <v/>
      </c>
    </row>
    <row r="6" spans="1:21" x14ac:dyDescent="0.2">
      <c r="A6" s="8">
        <v>199741</v>
      </c>
      <c r="B6" s="28" t="str">
        <f>IF(ISNA(MATCH(A6,'Employee Database'!$A$6:$A$58,0)),"Not Available",INDEX('Employee Database'!$B$6:$B$58,MATCH(A6,'Employee Database'!$A$6:$A$58,0)))</f>
        <v>Al Jaloud, Steve</v>
      </c>
      <c r="C6" s="24">
        <f>IF(NOT(ISNA($N6)),VLOOKUP($A6,'Employee Database'!$A:$K,Spec!B$2,FALSE), IF(NOT(ISNA($M6)), VLOOKUP($A6,'Client Data'!$A:$G,Spec!B$3,FALSE),""))</f>
        <v>16439</v>
      </c>
      <c r="D6" s="24">
        <f>IF(NOT(ISNA($N6)),VLOOKUP($A6,'Employee Database'!$A:$K,Spec!C$2,FALSE), IF(NOT(ISNA($M6)), VLOOKUP($A6,'Client Data'!$A:$G,Spec!C$3,FALSE),""))</f>
        <v>35929</v>
      </c>
      <c r="E6" s="26">
        <f>IF(NOT(ISNA($M6)), VLOOKUP($A6,'Client Data'!$A:$G,Spec!D$3,FALSE), "")</f>
        <v>96000</v>
      </c>
      <c r="F6" s="26">
        <f>IF(NOT(ISNA($N6)), VLOOKUP($A6,'Employee Database'!$A:$K,Spec!E$2,FALSE), "")</f>
        <v>96000</v>
      </c>
      <c r="G6" s="26">
        <f>IF(NOT(ISNA($N6)), VLOOKUP($A6,'Employee Database'!$A:$K,Spec!F$2,FALSE), "")</f>
        <v>91400</v>
      </c>
      <c r="H6" s="24" t="str">
        <f>IF(ISNA($M6), "", IF(VLOOKUP($A6,'Client Data'!$A:$G,Spec!G$3,FALSE)="", "", VLOOKUP($A6, 'Client Data'!$A:$G,Spec!G$3,FALSE)))</f>
        <v/>
      </c>
      <c r="I6" s="24" t="str">
        <f>IF(ISNA($M6), "", IF(VLOOKUP($A6,'Client Data'!$A:$G,Spec!H$3,FALSE)="", "", VLOOKUP($A6, 'Client Data'!$A:$G,Spec!H$3,FALSE)))</f>
        <v/>
      </c>
      <c r="J6" s="20" t="str">
        <f>IF(NOT(ISNA($M6)), VLOOKUP($A6,'Client Data'!$A:$G,Spec!I$3,FALSE), "")</f>
        <v>A</v>
      </c>
      <c r="K6" s="20" t="str">
        <f>IF(NOT(ISNA($N6)), VLOOKUP($A6,'Employee Database'!$A:$K,Spec!J$2,FALSE), "")</f>
        <v>A</v>
      </c>
      <c r="M6" s="20">
        <f>MATCH(A6,'Client Data'!A:A,0)</f>
        <v>6</v>
      </c>
      <c r="N6" s="20">
        <f>MATCH(A6,'Employee Database'!A:A,0)</f>
        <v>10</v>
      </c>
      <c r="O6" t="str">
        <f t="shared" si="0"/>
        <v/>
      </c>
      <c r="P6" t="str">
        <f t="shared" si="1"/>
        <v/>
      </c>
      <c r="R6" s="23" t="str">
        <f>IF(OR(ISNA($M6),ISNA($N6)),"",IF(C6=VLOOKUP($A6,'Client Data'!$A:$G,Spec!B$3,FALSE),"",VLOOKUP($A6,'Client Data'!$A:$G,Spec!B$3,FALSE)))</f>
        <v/>
      </c>
      <c r="S6" s="23" t="str">
        <f>IF(OR(ISNA($M6),ISNA($N6)),"",IF(D6=VLOOKUP($A6,'Client Data'!$A:$G,Spec!C$3,FALSE),"",VLOOKUP($A6,'Client Data'!$A:$G,Spec!C$3,FALSE)))</f>
        <v/>
      </c>
      <c r="T6" s="23" t="str">
        <f>IF(OR(ISNA($M6),ISNA($N6)),"",IF(H6=VLOOKUP($A6,'Employee Database'!$A:$K,Spec!G$2,FALSE),"",VLOOKUP($A6,'Employee Database'!$A:$K,Spec!G$2,FALSE)))</f>
        <v/>
      </c>
      <c r="U6" s="23" t="str">
        <f>IF(OR(ISNA($M6),ISNA($N6)),"",IF(I6=VLOOKUP($A6,'Employee Database'!$A:$K,Spec!H$2,FALSE),"",VLOOKUP($A6,'Employee Database'!$A:$K,Spec!H$2,FALSE)))</f>
        <v/>
      </c>
    </row>
    <row r="7" spans="1:21" x14ac:dyDescent="0.2">
      <c r="A7" s="8">
        <v>205217</v>
      </c>
      <c r="B7" s="28" t="str">
        <f>IF(ISNA(MATCH(A7,'Employee Database'!$A$6:$A$58,0)),"Not Available",INDEX('Employee Database'!$B$6:$B$58,MATCH(A7,'Employee Database'!$A$6:$A$58,0)))</f>
        <v>Butina, Natalie</v>
      </c>
      <c r="C7" s="24">
        <f>IF(NOT(ISNA($N7)),VLOOKUP($A7,'Employee Database'!$A:$K,Spec!B$2,FALSE), IF(NOT(ISNA($M7)), VLOOKUP($A7,'Client Data'!$A:$G,Spec!B$3,FALSE),""))</f>
        <v>17620</v>
      </c>
      <c r="D7" s="24">
        <f>IF(NOT(ISNA($N7)),VLOOKUP($A7,'Employee Database'!$A:$K,Spec!C$2,FALSE), IF(NOT(ISNA($M7)), VLOOKUP($A7,'Client Data'!$A:$G,Spec!C$3,FALSE),""))</f>
        <v>34867</v>
      </c>
      <c r="E7" s="26">
        <f>IF(NOT(ISNA($M7)), VLOOKUP($A7,'Client Data'!$A:$G,Spec!D$3,FALSE), "")</f>
        <v>95000</v>
      </c>
      <c r="F7" s="26">
        <f>IF(NOT(ISNA($N7)), VLOOKUP($A7,'Employee Database'!$A:$K,Spec!E$2,FALSE), "")</f>
        <v>95000</v>
      </c>
      <c r="G7" s="26">
        <f>IF(NOT(ISNA($N7)), VLOOKUP($A7,'Employee Database'!$A:$K,Spec!F$2,FALSE), "")</f>
        <v>90500</v>
      </c>
      <c r="H7" s="24" t="str">
        <f>IF(ISNA($M7), "", IF(VLOOKUP($A7,'Client Data'!$A:$G,Spec!G$3,FALSE)="", "", VLOOKUP($A7, 'Client Data'!$A:$G,Spec!G$3,FALSE)))</f>
        <v/>
      </c>
      <c r="I7" s="24" t="str">
        <f>IF(ISNA($M7), "", IF(VLOOKUP($A7,'Client Data'!$A:$G,Spec!H$3,FALSE)="", "", VLOOKUP($A7, 'Client Data'!$A:$G,Spec!H$3,FALSE)))</f>
        <v/>
      </c>
      <c r="J7" s="20" t="str">
        <f>IF(NOT(ISNA($M7)), VLOOKUP($A7,'Client Data'!$A:$G,Spec!I$3,FALSE), "")</f>
        <v>A</v>
      </c>
      <c r="K7" s="20" t="str">
        <f>IF(NOT(ISNA($N7)), VLOOKUP($A7,'Employee Database'!$A:$K,Spec!J$2,FALSE), "")</f>
        <v>A</v>
      </c>
      <c r="M7" s="20">
        <f>MATCH(A7,'Client Data'!A:A,0)</f>
        <v>7</v>
      </c>
      <c r="N7" s="20">
        <f>MATCH(A7,'Employee Database'!A:A,0)</f>
        <v>11</v>
      </c>
      <c r="O7" t="str">
        <f t="shared" si="0"/>
        <v/>
      </c>
      <c r="P7" t="str">
        <f t="shared" si="1"/>
        <v/>
      </c>
      <c r="R7" s="23" t="str">
        <f>IF(OR(ISNA($M7),ISNA($N7)),"",IF(C7=VLOOKUP($A7,'Client Data'!$A:$G,Spec!B$3,FALSE),"",VLOOKUP($A7,'Client Data'!$A:$G,Spec!B$3,FALSE)))</f>
        <v/>
      </c>
      <c r="S7" s="23" t="str">
        <f>IF(OR(ISNA($M7),ISNA($N7)),"",IF(D7=VLOOKUP($A7,'Client Data'!$A:$G,Spec!C$3,FALSE),"",VLOOKUP($A7,'Client Data'!$A:$G,Spec!C$3,FALSE)))</f>
        <v/>
      </c>
      <c r="T7" s="23" t="str">
        <f>IF(OR(ISNA($M7),ISNA($N7)),"",IF(H7=VLOOKUP($A7,'Employee Database'!$A:$K,Spec!G$2,FALSE),"",VLOOKUP($A7,'Employee Database'!$A:$K,Spec!G$2,FALSE)))</f>
        <v/>
      </c>
      <c r="U7" s="23" t="str">
        <f>IF(OR(ISNA($M7),ISNA($N7)),"",IF(I7=VLOOKUP($A7,'Employee Database'!$A:$K,Spec!H$2,FALSE),"",VLOOKUP($A7,'Employee Database'!$A:$K,Spec!H$2,FALSE)))</f>
        <v/>
      </c>
    </row>
    <row r="8" spans="1:21" x14ac:dyDescent="0.2">
      <c r="A8" s="8">
        <v>206418</v>
      </c>
      <c r="B8" s="28" t="str">
        <f>IF(ISNA(MATCH(A8,'Employee Database'!$A$6:$A$58,0)),"Not Available",INDEX('Employee Database'!$B$6:$B$58,MATCH(A8,'Employee Database'!$A$6:$A$58,0)))</f>
        <v>Olson, Nicholas</v>
      </c>
      <c r="C8" s="24">
        <f>IF(NOT(ISNA($N8)),VLOOKUP($A8,'Employee Database'!$A:$K,Spec!B$2,FALSE), IF(NOT(ISNA($M8)), VLOOKUP($A8,'Client Data'!$A:$G,Spec!B$3,FALSE),""))</f>
        <v>20874</v>
      </c>
      <c r="D8" s="24">
        <f>IF(NOT(ISNA($N8)),VLOOKUP($A8,'Employee Database'!$A:$K,Spec!C$2,FALSE), IF(NOT(ISNA($M8)), VLOOKUP($A8,'Client Data'!$A:$G,Spec!C$3,FALSE),""))</f>
        <v>40497</v>
      </c>
      <c r="E8" s="26">
        <f>IF(NOT(ISNA($M8)), VLOOKUP($A8,'Client Data'!$A:$G,Spec!D$3,FALSE), "")</f>
        <v>320000</v>
      </c>
      <c r="F8" s="26">
        <f>IF(NOT(ISNA($N8)), VLOOKUP($A8,'Employee Database'!$A:$K,Spec!E$2,FALSE), "")</f>
        <v>320000</v>
      </c>
      <c r="G8" s="26">
        <f>IF(NOT(ISNA($N8)), VLOOKUP($A8,'Employee Database'!$A:$K,Spec!F$2,FALSE), "")</f>
        <v>32000</v>
      </c>
      <c r="H8" s="24" t="str">
        <f>IF(ISNA($M8), "", IF(VLOOKUP($A8,'Client Data'!$A:$G,Spec!G$3,FALSE)="", "", VLOOKUP($A8, 'Client Data'!$A:$G,Spec!G$3,FALSE)))</f>
        <v/>
      </c>
      <c r="I8" s="24" t="str">
        <f>IF(ISNA($M8), "", IF(VLOOKUP($A8,'Client Data'!$A:$G,Spec!H$3,FALSE)="", "", VLOOKUP($A8, 'Client Data'!$A:$G,Spec!H$3,FALSE)))</f>
        <v/>
      </c>
      <c r="J8" s="20" t="str">
        <f>IF(NOT(ISNA($M8)), VLOOKUP($A8,'Client Data'!$A:$G,Spec!I$3,FALSE), "")</f>
        <v>A</v>
      </c>
      <c r="K8" s="20" t="str">
        <f>IF(NOT(ISNA($N8)), VLOOKUP($A8,'Employee Database'!$A:$K,Spec!J$2,FALSE), "")</f>
        <v>A</v>
      </c>
      <c r="M8" s="20">
        <f>MATCH(A8,'Client Data'!A:A,0)</f>
        <v>8</v>
      </c>
      <c r="N8" s="20">
        <f>MATCH(A8,'Employee Database'!A:A,0)</f>
        <v>12</v>
      </c>
      <c r="O8" t="str">
        <f t="shared" si="0"/>
        <v/>
      </c>
      <c r="P8" t="str">
        <f t="shared" si="1"/>
        <v/>
      </c>
      <c r="R8" s="23" t="str">
        <f>IF(OR(ISNA($M8),ISNA($N8)),"",IF(C8=VLOOKUP($A8,'Client Data'!$A:$G,Spec!B$3,FALSE),"",VLOOKUP($A8,'Client Data'!$A:$G,Spec!B$3,FALSE)))</f>
        <v/>
      </c>
      <c r="S8" s="23" t="str">
        <f>IF(OR(ISNA($M8),ISNA($N8)),"",IF(D8=VLOOKUP($A8,'Client Data'!$A:$G,Spec!C$3,FALSE),"",VLOOKUP($A8,'Client Data'!$A:$G,Spec!C$3,FALSE)))</f>
        <v/>
      </c>
      <c r="T8" s="23" t="str">
        <f>IF(OR(ISNA($M8),ISNA($N8)),"",IF(H8=VLOOKUP($A8,'Employee Database'!$A:$K,Spec!G$2,FALSE),"",VLOOKUP($A8,'Employee Database'!$A:$K,Spec!G$2,FALSE)))</f>
        <v/>
      </c>
      <c r="U8" s="23" t="str">
        <f>IF(OR(ISNA($M8),ISNA($N8)),"",IF(I8=VLOOKUP($A8,'Employee Database'!$A:$K,Spec!H$2,FALSE),"",VLOOKUP($A8,'Employee Database'!$A:$K,Spec!H$2,FALSE)))</f>
        <v/>
      </c>
    </row>
    <row r="9" spans="1:21" x14ac:dyDescent="0.2">
      <c r="A9" s="8">
        <v>218201</v>
      </c>
      <c r="B9" s="28" t="str">
        <f>IF(ISNA(MATCH(A9,'Employee Database'!$A$6:$A$58,0)),"Not Available",INDEX('Employee Database'!$B$6:$B$58,MATCH(A9,'Employee Database'!$A$6:$A$58,0)))</f>
        <v>Richman, Michelle</v>
      </c>
      <c r="C9" s="24">
        <f>IF(NOT(ISNA($N9)),VLOOKUP($A9,'Employee Database'!$A:$K,Spec!B$2,FALSE), IF(NOT(ISNA($M9)), VLOOKUP($A9,'Client Data'!$A:$G,Spec!B$3,FALSE),""))</f>
        <v>15818</v>
      </c>
      <c r="D9" s="24">
        <f>IF(NOT(ISNA($N9)),VLOOKUP($A9,'Employee Database'!$A:$K,Spec!C$2,FALSE), IF(NOT(ISNA($M9)), VLOOKUP($A9,'Client Data'!$A:$G,Spec!C$3,FALSE),""))</f>
        <v>35362</v>
      </c>
      <c r="E9" s="26">
        <f>IF(NOT(ISNA($M9)), VLOOKUP($A9,'Client Data'!$A:$G,Spec!D$3,FALSE), "")</f>
        <v>93000</v>
      </c>
      <c r="F9" s="26">
        <f>IF(NOT(ISNA($N9)), VLOOKUP($A9,'Employee Database'!$A:$K,Spec!E$2,FALSE), "")</f>
        <v>93000</v>
      </c>
      <c r="G9" s="26">
        <f>IF(NOT(ISNA($N9)), VLOOKUP($A9,'Employee Database'!$A:$K,Spec!F$2,FALSE), "")</f>
        <v>88600</v>
      </c>
      <c r="H9" s="24" t="str">
        <f>IF(ISNA($M9), "", IF(VLOOKUP($A9,'Client Data'!$A:$G,Spec!G$3,FALSE)="", "", VLOOKUP($A9, 'Client Data'!$A:$G,Spec!G$3,FALSE)))</f>
        <v/>
      </c>
      <c r="I9" s="24" t="str">
        <f>IF(ISNA($M9), "", IF(VLOOKUP($A9,'Client Data'!$A:$G,Spec!H$3,FALSE)="", "", VLOOKUP($A9, 'Client Data'!$A:$G,Spec!H$3,FALSE)))</f>
        <v/>
      </c>
      <c r="J9" s="20" t="str">
        <f>IF(NOT(ISNA($M9)), VLOOKUP($A9,'Client Data'!$A:$G,Spec!I$3,FALSE), "")</f>
        <v>A</v>
      </c>
      <c r="K9" s="20" t="str">
        <f>IF(NOT(ISNA($N9)), VLOOKUP($A9,'Employee Database'!$A:$K,Spec!J$2,FALSE), "")</f>
        <v>A</v>
      </c>
      <c r="M9" s="20">
        <f>MATCH(A9,'Client Data'!A:A,0)</f>
        <v>9</v>
      </c>
      <c r="N9" s="20">
        <f>MATCH(A9,'Employee Database'!A:A,0)</f>
        <v>13</v>
      </c>
      <c r="O9" t="str">
        <f t="shared" si="0"/>
        <v/>
      </c>
      <c r="P9" t="str">
        <f t="shared" si="1"/>
        <v/>
      </c>
      <c r="R9" s="23" t="str">
        <f>IF(OR(ISNA($M9),ISNA($N9)),"",IF(C9=VLOOKUP($A9,'Client Data'!$A:$G,Spec!B$3,FALSE),"",VLOOKUP($A9,'Client Data'!$A:$G,Spec!B$3,FALSE)))</f>
        <v/>
      </c>
      <c r="S9" s="23" t="str">
        <f>IF(OR(ISNA($M9),ISNA($N9)),"",IF(D9=VLOOKUP($A9,'Client Data'!$A:$G,Spec!C$3,FALSE),"",VLOOKUP($A9,'Client Data'!$A:$G,Spec!C$3,FALSE)))</f>
        <v/>
      </c>
      <c r="T9" s="23" t="str">
        <f>IF(OR(ISNA($M9),ISNA($N9)),"",IF(H9=VLOOKUP($A9,'Employee Database'!$A:$K,Spec!G$2,FALSE),"",VLOOKUP($A9,'Employee Database'!$A:$K,Spec!G$2,FALSE)))</f>
        <v/>
      </c>
      <c r="U9" s="23" t="str">
        <f>IF(OR(ISNA($M9),ISNA($N9)),"",IF(I9=VLOOKUP($A9,'Employee Database'!$A:$K,Spec!H$2,FALSE),"",VLOOKUP($A9,'Employee Database'!$A:$K,Spec!H$2,FALSE)))</f>
        <v/>
      </c>
    </row>
    <row r="10" spans="1:21" x14ac:dyDescent="0.2">
      <c r="A10" s="8">
        <v>225139</v>
      </c>
      <c r="B10" s="28" t="str">
        <f>IF(ISNA(MATCH(A10,'Employee Database'!$A$6:$A$58,0)),"Not Available",INDEX('Employee Database'!$B$6:$B$58,MATCH(A10,'Employee Database'!$A$6:$A$58,0)))</f>
        <v>Johnson, Aaron</v>
      </c>
      <c r="C10" s="24">
        <f>IF(NOT(ISNA($N10)),VLOOKUP($A10,'Employee Database'!$A:$K,Spec!B$2,FALSE), IF(NOT(ISNA($M10)), VLOOKUP($A10,'Client Data'!$A:$G,Spec!B$3,FALSE),""))</f>
        <v>33987</v>
      </c>
      <c r="D10" s="24">
        <f>IF(NOT(ISNA($N10)),VLOOKUP($A10,'Employee Database'!$A:$K,Spec!C$2,FALSE), IF(NOT(ISNA($M10)), VLOOKUP($A10,'Client Data'!$A:$G,Spec!C$3,FALSE),""))</f>
        <v>41074</v>
      </c>
      <c r="E10" s="26">
        <f>IF(NOT(ISNA($M10)), VLOOKUP($A10,'Client Data'!$A:$G,Spec!D$3,FALSE), "")</f>
        <v>92000</v>
      </c>
      <c r="F10" s="26">
        <f>IF(NOT(ISNA($N10)), VLOOKUP($A10,'Employee Database'!$A:$K,Spec!E$2,FALSE), "")</f>
        <v>92000</v>
      </c>
      <c r="G10" s="26">
        <f>IF(NOT(ISNA($N10)), VLOOKUP($A10,'Employee Database'!$A:$K,Spec!F$2,FALSE), "")</f>
        <v>40000</v>
      </c>
      <c r="H10" s="24" t="str">
        <f>IF(ISNA($M10), "", IF(VLOOKUP($A10,'Client Data'!$A:$G,Spec!G$3,FALSE)="", "", VLOOKUP($A10, 'Client Data'!$A:$G,Spec!G$3,FALSE)))</f>
        <v/>
      </c>
      <c r="I10" s="24" t="str">
        <f>IF(ISNA($M10), "", IF(VLOOKUP($A10,'Client Data'!$A:$G,Spec!H$3,FALSE)="", "", VLOOKUP($A10, 'Client Data'!$A:$G,Spec!H$3,FALSE)))</f>
        <v/>
      </c>
      <c r="J10" s="20" t="str">
        <f>IF(NOT(ISNA($M10)), VLOOKUP($A10,'Client Data'!$A:$G,Spec!I$3,FALSE), "")</f>
        <v>A</v>
      </c>
      <c r="K10" s="20" t="str">
        <f>IF(NOT(ISNA($N10)), VLOOKUP($A10,'Employee Database'!$A:$K,Spec!J$2,FALSE), "")</f>
        <v>A</v>
      </c>
      <c r="M10" s="20">
        <f>MATCH(A10,'Client Data'!A:A,0)</f>
        <v>10</v>
      </c>
      <c r="N10" s="20">
        <f>MATCH(A10,'Employee Database'!A:A,0)</f>
        <v>14</v>
      </c>
      <c r="O10" t="str">
        <f t="shared" si="0"/>
        <v/>
      </c>
      <c r="P10" t="str">
        <f t="shared" si="1"/>
        <v/>
      </c>
      <c r="R10" s="23" t="str">
        <f>IF(OR(ISNA($M10),ISNA($N10)),"",IF(C10=VLOOKUP($A10,'Client Data'!$A:$G,Spec!B$3,FALSE),"",VLOOKUP($A10,'Client Data'!$A:$G,Spec!B$3,FALSE)))</f>
        <v/>
      </c>
      <c r="S10" s="23" t="str">
        <f>IF(OR(ISNA($M10),ISNA($N10)),"",IF(D10=VLOOKUP($A10,'Client Data'!$A:$G,Spec!C$3,FALSE),"",VLOOKUP($A10,'Client Data'!$A:$G,Spec!C$3,FALSE)))</f>
        <v/>
      </c>
      <c r="T10" s="23" t="str">
        <f>IF(OR(ISNA($M10),ISNA($N10)),"",IF(H10=VLOOKUP($A10,'Employee Database'!$A:$K,Spec!G$2,FALSE),"",VLOOKUP($A10,'Employee Database'!$A:$K,Spec!G$2,FALSE)))</f>
        <v/>
      </c>
      <c r="U10" s="23" t="str">
        <f>IF(OR(ISNA($M10),ISNA($N10)),"",IF(I10=VLOOKUP($A10,'Employee Database'!$A:$K,Spec!H$2,FALSE),"",VLOOKUP($A10,'Employee Database'!$A:$K,Spec!H$2,FALSE)))</f>
        <v/>
      </c>
    </row>
    <row r="11" spans="1:21" x14ac:dyDescent="0.2">
      <c r="A11" s="8">
        <v>232072</v>
      </c>
      <c r="B11" s="28" t="str">
        <f>IF(ISNA(MATCH(A11,'Employee Database'!$A$6:$A$58,0)),"Not Available",INDEX('Employee Database'!$B$6:$B$58,MATCH(A11,'Employee Database'!$A$6:$A$58,0)))</f>
        <v>Brinkley, Jeanne M</v>
      </c>
      <c r="C11" s="24">
        <f>IF(NOT(ISNA($N11)),VLOOKUP($A11,'Employee Database'!$A:$K,Spec!B$2,FALSE), IF(NOT(ISNA($M11)), VLOOKUP($A11,'Client Data'!$A:$G,Spec!B$3,FALSE),""))</f>
        <v>24290</v>
      </c>
      <c r="D11" s="24">
        <f>IF(NOT(ISNA($N11)),VLOOKUP($A11,'Employee Database'!$A:$K,Spec!C$2,FALSE), IF(NOT(ISNA($M11)), VLOOKUP($A11,'Client Data'!$A:$G,Spec!C$3,FALSE),""))</f>
        <v>39634</v>
      </c>
      <c r="E11" s="26">
        <f>IF(NOT(ISNA($M11)), VLOOKUP($A11,'Client Data'!$A:$G,Spec!D$3,FALSE), "")</f>
        <v>91000</v>
      </c>
      <c r="F11" s="26">
        <f>IF(NOT(ISNA($N11)), VLOOKUP($A11,'Employee Database'!$A:$K,Spec!E$2,FALSE), "")</f>
        <v>91000</v>
      </c>
      <c r="G11" s="26">
        <f>IF(NOT(ISNA($N11)), VLOOKUP($A11,'Employee Database'!$A:$K,Spec!F$2,FALSE), "")</f>
        <v>86700</v>
      </c>
      <c r="H11" s="24" t="str">
        <f>IF(ISNA($M11), "", IF(VLOOKUP($A11,'Client Data'!$A:$G,Spec!G$3,FALSE)="", "", VLOOKUP($A11, 'Client Data'!$A:$G,Spec!G$3,FALSE)))</f>
        <v/>
      </c>
      <c r="I11" s="24" t="str">
        <f>IF(ISNA($M11), "", IF(VLOOKUP($A11,'Client Data'!$A:$G,Spec!H$3,FALSE)="", "", VLOOKUP($A11, 'Client Data'!$A:$G,Spec!H$3,FALSE)))</f>
        <v/>
      </c>
      <c r="J11" s="20" t="str">
        <f>IF(NOT(ISNA($M11)), VLOOKUP($A11,'Client Data'!$A:$G,Spec!I$3,FALSE), "")</f>
        <v>A</v>
      </c>
      <c r="K11" s="20" t="str">
        <f>IF(NOT(ISNA($N11)), VLOOKUP($A11,'Employee Database'!$A:$K,Spec!J$2,FALSE), "")</f>
        <v>A</v>
      </c>
      <c r="M11" s="20">
        <f>MATCH(A11,'Client Data'!A:A,0)</f>
        <v>11</v>
      </c>
      <c r="N11" s="20">
        <f>MATCH(A11,'Employee Database'!A:A,0)</f>
        <v>15</v>
      </c>
      <c r="O11" t="str">
        <f t="shared" si="0"/>
        <v/>
      </c>
      <c r="P11" t="str">
        <f t="shared" si="1"/>
        <v/>
      </c>
      <c r="R11" s="23" t="str">
        <f>IF(OR(ISNA($M11),ISNA($N11)),"",IF(C11=VLOOKUP($A11,'Client Data'!$A:$G,Spec!B$3,FALSE),"",VLOOKUP($A11,'Client Data'!$A:$G,Spec!B$3,FALSE)))</f>
        <v/>
      </c>
      <c r="S11" s="23" t="str">
        <f>IF(OR(ISNA($M11),ISNA($N11)),"",IF(D11=VLOOKUP($A11,'Client Data'!$A:$G,Spec!C$3,FALSE),"",VLOOKUP($A11,'Client Data'!$A:$G,Spec!C$3,FALSE)))</f>
        <v/>
      </c>
      <c r="T11" s="23" t="str">
        <f>IF(OR(ISNA($M11),ISNA($N11)),"",IF(H11=VLOOKUP($A11,'Employee Database'!$A:$K,Spec!G$2,FALSE),"",VLOOKUP($A11,'Employee Database'!$A:$K,Spec!G$2,FALSE)))</f>
        <v/>
      </c>
      <c r="U11" s="23" t="str">
        <f>IF(OR(ISNA($M11),ISNA($N11)),"",IF(I11=VLOOKUP($A11,'Employee Database'!$A:$K,Spec!H$2,FALSE),"",VLOOKUP($A11,'Employee Database'!$A:$K,Spec!H$2,FALSE)))</f>
        <v/>
      </c>
    </row>
    <row r="12" spans="1:21" x14ac:dyDescent="0.2">
      <c r="A12" s="8">
        <v>250067</v>
      </c>
      <c r="B12" s="28" t="str">
        <f>IF(ISNA(MATCH(A12,'Employee Database'!$A$6:$A$58,0)),"Not Available",INDEX('Employee Database'!$B$6:$B$58,MATCH(A12,'Employee Database'!$A$6:$A$58,0)))</f>
        <v>Brinkley, Roxanne L</v>
      </c>
      <c r="C12" s="24" t="str">
        <f>IF(NOT(ISNA($N12)),VLOOKUP($A12,'Employee Database'!$A:$K,Spec!B$2,FALSE), IF(NOT(ISNA($M12)), VLOOKUP($A12,'Client Data'!$A:$G,Spec!B$3,FALSE),""))</f>
        <v>2/30/1960</v>
      </c>
      <c r="D12" s="24">
        <f>IF(NOT(ISNA($N12)),VLOOKUP($A12,'Employee Database'!$A:$K,Spec!C$2,FALSE), IF(NOT(ISNA($M12)), VLOOKUP($A12,'Client Data'!$A:$G,Spec!C$3,FALSE),""))</f>
        <v>40073</v>
      </c>
      <c r="E12" s="26">
        <f>IF(NOT(ISNA($M12)), VLOOKUP($A12,'Client Data'!$A:$G,Spec!D$3,FALSE), "")</f>
        <v>90000</v>
      </c>
      <c r="F12" s="26">
        <f>IF(NOT(ISNA($N12)), VLOOKUP($A12,'Employee Database'!$A:$K,Spec!E$2,FALSE), "")</f>
        <v>90000</v>
      </c>
      <c r="G12" s="26">
        <f>IF(NOT(ISNA($N12)), VLOOKUP($A12,'Employee Database'!$A:$K,Spec!F$2,FALSE), "")</f>
        <v>85700</v>
      </c>
      <c r="H12" s="24" t="str">
        <f>IF(ISNA($M12), "", IF(VLOOKUP($A12,'Client Data'!$A:$G,Spec!G$3,FALSE)="", "", VLOOKUP($A12, 'Client Data'!$A:$G,Spec!G$3,FALSE)))</f>
        <v/>
      </c>
      <c r="I12" s="24" t="str">
        <f>IF(ISNA($M12), "", IF(VLOOKUP($A12,'Client Data'!$A:$G,Spec!H$3,FALSE)="", "", VLOOKUP($A12, 'Client Data'!$A:$G,Spec!H$3,FALSE)))</f>
        <v/>
      </c>
      <c r="J12" s="20" t="str">
        <f>IF(NOT(ISNA($M12)), VLOOKUP($A12,'Client Data'!$A:$G,Spec!I$3,FALSE), "")</f>
        <v>A</v>
      </c>
      <c r="K12" s="20" t="str">
        <f>IF(NOT(ISNA($N12)), VLOOKUP($A12,'Employee Database'!$A:$K,Spec!J$2,FALSE), "")</f>
        <v>A</v>
      </c>
      <c r="M12" s="20">
        <f>MATCH(A12,'Client Data'!A:A,0)</f>
        <v>12</v>
      </c>
      <c r="N12" s="20">
        <f>MATCH(A12,'Employee Database'!A:A,0)</f>
        <v>16</v>
      </c>
      <c r="O12" t="str">
        <f t="shared" si="0"/>
        <v/>
      </c>
      <c r="P12" t="str">
        <f t="shared" si="1"/>
        <v/>
      </c>
      <c r="R12" s="23" t="str">
        <f>IF(OR(ISNA($M12),ISNA($N12)),"",IF(C12=VLOOKUP($A12,'Client Data'!$A:$G,Spec!B$3,FALSE),"",VLOOKUP($A12,'Client Data'!$A:$G,Spec!B$3,FALSE)))</f>
        <v/>
      </c>
      <c r="S12" s="23" t="str">
        <f>IF(OR(ISNA($M12),ISNA($N12)),"",IF(D12=VLOOKUP($A12,'Client Data'!$A:$G,Spec!C$3,FALSE),"",VLOOKUP($A12,'Client Data'!$A:$G,Spec!C$3,FALSE)))</f>
        <v/>
      </c>
      <c r="T12" s="23" t="str">
        <f>IF(OR(ISNA($M12),ISNA($N12)),"",IF(H12=VLOOKUP($A12,'Employee Database'!$A:$K,Spec!G$2,FALSE),"",VLOOKUP($A12,'Employee Database'!$A:$K,Spec!G$2,FALSE)))</f>
        <v/>
      </c>
      <c r="U12" s="23" t="str">
        <f>IF(OR(ISNA($M12),ISNA($N12)),"",IF(I12=VLOOKUP($A12,'Employee Database'!$A:$K,Spec!H$2,FALSE),"",VLOOKUP($A12,'Employee Database'!$A:$K,Spec!H$2,FALSE)))</f>
        <v/>
      </c>
    </row>
    <row r="13" spans="1:21" x14ac:dyDescent="0.2">
      <c r="A13" s="8">
        <v>253862</v>
      </c>
      <c r="B13" s="28" t="str">
        <f>IF(ISNA(MATCH(A13,'Employee Database'!$A$6:$A$58,0)),"Not Available",INDEX('Employee Database'!$B$6:$B$58,MATCH(A13,'Employee Database'!$A$6:$A$58,0)))</f>
        <v>Nelson, Yuyang</v>
      </c>
      <c r="C13" s="24">
        <f>IF(NOT(ISNA($N13)),VLOOKUP($A13,'Employee Database'!$A:$K,Spec!B$2,FALSE), IF(NOT(ISNA($M13)), VLOOKUP($A13,'Client Data'!$A:$G,Spec!B$3,FALSE),""))</f>
        <v>23332</v>
      </c>
      <c r="D13" s="24">
        <f>IF(NOT(ISNA($N13)),VLOOKUP($A13,'Employee Database'!$A:$K,Spec!C$2,FALSE), IF(NOT(ISNA($M13)), VLOOKUP($A13,'Client Data'!$A:$G,Spec!C$3,FALSE),""))</f>
        <v>40339</v>
      </c>
      <c r="E13" s="26">
        <f>IF(NOT(ISNA($M13)), VLOOKUP($A13,'Client Data'!$A:$G,Spec!D$3,FALSE), "")</f>
        <v>89000</v>
      </c>
      <c r="F13" s="26">
        <f>IF(NOT(ISNA($N13)), VLOOKUP($A13,'Employee Database'!$A:$K,Spec!E$2,FALSE), "")</f>
        <v>89000</v>
      </c>
      <c r="G13" s="26">
        <f>IF(NOT(ISNA($N13)), VLOOKUP($A13,'Employee Database'!$A:$K,Spec!F$2,FALSE), "")</f>
        <v>84800</v>
      </c>
      <c r="H13" s="24" t="str">
        <f>IF(ISNA($M13), "", IF(VLOOKUP($A13,'Client Data'!$A:$G,Spec!G$3,FALSE)="", "", VLOOKUP($A13, 'Client Data'!$A:$G,Spec!G$3,FALSE)))</f>
        <v/>
      </c>
      <c r="I13" s="24" t="str">
        <f>IF(ISNA($M13), "", IF(VLOOKUP($A13,'Client Data'!$A:$G,Spec!H$3,FALSE)="", "", VLOOKUP($A13, 'Client Data'!$A:$G,Spec!H$3,FALSE)))</f>
        <v/>
      </c>
      <c r="J13" s="20" t="str">
        <f>IF(NOT(ISNA($M13)), VLOOKUP($A13,'Client Data'!$A:$G,Spec!I$3,FALSE), "")</f>
        <v>A</v>
      </c>
      <c r="K13" s="20" t="str">
        <f>IF(NOT(ISNA($N13)), VLOOKUP($A13,'Employee Database'!$A:$K,Spec!J$2,FALSE), "")</f>
        <v>A</v>
      </c>
      <c r="M13" s="20">
        <f>MATCH(A13,'Client Data'!A:A,0)</f>
        <v>13</v>
      </c>
      <c r="N13" s="20">
        <f>MATCH(A13,'Employee Database'!A:A,0)</f>
        <v>17</v>
      </c>
      <c r="O13" t="str">
        <f t="shared" si="0"/>
        <v/>
      </c>
      <c r="P13" t="str">
        <f t="shared" si="1"/>
        <v/>
      </c>
      <c r="R13" s="23" t="str">
        <f>IF(OR(ISNA($M13),ISNA($N13)),"",IF(C13=VLOOKUP($A13,'Client Data'!$A:$G,Spec!B$3,FALSE),"",VLOOKUP($A13,'Client Data'!$A:$G,Spec!B$3,FALSE)))</f>
        <v/>
      </c>
      <c r="S13" s="23" t="str">
        <f>IF(OR(ISNA($M13),ISNA($N13)),"",IF(D13=VLOOKUP($A13,'Client Data'!$A:$G,Spec!C$3,FALSE),"",VLOOKUP($A13,'Client Data'!$A:$G,Spec!C$3,FALSE)))</f>
        <v/>
      </c>
      <c r="T13" s="23" t="str">
        <f>IF(OR(ISNA($M13),ISNA($N13)),"",IF(H13=VLOOKUP($A13,'Employee Database'!$A:$K,Spec!G$2,FALSE),"",VLOOKUP($A13,'Employee Database'!$A:$K,Spec!G$2,FALSE)))</f>
        <v/>
      </c>
      <c r="U13" s="23" t="str">
        <f>IF(OR(ISNA($M13),ISNA($N13)),"",IF(I13=VLOOKUP($A13,'Employee Database'!$A:$K,Spec!H$2,FALSE),"",VLOOKUP($A13,'Employee Database'!$A:$K,Spec!H$2,FALSE)))</f>
        <v/>
      </c>
    </row>
    <row r="14" spans="1:21" x14ac:dyDescent="0.2">
      <c r="A14" s="8">
        <v>255179</v>
      </c>
      <c r="B14" s="28" t="str">
        <f>IF(ISNA(MATCH(A14,'Employee Database'!$A$6:$A$58,0)),"Not Available",INDEX('Employee Database'!$B$6:$B$58,MATCH(A14,'Employee Database'!$A$6:$A$58,0)))</f>
        <v>Bossler, Bill</v>
      </c>
      <c r="C14" s="24">
        <f>IF(NOT(ISNA($N14)),VLOOKUP($A14,'Employee Database'!$A:$K,Spec!B$2,FALSE), IF(NOT(ISNA($M14)), VLOOKUP($A14,'Client Data'!$A:$G,Spec!B$3,FALSE),""))</f>
        <v>22281</v>
      </c>
      <c r="D14" s="24">
        <f>IF(NOT(ISNA($N14)),VLOOKUP($A14,'Employee Database'!$A:$K,Spec!C$2,FALSE), IF(NOT(ISNA($M14)), VLOOKUP($A14,'Client Data'!$A:$G,Spec!C$3,FALSE),""))</f>
        <v>40774</v>
      </c>
      <c r="E14" s="26">
        <f>IF(NOT(ISNA($M14)), VLOOKUP($A14,'Client Data'!$A:$G,Spec!D$3,FALSE), "")</f>
        <v>88000</v>
      </c>
      <c r="F14" s="26">
        <f>IF(NOT(ISNA($N14)), VLOOKUP($A14,'Employee Database'!$A:$K,Spec!E$2,FALSE), "")</f>
        <v>88000</v>
      </c>
      <c r="G14" s="26">
        <f>IF(NOT(ISNA($N14)), VLOOKUP($A14,'Employee Database'!$A:$K,Spec!F$2,FALSE), "")</f>
        <v>83800</v>
      </c>
      <c r="H14" s="24" t="str">
        <f>IF(ISNA($M14), "", IF(VLOOKUP($A14,'Client Data'!$A:$G,Spec!G$3,FALSE)="", "", VLOOKUP($A14, 'Client Data'!$A:$G,Spec!G$3,FALSE)))</f>
        <v/>
      </c>
      <c r="I14" s="24" t="str">
        <f>IF(ISNA($M14), "", IF(VLOOKUP($A14,'Client Data'!$A:$G,Spec!H$3,FALSE)="", "", VLOOKUP($A14, 'Client Data'!$A:$G,Spec!H$3,FALSE)))</f>
        <v/>
      </c>
      <c r="J14" s="20" t="str">
        <f>IF(NOT(ISNA($M14)), VLOOKUP($A14,'Client Data'!$A:$G,Spec!I$3,FALSE), "")</f>
        <v>A</v>
      </c>
      <c r="K14" s="20" t="str">
        <f>IF(NOT(ISNA($N14)), VLOOKUP($A14,'Employee Database'!$A:$K,Spec!J$2,FALSE), "")</f>
        <v>A</v>
      </c>
      <c r="M14" s="20">
        <f>MATCH(A14,'Client Data'!A:A,0)</f>
        <v>14</v>
      </c>
      <c r="N14" s="20">
        <f>MATCH(A14,'Employee Database'!A:A,0)</f>
        <v>18</v>
      </c>
      <c r="O14" t="str">
        <f t="shared" si="0"/>
        <v/>
      </c>
      <c r="P14" t="str">
        <f t="shared" si="1"/>
        <v/>
      </c>
      <c r="R14" s="23" t="str">
        <f>IF(OR(ISNA($M14),ISNA($N14)),"",IF(C14=VLOOKUP($A14,'Client Data'!$A:$G,Spec!B$3,FALSE),"",VLOOKUP($A14,'Client Data'!$A:$G,Spec!B$3,FALSE)))</f>
        <v/>
      </c>
      <c r="S14" s="23" t="str">
        <f>IF(OR(ISNA($M14),ISNA($N14)),"",IF(D14=VLOOKUP($A14,'Client Data'!$A:$G,Spec!C$3,FALSE),"",VLOOKUP($A14,'Client Data'!$A:$G,Spec!C$3,FALSE)))</f>
        <v/>
      </c>
      <c r="T14" s="23" t="str">
        <f>IF(OR(ISNA($M14),ISNA($N14)),"",IF(H14=VLOOKUP($A14,'Employee Database'!$A:$K,Spec!G$2,FALSE),"",VLOOKUP($A14,'Employee Database'!$A:$K,Spec!G$2,FALSE)))</f>
        <v/>
      </c>
      <c r="U14" s="23" t="str">
        <f>IF(OR(ISNA($M14),ISNA($N14)),"",IF(I14=VLOOKUP($A14,'Employee Database'!$A:$K,Spec!H$2,FALSE),"",VLOOKUP($A14,'Employee Database'!$A:$K,Spec!H$2,FALSE)))</f>
        <v/>
      </c>
    </row>
    <row r="15" spans="1:21" x14ac:dyDescent="0.2">
      <c r="A15" s="8">
        <v>258130</v>
      </c>
      <c r="B15" s="28" t="str">
        <f>IF(ISNA(MATCH(A15,'Employee Database'!$A$6:$A$58,0)),"Not Available",INDEX('Employee Database'!$B$6:$B$58,MATCH(A15,'Employee Database'!$A$6:$A$58,0)))</f>
        <v>Cress, Scott G</v>
      </c>
      <c r="C15" s="24">
        <f>IF(NOT(ISNA($N15)),VLOOKUP($A15,'Employee Database'!$A:$K,Spec!B$2,FALSE), IF(NOT(ISNA($M15)), VLOOKUP($A15,'Client Data'!$A:$G,Spec!B$3,FALSE),""))</f>
        <v>29124</v>
      </c>
      <c r="D15" s="24">
        <f>IF(NOT(ISNA($N15)),VLOOKUP($A15,'Employee Database'!$A:$K,Spec!C$2,FALSE), IF(NOT(ISNA($M15)), VLOOKUP($A15,'Client Data'!$A:$G,Spec!C$3,FALSE),""))</f>
        <v>29006</v>
      </c>
      <c r="E15" s="26">
        <f>IF(NOT(ISNA($M15)), VLOOKUP($A15,'Client Data'!$A:$G,Spec!D$3,FALSE), "")</f>
        <v>87000</v>
      </c>
      <c r="F15" s="26">
        <f>IF(NOT(ISNA($N15)), VLOOKUP($A15,'Employee Database'!$A:$K,Spec!E$2,FALSE), "")</f>
        <v>87000</v>
      </c>
      <c r="G15" s="26">
        <f>IF(NOT(ISNA($N15)), VLOOKUP($A15,'Employee Database'!$A:$K,Spec!F$2,FALSE), "")</f>
        <v>82900</v>
      </c>
      <c r="H15" s="24" t="str">
        <f>IF(ISNA($M15), "", IF(VLOOKUP($A15,'Client Data'!$A:$G,Spec!G$3,FALSE)="", "", VLOOKUP($A15, 'Client Data'!$A:$G,Spec!G$3,FALSE)))</f>
        <v/>
      </c>
      <c r="I15" s="24" t="str">
        <f>IF(ISNA($M15), "", IF(VLOOKUP($A15,'Client Data'!$A:$G,Spec!H$3,FALSE)="", "", VLOOKUP($A15, 'Client Data'!$A:$G,Spec!H$3,FALSE)))</f>
        <v/>
      </c>
      <c r="J15" s="20" t="str">
        <f>IF(NOT(ISNA($M15)), VLOOKUP($A15,'Client Data'!$A:$G,Spec!I$3,FALSE), "")</f>
        <v>A</v>
      </c>
      <c r="K15" s="20" t="str">
        <f>IF(NOT(ISNA($N15)), VLOOKUP($A15,'Employee Database'!$A:$K,Spec!J$2,FALSE), "")</f>
        <v>A</v>
      </c>
      <c r="M15" s="20">
        <f>MATCH(A15,'Client Data'!A:A,0)</f>
        <v>15</v>
      </c>
      <c r="N15" s="20">
        <f>MATCH(A15,'Employee Database'!A:A,0)</f>
        <v>19</v>
      </c>
      <c r="O15" t="str">
        <f t="shared" si="0"/>
        <v/>
      </c>
      <c r="P15" t="str">
        <f t="shared" si="1"/>
        <v/>
      </c>
      <c r="R15" s="23" t="str">
        <f>IF(OR(ISNA($M15),ISNA($N15)),"",IF(C15=VLOOKUP($A15,'Client Data'!$A:$G,Spec!B$3,FALSE),"",VLOOKUP($A15,'Client Data'!$A:$G,Spec!B$3,FALSE)))</f>
        <v/>
      </c>
      <c r="S15" s="23" t="str">
        <f>IF(OR(ISNA($M15),ISNA($N15)),"",IF(D15=VLOOKUP($A15,'Client Data'!$A:$G,Spec!C$3,FALSE),"",VLOOKUP($A15,'Client Data'!$A:$G,Spec!C$3,FALSE)))</f>
        <v/>
      </c>
      <c r="T15" s="23" t="str">
        <f>IF(OR(ISNA($M15),ISNA($N15)),"",IF(H15=VLOOKUP($A15,'Employee Database'!$A:$K,Spec!G$2,FALSE),"",VLOOKUP($A15,'Employee Database'!$A:$K,Spec!G$2,FALSE)))</f>
        <v/>
      </c>
      <c r="U15" s="23" t="str">
        <f>IF(OR(ISNA($M15),ISNA($N15)),"",IF(I15=VLOOKUP($A15,'Employee Database'!$A:$K,Spec!H$2,FALSE),"",VLOOKUP($A15,'Employee Database'!$A:$K,Spec!H$2,FALSE)))</f>
        <v/>
      </c>
    </row>
    <row r="16" spans="1:21" x14ac:dyDescent="0.2">
      <c r="A16" s="8">
        <v>286491</v>
      </c>
      <c r="B16" s="28" t="str">
        <f>IF(ISNA(MATCH(A16,'Employee Database'!$A$6:$A$58,0)),"Not Available",INDEX('Employee Database'!$B$6:$B$58,MATCH(A16,'Employee Database'!$A$6:$A$58,0)))</f>
        <v>Aljebreen, Patric</v>
      </c>
      <c r="C16" s="24">
        <f>IF(NOT(ISNA($N16)),VLOOKUP($A16,'Employee Database'!$A:$K,Spec!B$2,FALSE), IF(NOT(ISNA($M16)), VLOOKUP($A16,'Client Data'!$A:$G,Spec!B$3,FALSE),""))</f>
        <v>16018</v>
      </c>
      <c r="D16" s="24">
        <f>IF(NOT(ISNA($N16)),VLOOKUP($A16,'Employee Database'!$A:$K,Spec!C$2,FALSE), IF(NOT(ISNA($M16)), VLOOKUP($A16,'Client Data'!$A:$G,Spec!C$3,FALSE),""))</f>
        <v>31071</v>
      </c>
      <c r="E16" s="26">
        <f>IF(NOT(ISNA($M16)), VLOOKUP($A16,'Client Data'!$A:$G,Spec!D$3,FALSE), "")</f>
        <v>86000</v>
      </c>
      <c r="F16" s="26">
        <f>IF(NOT(ISNA($N16)), VLOOKUP($A16,'Employee Database'!$A:$K,Spec!E$2,FALSE), "")</f>
        <v>86000</v>
      </c>
      <c r="G16" s="26">
        <f>IF(NOT(ISNA($N16)), VLOOKUP($A16,'Employee Database'!$A:$K,Spec!F$2,FALSE), "")</f>
        <v>81900</v>
      </c>
      <c r="H16" s="24" t="str">
        <f>IF(ISNA($M16), "", IF(VLOOKUP($A16,'Client Data'!$A:$G,Spec!G$3,FALSE)="", "", VLOOKUP($A16, 'Client Data'!$A:$G,Spec!G$3,FALSE)))</f>
        <v/>
      </c>
      <c r="I16" s="24" t="str">
        <f>IF(ISNA($M16), "", IF(VLOOKUP($A16,'Client Data'!$A:$G,Spec!H$3,FALSE)="", "", VLOOKUP($A16, 'Client Data'!$A:$G,Spec!H$3,FALSE)))</f>
        <v/>
      </c>
      <c r="J16" s="20" t="str">
        <f>IF(NOT(ISNA($M16)), VLOOKUP($A16,'Client Data'!$A:$G,Spec!I$3,FALSE), "")</f>
        <v>A</v>
      </c>
      <c r="K16" s="20" t="str">
        <f>IF(NOT(ISNA($N16)), VLOOKUP($A16,'Employee Database'!$A:$K,Spec!J$2,FALSE), "")</f>
        <v>A</v>
      </c>
      <c r="M16" s="20">
        <f>MATCH(A16,'Client Data'!A:A,0)</f>
        <v>16</v>
      </c>
      <c r="N16" s="20">
        <f>MATCH(A16,'Employee Database'!A:A,0)</f>
        <v>20</v>
      </c>
      <c r="O16" t="str">
        <f t="shared" si="0"/>
        <v/>
      </c>
      <c r="P16" t="str">
        <f t="shared" si="1"/>
        <v/>
      </c>
      <c r="R16" s="23" t="str">
        <f>IF(OR(ISNA($M16),ISNA($N16)),"",IF(C16=VLOOKUP($A16,'Client Data'!$A:$G,Spec!B$3,FALSE),"",VLOOKUP($A16,'Client Data'!$A:$G,Spec!B$3,FALSE)))</f>
        <v/>
      </c>
      <c r="S16" s="23" t="str">
        <f>IF(OR(ISNA($M16),ISNA($N16)),"",IF(D16=VLOOKUP($A16,'Client Data'!$A:$G,Spec!C$3,FALSE),"",VLOOKUP($A16,'Client Data'!$A:$G,Spec!C$3,FALSE)))</f>
        <v/>
      </c>
      <c r="T16" s="23" t="str">
        <f>IF(OR(ISNA($M16),ISNA($N16)),"",IF(H16=VLOOKUP($A16,'Employee Database'!$A:$K,Spec!G$2,FALSE),"",VLOOKUP($A16,'Employee Database'!$A:$K,Spec!G$2,FALSE)))</f>
        <v/>
      </c>
      <c r="U16" s="23" t="str">
        <f>IF(OR(ISNA($M16),ISNA($N16)),"",IF(I16=VLOOKUP($A16,'Employee Database'!$A:$K,Spec!H$2,FALSE),"",VLOOKUP($A16,'Employee Database'!$A:$K,Spec!H$2,FALSE)))</f>
        <v/>
      </c>
    </row>
    <row r="17" spans="1:21" x14ac:dyDescent="0.2">
      <c r="A17" s="8">
        <v>290999</v>
      </c>
      <c r="B17" s="28" t="str">
        <f>IF(ISNA(MATCH(A17,'Employee Database'!$A$6:$A$58,0)),"Not Available",INDEX('Employee Database'!$B$6:$B$58,MATCH(A17,'Employee Database'!$A$6:$A$58,0)))</f>
        <v>Dehn, Diane M</v>
      </c>
      <c r="C17" s="24">
        <f>IF(NOT(ISNA($N17)),VLOOKUP($A17,'Employee Database'!$A:$K,Spec!B$2,FALSE), IF(NOT(ISNA($M17)), VLOOKUP($A17,'Client Data'!$A:$G,Spec!B$3,FALSE),""))</f>
        <v>25991</v>
      </c>
      <c r="D17" s="24">
        <f>IF(NOT(ISNA($N17)),VLOOKUP($A17,'Employee Database'!$A:$K,Spec!C$2,FALSE), IF(NOT(ISNA($M17)), VLOOKUP($A17,'Client Data'!$A:$G,Spec!C$3,FALSE),""))</f>
        <v>41600</v>
      </c>
      <c r="E17" s="26">
        <f>IF(NOT(ISNA($M17)), VLOOKUP($A17,'Client Data'!$A:$G,Spec!D$3,FALSE), "")</f>
        <v>85000</v>
      </c>
      <c r="F17" s="26">
        <f>IF(NOT(ISNA($N17)), VLOOKUP($A17,'Employee Database'!$A:$K,Spec!E$2,FALSE), "")</f>
        <v>85000</v>
      </c>
      <c r="G17" s="26">
        <f>IF(NOT(ISNA($N17)), VLOOKUP($A17,'Employee Database'!$A:$K,Spec!F$2,FALSE), "")</f>
        <v>2000</v>
      </c>
      <c r="H17" s="24" t="str">
        <f>IF(ISNA($M17), "", IF(VLOOKUP($A17,'Client Data'!$A:$G,Spec!G$3,FALSE)="", "", VLOOKUP($A17, 'Client Data'!$A:$G,Spec!G$3,FALSE)))</f>
        <v/>
      </c>
      <c r="I17" s="24" t="str">
        <f>IF(ISNA($M17), "", IF(VLOOKUP($A17,'Client Data'!$A:$G,Spec!H$3,FALSE)="", "", VLOOKUP($A17, 'Client Data'!$A:$G,Spec!H$3,FALSE)))</f>
        <v/>
      </c>
      <c r="J17" s="20" t="str">
        <f>IF(NOT(ISNA($M17)), VLOOKUP($A17,'Client Data'!$A:$G,Spec!I$3,FALSE), "")</f>
        <v>A</v>
      </c>
      <c r="K17" s="20" t="str">
        <f>IF(NOT(ISNA($N17)), VLOOKUP($A17,'Employee Database'!$A:$K,Spec!J$2,FALSE), "")</f>
        <v>A</v>
      </c>
      <c r="M17" s="20">
        <f>MATCH(A17,'Client Data'!A:A,0)</f>
        <v>17</v>
      </c>
      <c r="N17" s="20">
        <f>MATCH(A17,'Employee Database'!A:A,0)</f>
        <v>21</v>
      </c>
      <c r="O17" t="str">
        <f t="shared" si="0"/>
        <v/>
      </c>
      <c r="P17" t="str">
        <f t="shared" si="1"/>
        <v/>
      </c>
      <c r="R17" s="23" t="str">
        <f>IF(OR(ISNA($M17),ISNA($N17)),"",IF(C17=VLOOKUP($A17,'Client Data'!$A:$G,Spec!B$3,FALSE),"",VLOOKUP($A17,'Client Data'!$A:$G,Spec!B$3,FALSE)))</f>
        <v/>
      </c>
      <c r="S17" s="23" t="str">
        <f>IF(OR(ISNA($M17),ISNA($N17)),"",IF(D17=VLOOKUP($A17,'Client Data'!$A:$G,Spec!C$3,FALSE),"",VLOOKUP($A17,'Client Data'!$A:$G,Spec!C$3,FALSE)))</f>
        <v/>
      </c>
      <c r="T17" s="23" t="str">
        <f>IF(OR(ISNA($M17),ISNA($N17)),"",IF(H17=VLOOKUP($A17,'Employee Database'!$A:$K,Spec!G$2,FALSE),"",VLOOKUP($A17,'Employee Database'!$A:$K,Spec!G$2,FALSE)))</f>
        <v/>
      </c>
      <c r="U17" s="23" t="str">
        <f>IF(OR(ISNA($M17),ISNA($N17)),"",IF(I17=VLOOKUP($A17,'Employee Database'!$A:$K,Spec!H$2,FALSE),"",VLOOKUP($A17,'Employee Database'!$A:$K,Spec!H$2,FALSE)))</f>
        <v/>
      </c>
    </row>
    <row r="18" spans="1:21" x14ac:dyDescent="0.2">
      <c r="A18" s="8">
        <v>300843</v>
      </c>
      <c r="B18" s="28" t="str">
        <f>IF(ISNA(MATCH(A18,'Employee Database'!$A$6:$A$58,0)),"Not Available",INDEX('Employee Database'!$B$6:$B$58,MATCH(A18,'Employee Database'!$A$6:$A$58,0)))</f>
        <v>Baker, Eric</v>
      </c>
      <c r="C18" s="24">
        <f>IF(NOT(ISNA($N18)),VLOOKUP($A18,'Employee Database'!$A:$K,Spec!B$2,FALSE), IF(NOT(ISNA($M18)), VLOOKUP($A18,'Client Data'!$A:$G,Spec!B$3,FALSE),""))</f>
        <v>17659</v>
      </c>
      <c r="D18" s="24">
        <f>IF(NOT(ISNA($N18)),VLOOKUP($A18,'Employee Database'!$A:$K,Spec!C$2,FALSE), IF(NOT(ISNA($M18)), VLOOKUP($A18,'Client Data'!$A:$G,Spec!C$3,FALSE),""))</f>
        <v>31876</v>
      </c>
      <c r="E18" s="26">
        <f>IF(NOT(ISNA($M18)), VLOOKUP($A18,'Client Data'!$A:$G,Spec!D$3,FALSE), "")</f>
        <v>84000</v>
      </c>
      <c r="F18" s="26">
        <f>IF(NOT(ISNA($N18)), VLOOKUP($A18,'Employee Database'!$A:$K,Spec!E$2,FALSE), "")</f>
        <v>84000</v>
      </c>
      <c r="G18" s="26">
        <f>IF(NOT(ISNA($N18)), VLOOKUP($A18,'Employee Database'!$A:$K,Spec!F$2,FALSE), "")</f>
        <v>80000</v>
      </c>
      <c r="H18" s="24" t="str">
        <f>IF(ISNA($M18), "", IF(VLOOKUP($A18,'Client Data'!$A:$G,Spec!G$3,FALSE)="", "", VLOOKUP($A18, 'Client Data'!$A:$G,Spec!G$3,FALSE)))</f>
        <v/>
      </c>
      <c r="I18" s="24" t="str">
        <f>IF(ISNA($M18), "", IF(VLOOKUP($A18,'Client Data'!$A:$G,Spec!H$3,FALSE)="", "", VLOOKUP($A18, 'Client Data'!$A:$G,Spec!H$3,FALSE)))</f>
        <v/>
      </c>
      <c r="J18" s="20" t="str">
        <f>IF(NOT(ISNA($M18)), VLOOKUP($A18,'Client Data'!$A:$G,Spec!I$3,FALSE), "")</f>
        <v>A</v>
      </c>
      <c r="K18" s="20" t="str">
        <f>IF(NOT(ISNA($N18)), VLOOKUP($A18,'Employee Database'!$A:$K,Spec!J$2,FALSE), "")</f>
        <v>A</v>
      </c>
      <c r="M18" s="20">
        <f>MATCH(A18,'Client Data'!A:A,0)</f>
        <v>18</v>
      </c>
      <c r="N18" s="20">
        <f>MATCH(A18,'Employee Database'!A:A,0)</f>
        <v>22</v>
      </c>
      <c r="O18" t="str">
        <f t="shared" si="0"/>
        <v/>
      </c>
      <c r="P18" t="str">
        <f t="shared" si="1"/>
        <v/>
      </c>
      <c r="R18" s="23" t="str">
        <f>IF(OR(ISNA($M18),ISNA($N18)),"",IF(C18=VLOOKUP($A18,'Client Data'!$A:$G,Spec!B$3,FALSE),"",VLOOKUP($A18,'Client Data'!$A:$G,Spec!B$3,FALSE)))</f>
        <v/>
      </c>
      <c r="S18" s="23" t="str">
        <f>IF(OR(ISNA($M18),ISNA($N18)),"",IF(D18=VLOOKUP($A18,'Client Data'!$A:$G,Spec!C$3,FALSE),"",VLOOKUP($A18,'Client Data'!$A:$G,Spec!C$3,FALSE)))</f>
        <v/>
      </c>
      <c r="T18" s="23" t="str">
        <f>IF(OR(ISNA($M18),ISNA($N18)),"",IF(H18=VLOOKUP($A18,'Employee Database'!$A:$K,Spec!G$2,FALSE),"",VLOOKUP($A18,'Employee Database'!$A:$K,Spec!G$2,FALSE)))</f>
        <v/>
      </c>
      <c r="U18" s="23" t="str">
        <f>IF(OR(ISNA($M18),ISNA($N18)),"",IF(I18=VLOOKUP($A18,'Employee Database'!$A:$K,Spec!H$2,FALSE),"",VLOOKUP($A18,'Employee Database'!$A:$K,Spec!H$2,FALSE)))</f>
        <v/>
      </c>
    </row>
    <row r="19" spans="1:21" x14ac:dyDescent="0.2">
      <c r="A19" s="8">
        <v>302798</v>
      </c>
      <c r="B19" s="28" t="str">
        <f>IF(ISNA(MATCH(A19,'Employee Database'!$A$6:$A$58,0)),"Not Available",INDEX('Employee Database'!$B$6:$B$58,MATCH(A19,'Employee Database'!$A$6:$A$58,0)))</f>
        <v>Asche, Ryan</v>
      </c>
      <c r="C19" s="24">
        <f>IF(NOT(ISNA($N19)),VLOOKUP($A19,'Employee Database'!$A:$K,Spec!B$2,FALSE), IF(NOT(ISNA($M19)), VLOOKUP($A19,'Client Data'!$A:$G,Spec!B$3,FALSE),""))</f>
        <v>28924</v>
      </c>
      <c r="D19" s="24">
        <f>IF(NOT(ISNA($N19)),VLOOKUP($A19,'Employee Database'!$A:$K,Spec!C$2,FALSE), IF(NOT(ISNA($M19)), VLOOKUP($A19,'Client Data'!$A:$G,Spec!C$3,FALSE),""))</f>
        <v>35009</v>
      </c>
      <c r="E19" s="26">
        <f>IF(NOT(ISNA($M19)), VLOOKUP($A19,'Client Data'!$A:$G,Spec!D$3,FALSE), "")</f>
        <v>86000</v>
      </c>
      <c r="F19" s="26">
        <f>IF(NOT(ISNA($N19)), VLOOKUP($A19,'Employee Database'!$A:$K,Spec!E$2,FALSE), "")</f>
        <v>300000</v>
      </c>
      <c r="G19" s="26">
        <f>IF(NOT(ISNA($N19)), VLOOKUP($A19,'Employee Database'!$A:$K,Spec!F$2,FALSE), "")</f>
        <v>276000</v>
      </c>
      <c r="H19" s="24" t="str">
        <f>IF(ISNA($M19), "", IF(VLOOKUP($A19,'Client Data'!$A:$G,Spec!G$3,FALSE)="", "", VLOOKUP($A19, 'Client Data'!$A:$G,Spec!G$3,FALSE)))</f>
        <v/>
      </c>
      <c r="I19" s="24" t="str">
        <f>IF(ISNA($M19), "", IF(VLOOKUP($A19,'Client Data'!$A:$G,Spec!H$3,FALSE)="", "", VLOOKUP($A19, 'Client Data'!$A:$G,Spec!H$3,FALSE)))</f>
        <v/>
      </c>
      <c r="J19" s="20" t="str">
        <f>IF(NOT(ISNA($M19)), VLOOKUP($A19,'Client Data'!$A:$G,Spec!I$3,FALSE), "")</f>
        <v>A</v>
      </c>
      <c r="K19" s="20" t="str">
        <f>IF(NOT(ISNA($N19)), VLOOKUP($A19,'Employee Database'!$A:$K,Spec!J$2,FALSE), "")</f>
        <v>A</v>
      </c>
      <c r="M19" s="20">
        <f>MATCH(A19,'Client Data'!A:A,0)</f>
        <v>19</v>
      </c>
      <c r="N19" s="20">
        <f>MATCH(A19,'Employee Database'!A:A,0)</f>
        <v>23</v>
      </c>
      <c r="O19" t="str">
        <f t="shared" si="0"/>
        <v/>
      </c>
      <c r="P19" t="str">
        <f t="shared" si="1"/>
        <v/>
      </c>
      <c r="R19" s="23" t="str">
        <f>IF(OR(ISNA($M19),ISNA($N19)),"",IF(C19=VLOOKUP($A19,'Client Data'!$A:$G,Spec!B$3,FALSE),"",VLOOKUP($A19,'Client Data'!$A:$G,Spec!B$3,FALSE)))</f>
        <v/>
      </c>
      <c r="S19" s="23" t="str">
        <f>IF(OR(ISNA($M19),ISNA($N19)),"",IF(D19=VLOOKUP($A19,'Client Data'!$A:$G,Spec!C$3,FALSE),"",VLOOKUP($A19,'Client Data'!$A:$G,Spec!C$3,FALSE)))</f>
        <v/>
      </c>
      <c r="T19" s="23" t="str">
        <f>IF(OR(ISNA($M19),ISNA($N19)),"",IF(H19=VLOOKUP($A19,'Employee Database'!$A:$K,Spec!G$2,FALSE),"",VLOOKUP($A19,'Employee Database'!$A:$K,Spec!G$2,FALSE)))</f>
        <v/>
      </c>
      <c r="U19" s="23" t="str">
        <f>IF(OR(ISNA($M19),ISNA($N19)),"",IF(I19=VLOOKUP($A19,'Employee Database'!$A:$K,Spec!H$2,FALSE),"",VLOOKUP($A19,'Employee Database'!$A:$K,Spec!H$2,FALSE)))</f>
        <v/>
      </c>
    </row>
    <row r="20" spans="1:21" x14ac:dyDescent="0.2">
      <c r="A20" s="8">
        <v>310267</v>
      </c>
      <c r="B20" s="28" t="str">
        <f>IF(ISNA(MATCH(A20,'Employee Database'!$A$6:$A$58,0)),"Not Available",INDEX('Employee Database'!$B$6:$B$58,MATCH(A20,'Employee Database'!$A$6:$A$58,0)))</f>
        <v>Chen, Jerome F</v>
      </c>
      <c r="C20" s="24">
        <f>IF(NOT(ISNA($N20)),VLOOKUP($A20,'Employee Database'!$A:$K,Spec!B$2,FALSE), IF(NOT(ISNA($M20)), VLOOKUP($A20,'Client Data'!$A:$G,Spec!B$3,FALSE),""))</f>
        <v>23532</v>
      </c>
      <c r="D20" s="24">
        <f>IF(NOT(ISNA($N20)),VLOOKUP($A20,'Employee Database'!$A:$K,Spec!C$2,FALSE), IF(NOT(ISNA($M20)), VLOOKUP($A20,'Client Data'!$A:$G,Spec!C$3,FALSE),""))</f>
        <v>38201</v>
      </c>
      <c r="E20" s="26">
        <f>IF(NOT(ISNA($M20)), VLOOKUP($A20,'Client Data'!$A:$G,Spec!D$3,FALSE), "")</f>
        <v>86000</v>
      </c>
      <c r="F20" s="26">
        <f>IF(NOT(ISNA($N20)), VLOOKUP($A20,'Employee Database'!$A:$K,Spec!E$2,FALSE), "")</f>
        <v>118800</v>
      </c>
      <c r="G20" s="26">
        <f>IF(NOT(ISNA($N20)), VLOOKUP($A20,'Employee Database'!$A:$K,Spec!F$2,FALSE), "")</f>
        <v>113100</v>
      </c>
      <c r="H20" s="24" t="str">
        <f>IF(ISNA($M20), "", IF(VLOOKUP($A20,'Client Data'!$A:$G,Spec!G$3,FALSE)="", "", VLOOKUP($A20, 'Client Data'!$A:$G,Spec!G$3,FALSE)))</f>
        <v/>
      </c>
      <c r="I20" s="24" t="str">
        <f>IF(ISNA($M20), "", IF(VLOOKUP($A20,'Client Data'!$A:$G,Spec!H$3,FALSE)="", "", VLOOKUP($A20, 'Client Data'!$A:$G,Spec!H$3,FALSE)))</f>
        <v/>
      </c>
      <c r="J20" s="20" t="str">
        <f>IF(NOT(ISNA($M20)), VLOOKUP($A20,'Client Data'!$A:$G,Spec!I$3,FALSE), "")</f>
        <v>A</v>
      </c>
      <c r="K20" s="20" t="str">
        <f>IF(NOT(ISNA($N20)), VLOOKUP($A20,'Employee Database'!$A:$K,Spec!J$2,FALSE), "")</f>
        <v>A</v>
      </c>
      <c r="M20" s="20">
        <f>MATCH(A20,'Client Data'!A:A,0)</f>
        <v>20</v>
      </c>
      <c r="N20" s="20">
        <f>MATCH(A20,'Employee Database'!A:A,0)</f>
        <v>24</v>
      </c>
      <c r="O20" t="str">
        <f t="shared" si="0"/>
        <v/>
      </c>
      <c r="P20" t="str">
        <f t="shared" si="1"/>
        <v/>
      </c>
      <c r="R20" s="23" t="str">
        <f>IF(OR(ISNA($M20),ISNA($N20)),"",IF(C20=VLOOKUP($A20,'Client Data'!$A:$G,Spec!B$3,FALSE),"",VLOOKUP($A20,'Client Data'!$A:$G,Spec!B$3,FALSE)))</f>
        <v/>
      </c>
      <c r="S20" s="23" t="str">
        <f>IF(OR(ISNA($M20),ISNA($N20)),"",IF(D20=VLOOKUP($A20,'Client Data'!$A:$G,Spec!C$3,FALSE),"",VLOOKUP($A20,'Client Data'!$A:$G,Spec!C$3,FALSE)))</f>
        <v/>
      </c>
      <c r="T20" s="23" t="str">
        <f>IF(OR(ISNA($M20),ISNA($N20)),"",IF(H20=VLOOKUP($A20,'Employee Database'!$A:$K,Spec!G$2,FALSE),"",VLOOKUP($A20,'Employee Database'!$A:$K,Spec!G$2,FALSE)))</f>
        <v/>
      </c>
      <c r="U20" s="23" t="str">
        <f>IF(OR(ISNA($M20),ISNA($N20)),"",IF(I20=VLOOKUP($A20,'Employee Database'!$A:$K,Spec!H$2,FALSE),"",VLOOKUP($A20,'Employee Database'!$A:$K,Spec!H$2,FALSE)))</f>
        <v/>
      </c>
    </row>
    <row r="21" spans="1:21" x14ac:dyDescent="0.2">
      <c r="A21" s="8">
        <v>313615</v>
      </c>
      <c r="B21" s="28" t="str">
        <f>IF(ISNA(MATCH(A21,'Employee Database'!$A$6:$A$58,0)),"Not Available",INDEX('Employee Database'!$B$6:$B$58,MATCH(A21,'Employee Database'!$A$6:$A$58,0)))</f>
        <v>Gist, Tracy A</v>
      </c>
      <c r="C21" s="24">
        <f>IF(NOT(ISNA($N21)),VLOOKUP($A21,'Employee Database'!$A:$K,Spec!B$2,FALSE), IF(NOT(ISNA($M21)), VLOOKUP($A21,'Client Data'!$A:$G,Spec!B$3,FALSE),""))</f>
        <v>34187</v>
      </c>
      <c r="D21" s="24">
        <f>IF(NOT(ISNA($N21)),VLOOKUP($A21,'Employee Database'!$A:$K,Spec!C$2,FALSE), IF(NOT(ISNA($M21)), VLOOKUP($A21,'Client Data'!$A:$G,Spec!C$3,FALSE),""))</f>
        <v>38175</v>
      </c>
      <c r="E21" s="26">
        <f>IF(NOT(ISNA($M21)), VLOOKUP($A21,'Client Data'!$A:$G,Spec!D$3,FALSE), "")</f>
        <v>87000</v>
      </c>
      <c r="F21" s="26">
        <f>IF(NOT(ISNA($N21)), VLOOKUP($A21,'Employee Database'!$A:$K,Spec!E$2,FALSE), "")</f>
        <v>117600</v>
      </c>
      <c r="G21" s="26">
        <f>IF(NOT(ISNA($N21)), VLOOKUP($A21,'Employee Database'!$A:$K,Spec!F$2,FALSE), "")</f>
        <v>112000</v>
      </c>
      <c r="H21" s="24" t="str">
        <f>IF(ISNA($M21), "", IF(VLOOKUP($A21,'Client Data'!$A:$G,Spec!G$3,FALSE)="", "", VLOOKUP($A21, 'Client Data'!$A:$G,Spec!G$3,FALSE)))</f>
        <v/>
      </c>
      <c r="I21" s="24" t="str">
        <f>IF(ISNA($M21), "", IF(VLOOKUP($A21,'Client Data'!$A:$G,Spec!H$3,FALSE)="", "", VLOOKUP($A21, 'Client Data'!$A:$G,Spec!H$3,FALSE)))</f>
        <v/>
      </c>
      <c r="J21" s="20" t="str">
        <f>IF(NOT(ISNA($M21)), VLOOKUP($A21,'Client Data'!$A:$G,Spec!I$3,FALSE), "")</f>
        <v>A</v>
      </c>
      <c r="K21" s="20" t="str">
        <f>IF(NOT(ISNA($N21)), VLOOKUP($A21,'Employee Database'!$A:$K,Spec!J$2,FALSE), "")</f>
        <v>A</v>
      </c>
      <c r="M21" s="20">
        <f>MATCH(A21,'Client Data'!A:A,0)</f>
        <v>21</v>
      </c>
      <c r="N21" s="20">
        <f>MATCH(A21,'Employee Database'!A:A,0)</f>
        <v>25</v>
      </c>
      <c r="O21" t="str">
        <f t="shared" si="0"/>
        <v/>
      </c>
      <c r="P21" t="str">
        <f t="shared" si="1"/>
        <v/>
      </c>
      <c r="R21" s="23" t="str">
        <f>IF(OR(ISNA($M21),ISNA($N21)),"",IF(C21=VLOOKUP($A21,'Client Data'!$A:$G,Spec!B$3,FALSE),"",VLOOKUP($A21,'Client Data'!$A:$G,Spec!B$3,FALSE)))</f>
        <v/>
      </c>
      <c r="S21" s="23" t="str">
        <f>IF(OR(ISNA($M21),ISNA($N21)),"",IF(D21=VLOOKUP($A21,'Client Data'!$A:$G,Spec!C$3,FALSE),"",VLOOKUP($A21,'Client Data'!$A:$G,Spec!C$3,FALSE)))</f>
        <v/>
      </c>
      <c r="T21" s="23" t="str">
        <f>IF(OR(ISNA($M21),ISNA($N21)),"",IF(H21=VLOOKUP($A21,'Employee Database'!$A:$K,Spec!G$2,FALSE),"",VLOOKUP($A21,'Employee Database'!$A:$K,Spec!G$2,FALSE)))</f>
        <v/>
      </c>
      <c r="U21" s="23" t="str">
        <f>IF(OR(ISNA($M21),ISNA($N21)),"",IF(I21=VLOOKUP($A21,'Employee Database'!$A:$K,Spec!H$2,FALSE),"",VLOOKUP($A21,'Employee Database'!$A:$K,Spec!H$2,FALSE)))</f>
        <v/>
      </c>
    </row>
    <row r="22" spans="1:21" x14ac:dyDescent="0.2">
      <c r="A22" s="8">
        <v>320387</v>
      </c>
      <c r="B22" s="28" t="str">
        <f>IF(ISNA(MATCH(A22,'Employee Database'!$A$6:$A$58,0)),"Not Available",INDEX('Employee Database'!$B$6:$B$58,MATCH(A22,'Employee Database'!$A$6:$A$58,0)))</f>
        <v>Carlson, Jeremy</v>
      </c>
      <c r="C22" s="24">
        <f>IF(NOT(ISNA($N22)),VLOOKUP($A22,'Employee Database'!$A:$K,Spec!B$2,FALSE), IF(NOT(ISNA($M22)), VLOOKUP($A22,'Client Data'!$A:$G,Spec!B$3,FALSE),""))</f>
        <v>25791</v>
      </c>
      <c r="D22" s="24">
        <f>IF(NOT(ISNA($N22)),VLOOKUP($A22,'Employee Database'!$A:$K,Spec!C$2,FALSE), IF(NOT(ISNA($M22)), VLOOKUP($A22,'Client Data'!$A:$G,Spec!C$3,FALSE),""))</f>
        <v>35220</v>
      </c>
      <c r="E22" s="26">
        <f>IF(NOT(ISNA($M22)), VLOOKUP($A22,'Client Data'!$A:$G,Spec!D$3,FALSE), "")</f>
        <v>76000</v>
      </c>
      <c r="F22" s="26">
        <f>IF(NOT(ISNA($N22)), VLOOKUP($A22,'Employee Database'!$A:$K,Spec!E$2,FALSE), "")</f>
        <v>116400</v>
      </c>
      <c r="G22" s="26">
        <f>IF(NOT(ISNA($N22)), VLOOKUP($A22,'Employee Database'!$A:$K,Spec!F$2,FALSE), "")</f>
        <v>110900</v>
      </c>
      <c r="H22" s="24" t="str">
        <f>IF(ISNA($M22), "", IF(VLOOKUP($A22,'Client Data'!$A:$G,Spec!G$3,FALSE)="", "", VLOOKUP($A22, 'Client Data'!$A:$G,Spec!G$3,FALSE)))</f>
        <v/>
      </c>
      <c r="I22" s="24" t="str">
        <f>IF(ISNA($M22), "", IF(VLOOKUP($A22,'Client Data'!$A:$G,Spec!H$3,FALSE)="", "", VLOOKUP($A22, 'Client Data'!$A:$G,Spec!H$3,FALSE)))</f>
        <v/>
      </c>
      <c r="J22" s="20" t="str">
        <f>IF(NOT(ISNA($M22)), VLOOKUP($A22,'Client Data'!$A:$G,Spec!I$3,FALSE), "")</f>
        <v>A</v>
      </c>
      <c r="K22" s="20" t="str">
        <f>IF(NOT(ISNA($N22)), VLOOKUP($A22,'Employee Database'!$A:$K,Spec!J$2,FALSE), "")</f>
        <v>A</v>
      </c>
      <c r="M22" s="20">
        <f>MATCH(A22,'Client Data'!A:A,0)</f>
        <v>22</v>
      </c>
      <c r="N22" s="20">
        <f>MATCH(A22,'Employee Database'!A:A,0)</f>
        <v>26</v>
      </c>
      <c r="O22" t="str">
        <f t="shared" si="0"/>
        <v/>
      </c>
      <c r="P22" t="str">
        <f t="shared" si="1"/>
        <v/>
      </c>
      <c r="R22" s="23" t="str">
        <f>IF(OR(ISNA($M22),ISNA($N22)),"",IF(C22=VLOOKUP($A22,'Client Data'!$A:$G,Spec!B$3,FALSE),"",VLOOKUP($A22,'Client Data'!$A:$G,Spec!B$3,FALSE)))</f>
        <v/>
      </c>
      <c r="S22" s="23" t="str">
        <f>IF(OR(ISNA($M22),ISNA($N22)),"",IF(D22=VLOOKUP($A22,'Client Data'!$A:$G,Spec!C$3,FALSE),"",VLOOKUP($A22,'Client Data'!$A:$G,Spec!C$3,FALSE)))</f>
        <v/>
      </c>
      <c r="T22" s="23" t="str">
        <f>IF(OR(ISNA($M22),ISNA($N22)),"",IF(H22=VLOOKUP($A22,'Employee Database'!$A:$K,Spec!G$2,FALSE),"",VLOOKUP($A22,'Employee Database'!$A:$K,Spec!G$2,FALSE)))</f>
        <v/>
      </c>
      <c r="U22" s="23" t="str">
        <f>IF(OR(ISNA($M22),ISNA($N22)),"",IF(I22=VLOOKUP($A22,'Employee Database'!$A:$K,Spec!H$2,FALSE),"",VLOOKUP($A22,'Employee Database'!$A:$K,Spec!H$2,FALSE)))</f>
        <v/>
      </c>
    </row>
    <row r="23" spans="1:21" x14ac:dyDescent="0.2">
      <c r="A23" s="8">
        <v>340436</v>
      </c>
      <c r="B23" s="28" t="str">
        <f>IF(ISNA(MATCH(A23,'Employee Database'!$A$6:$A$58,0)),"Not Available",INDEX('Employee Database'!$B$6:$B$58,MATCH(A23,'Employee Database'!$A$6:$A$58,0)))</f>
        <v>Duvall, DeeAnn S</v>
      </c>
      <c r="C23" s="24">
        <f>IF(NOT(ISNA($N23)),VLOOKUP($A23,'Employee Database'!$A:$K,Spec!B$2,FALSE), IF(NOT(ISNA($M23)), VLOOKUP($A23,'Client Data'!$A:$G,Spec!B$3,FALSE),""))</f>
        <v>27791</v>
      </c>
      <c r="D23" s="24">
        <f>IF(NOT(ISNA($N23)),VLOOKUP($A23,'Employee Database'!$A:$K,Spec!C$2,FALSE), IF(NOT(ISNA($M23)), VLOOKUP($A23,'Client Data'!$A:$G,Spec!C$3,FALSE),""))</f>
        <v>36129</v>
      </c>
      <c r="E23" s="26">
        <f>IF(NOT(ISNA($M23)), VLOOKUP($A23,'Client Data'!$A:$G,Spec!D$3,FALSE), "")</f>
        <v>75000</v>
      </c>
      <c r="F23" s="26">
        <f>IF(NOT(ISNA($N23)), VLOOKUP($A23,'Employee Database'!$A:$K,Spec!E$2,FALSE), "")</f>
        <v>115200</v>
      </c>
      <c r="G23" s="26">
        <f>IF(NOT(ISNA($N23)), VLOOKUP($A23,'Employee Database'!$A:$K,Spec!F$2,FALSE), "")</f>
        <v>109700</v>
      </c>
      <c r="H23" s="24" t="str">
        <f>IF(ISNA($M23), "", IF(VLOOKUP($A23,'Client Data'!$A:$G,Spec!G$3,FALSE)="", "", VLOOKUP($A23, 'Client Data'!$A:$G,Spec!G$3,FALSE)))</f>
        <v/>
      </c>
      <c r="I23" s="24" t="str">
        <f>IF(ISNA($M23), "", IF(VLOOKUP($A23,'Client Data'!$A:$G,Spec!H$3,FALSE)="", "", VLOOKUP($A23, 'Client Data'!$A:$G,Spec!H$3,FALSE)))</f>
        <v/>
      </c>
      <c r="J23" s="20" t="str">
        <f>IF(NOT(ISNA($M23)), VLOOKUP($A23,'Client Data'!$A:$G,Spec!I$3,FALSE), "")</f>
        <v>A</v>
      </c>
      <c r="K23" s="20" t="str">
        <f>IF(NOT(ISNA($N23)), VLOOKUP($A23,'Employee Database'!$A:$K,Spec!J$2,FALSE), "")</f>
        <v>A</v>
      </c>
      <c r="M23" s="20">
        <f>MATCH(A23,'Client Data'!A:A,0)</f>
        <v>23</v>
      </c>
      <c r="N23" s="20">
        <f>MATCH(A23,'Employee Database'!A:A,0)</f>
        <v>27</v>
      </c>
      <c r="O23" t="str">
        <f t="shared" si="0"/>
        <v/>
      </c>
      <c r="P23" t="str">
        <f t="shared" si="1"/>
        <v/>
      </c>
      <c r="R23" s="23">
        <f>IF(OR(ISNA($M23),ISNA($N23)),"",IF(C23=VLOOKUP($A23,'Client Data'!$A:$G,Spec!B$3,FALSE),"",VLOOKUP($A23,'Client Data'!$A:$G,Spec!B$3,FALSE)))</f>
        <v>27801</v>
      </c>
      <c r="S23" s="23" t="str">
        <f>IF(OR(ISNA($M23),ISNA($N23)),"",IF(D23=VLOOKUP($A23,'Client Data'!$A:$G,Spec!C$3,FALSE),"",VLOOKUP($A23,'Client Data'!$A:$G,Spec!C$3,FALSE)))</f>
        <v/>
      </c>
      <c r="T23" s="23" t="str">
        <f>IF(OR(ISNA($M23),ISNA($N23)),"",IF(H23=VLOOKUP($A23,'Employee Database'!$A:$K,Spec!G$2,FALSE),"",VLOOKUP($A23,'Employee Database'!$A:$K,Spec!G$2,FALSE)))</f>
        <v/>
      </c>
      <c r="U23" s="23" t="str">
        <f>IF(OR(ISNA($M23),ISNA($N23)),"",IF(I23=VLOOKUP($A23,'Employee Database'!$A:$K,Spec!H$2,FALSE),"",VLOOKUP($A23,'Employee Database'!$A:$K,Spec!H$2,FALSE)))</f>
        <v/>
      </c>
    </row>
    <row r="24" spans="1:21" x14ac:dyDescent="0.2">
      <c r="A24" s="8">
        <v>345767</v>
      </c>
      <c r="B24" s="28" t="str">
        <f>IF(ISNA(MATCH(A24,'Employee Database'!$A$6:$A$58,0)),"Not Available",INDEX('Employee Database'!$B$6:$B$58,MATCH(A24,'Employee Database'!$A$6:$A$58,0)))</f>
        <v>Gall, Susann K</v>
      </c>
      <c r="C24" s="24">
        <f>IF(NOT(ISNA($N24)),VLOOKUP($A24,'Employee Database'!$A:$K,Spec!B$2,FALSE), IF(NOT(ISNA($M24)), VLOOKUP($A24,'Client Data'!$A:$G,Spec!B$3,FALSE),""))</f>
        <v>24217</v>
      </c>
      <c r="D24" s="24">
        <f>IF(NOT(ISNA($N24)),VLOOKUP($A24,'Employee Database'!$A:$K,Spec!C$2,FALSE), IF(NOT(ISNA($M24)), VLOOKUP($A24,'Client Data'!$A:$G,Spec!C$3,FALSE),""))</f>
        <v>35067</v>
      </c>
      <c r="E24" s="26">
        <f>IF(NOT(ISNA($M24)), VLOOKUP($A24,'Client Data'!$A:$G,Spec!D$3,FALSE), "")</f>
        <v>86000</v>
      </c>
      <c r="F24" s="26">
        <f>IF(NOT(ISNA($N24)), VLOOKUP($A24,'Employee Database'!$A:$K,Spec!E$2,FALSE), "")</f>
        <v>114000</v>
      </c>
      <c r="G24" s="26">
        <f>IF(NOT(ISNA($N24)), VLOOKUP($A24,'Employee Database'!$A:$K,Spec!F$2,FALSE), "")</f>
        <v>108600</v>
      </c>
      <c r="H24" s="24" t="str">
        <f>IF(ISNA($M24), "", IF(VLOOKUP($A24,'Client Data'!$A:$G,Spec!G$3,FALSE)="", "", VLOOKUP($A24, 'Client Data'!$A:$G,Spec!G$3,FALSE)))</f>
        <v/>
      </c>
      <c r="I24" s="24" t="str">
        <f>IF(ISNA($M24), "", IF(VLOOKUP($A24,'Client Data'!$A:$G,Spec!H$3,FALSE)="", "", VLOOKUP($A24, 'Client Data'!$A:$G,Spec!H$3,FALSE)))</f>
        <v/>
      </c>
      <c r="J24" s="20" t="str">
        <f>IF(NOT(ISNA($M24)), VLOOKUP($A24,'Client Data'!$A:$G,Spec!I$3,FALSE), "")</f>
        <v>A</v>
      </c>
      <c r="K24" s="20" t="str">
        <f>IF(NOT(ISNA($N24)), VLOOKUP($A24,'Employee Database'!$A:$K,Spec!J$2,FALSE), "")</f>
        <v>A</v>
      </c>
      <c r="M24" s="20">
        <f>MATCH(A24,'Client Data'!A:A,0)</f>
        <v>24</v>
      </c>
      <c r="N24" s="20">
        <f>MATCH(A24,'Employee Database'!A:A,0)</f>
        <v>28</v>
      </c>
      <c r="O24" t="str">
        <f t="shared" si="0"/>
        <v/>
      </c>
      <c r="P24" t="str">
        <f t="shared" si="1"/>
        <v/>
      </c>
      <c r="R24" s="23" t="str">
        <f>IF(OR(ISNA($M24),ISNA($N24)),"",IF(C24=VLOOKUP($A24,'Client Data'!$A:$G,Spec!B$3,FALSE),"",VLOOKUP($A24,'Client Data'!$A:$G,Spec!B$3,FALSE)))</f>
        <v/>
      </c>
      <c r="S24" s="23" t="str">
        <f>IF(OR(ISNA($M24),ISNA($N24)),"",IF(D24=VLOOKUP($A24,'Client Data'!$A:$G,Spec!C$3,FALSE),"",VLOOKUP($A24,'Client Data'!$A:$G,Spec!C$3,FALSE)))</f>
        <v/>
      </c>
      <c r="T24" s="23" t="str">
        <f>IF(OR(ISNA($M24),ISNA($N24)),"",IF(H24=VLOOKUP($A24,'Employee Database'!$A:$K,Spec!G$2,FALSE),"",VLOOKUP($A24,'Employee Database'!$A:$K,Spec!G$2,FALSE)))</f>
        <v/>
      </c>
      <c r="U24" s="23" t="str">
        <f>IF(OR(ISNA($M24),ISNA($N24)),"",IF(I24=VLOOKUP($A24,'Employee Database'!$A:$K,Spec!H$2,FALSE),"",VLOOKUP($A24,'Employee Database'!$A:$K,Spec!H$2,FALSE)))</f>
        <v/>
      </c>
    </row>
    <row r="25" spans="1:21" x14ac:dyDescent="0.2">
      <c r="A25" s="8">
        <v>352244</v>
      </c>
      <c r="B25" s="28" t="str">
        <f>IF(ISNA(MATCH(A25,'Employee Database'!$A$6:$A$58,0)),"Not Available",INDEX('Employee Database'!$B$6:$B$58,MATCH(A25,'Employee Database'!$A$6:$A$58,0)))</f>
        <v>Harvestine, Susan R</v>
      </c>
      <c r="C25" s="24">
        <f>IF(NOT(ISNA($N25)),VLOOKUP($A25,'Employee Database'!$A:$K,Spec!B$2,FALSE), IF(NOT(ISNA($M25)), VLOOKUP($A25,'Client Data'!$A:$G,Spec!B$3,FALSE),""))</f>
        <v>21370</v>
      </c>
      <c r="D25" s="24">
        <f>IF(NOT(ISNA($N25)),VLOOKUP($A25,'Employee Database'!$A:$K,Spec!C$2,FALSE), IF(NOT(ISNA($M25)), VLOOKUP($A25,'Client Data'!$A:$G,Spec!C$3,FALSE),""))</f>
        <v>41429</v>
      </c>
      <c r="E25" s="26">
        <f>IF(NOT(ISNA($M25)), VLOOKUP($A25,'Client Data'!$A:$G,Spec!D$3,FALSE), "")</f>
        <v>96000</v>
      </c>
      <c r="F25" s="26">
        <f>IF(NOT(ISNA($N25)), VLOOKUP($A25,'Employee Database'!$A:$K,Spec!E$2,FALSE), "")</f>
        <v>384000</v>
      </c>
      <c r="G25" s="26">
        <f>IF(NOT(ISNA($N25)), VLOOKUP($A25,'Employee Database'!$A:$K,Spec!F$2,FALSE), "")</f>
        <v>38400</v>
      </c>
      <c r="H25" s="24" t="str">
        <f>IF(ISNA($M25), "", IF(VLOOKUP($A25,'Client Data'!$A:$G,Spec!G$3,FALSE)="", "", VLOOKUP($A25, 'Client Data'!$A:$G,Spec!G$3,FALSE)))</f>
        <v/>
      </c>
      <c r="I25" s="24" t="str">
        <f>IF(ISNA($M25), "", IF(VLOOKUP($A25,'Client Data'!$A:$G,Spec!H$3,FALSE)="", "", VLOOKUP($A25, 'Client Data'!$A:$G,Spec!H$3,FALSE)))</f>
        <v/>
      </c>
      <c r="J25" s="20" t="str">
        <f>IF(NOT(ISNA($M25)), VLOOKUP($A25,'Client Data'!$A:$G,Spec!I$3,FALSE), "")</f>
        <v>A</v>
      </c>
      <c r="K25" s="20" t="str">
        <f>IF(NOT(ISNA($N25)), VLOOKUP($A25,'Employee Database'!$A:$K,Spec!J$2,FALSE), "")</f>
        <v>A</v>
      </c>
      <c r="M25" s="20">
        <f>MATCH(A25,'Client Data'!A:A,0)</f>
        <v>25</v>
      </c>
      <c r="N25" s="20">
        <f>MATCH(A25,'Employee Database'!A:A,0)</f>
        <v>29</v>
      </c>
      <c r="O25" t="str">
        <f t="shared" si="0"/>
        <v/>
      </c>
      <c r="P25" t="str">
        <f t="shared" si="1"/>
        <v/>
      </c>
      <c r="R25" s="23" t="str">
        <f>IF(OR(ISNA($M25),ISNA($N25)),"",IF(C25=VLOOKUP($A25,'Client Data'!$A:$G,Spec!B$3,FALSE),"",VLOOKUP($A25,'Client Data'!$A:$G,Spec!B$3,FALSE)))</f>
        <v/>
      </c>
      <c r="S25" s="23">
        <f>IF(OR(ISNA($M25),ISNA($N25)),"",IF(D25=VLOOKUP($A25,'Client Data'!$A:$G,Spec!C$3,FALSE),"",VLOOKUP($A25,'Client Data'!$A:$G,Spec!C$3,FALSE)))</f>
        <v>45081</v>
      </c>
      <c r="T25" s="23" t="str">
        <f>IF(OR(ISNA($M25),ISNA($N25)),"",IF(H25=VLOOKUP($A25,'Employee Database'!$A:$K,Spec!G$2,FALSE),"",VLOOKUP($A25,'Employee Database'!$A:$K,Spec!G$2,FALSE)))</f>
        <v/>
      </c>
      <c r="U25" s="23" t="str">
        <f>IF(OR(ISNA($M25),ISNA($N25)),"",IF(I25=VLOOKUP($A25,'Employee Database'!$A:$K,Spec!H$2,FALSE),"",VLOOKUP($A25,'Employee Database'!$A:$K,Spec!H$2,FALSE)))</f>
        <v/>
      </c>
    </row>
    <row r="26" spans="1:21" x14ac:dyDescent="0.2">
      <c r="A26" s="8">
        <v>357982</v>
      </c>
      <c r="B26" s="28" t="str">
        <f>IF(ISNA(MATCH(A26,'Employee Database'!$A$6:$A$58,0)),"Not Available",INDEX('Employee Database'!$B$6:$B$58,MATCH(A26,'Employee Database'!$A$6:$A$58,0)))</f>
        <v>Harada, Richard G</v>
      </c>
      <c r="C26" s="24">
        <f>IF(NOT(ISNA($N26)),VLOOKUP($A26,'Employee Database'!$A:$K,Spec!B$2,FALSE), IF(NOT(ISNA($M26)), VLOOKUP($A26,'Client Data'!$A:$G,Spec!B$3,FALSE),""))</f>
        <v>17820</v>
      </c>
      <c r="D26" s="24">
        <f>IF(NOT(ISNA($N26)),VLOOKUP($A26,'Employee Database'!$A:$K,Spec!C$2,FALSE), IF(NOT(ISNA($M26)), VLOOKUP($A26,'Client Data'!$A:$G,Spec!C$3,FALSE),""))</f>
        <v>35562</v>
      </c>
      <c r="E26" s="26">
        <f>IF(NOT(ISNA($M26)), VLOOKUP($A26,'Client Data'!$A:$G,Spec!D$3,FALSE), "")</f>
        <v>94000</v>
      </c>
      <c r="F26" s="26">
        <f>IF(NOT(ISNA($N26)), VLOOKUP($A26,'Employee Database'!$A:$K,Spec!E$2,FALSE), "")</f>
        <v>111600</v>
      </c>
      <c r="G26" s="26">
        <f>IF(NOT(ISNA($N26)), VLOOKUP($A26,'Employee Database'!$A:$K,Spec!F$2,FALSE), "")</f>
        <v>106300</v>
      </c>
      <c r="H26" s="24" t="str">
        <f>IF(ISNA($M26), "", IF(VLOOKUP($A26,'Client Data'!$A:$G,Spec!G$3,FALSE)="", "", VLOOKUP($A26, 'Client Data'!$A:$G,Spec!G$3,FALSE)))</f>
        <v/>
      </c>
      <c r="I26" s="24" t="str">
        <f>IF(ISNA($M26), "", IF(VLOOKUP($A26,'Client Data'!$A:$G,Spec!H$3,FALSE)="", "", VLOOKUP($A26, 'Client Data'!$A:$G,Spec!H$3,FALSE)))</f>
        <v/>
      </c>
      <c r="J26" s="20" t="str">
        <f>IF(NOT(ISNA($M26)), VLOOKUP($A26,'Client Data'!$A:$G,Spec!I$3,FALSE), "")</f>
        <v>A</v>
      </c>
      <c r="K26" s="20" t="str">
        <f>IF(NOT(ISNA($N26)), VLOOKUP($A26,'Employee Database'!$A:$K,Spec!J$2,FALSE), "")</f>
        <v>A</v>
      </c>
      <c r="M26" s="20">
        <f>MATCH(A26,'Client Data'!A:A,0)</f>
        <v>26</v>
      </c>
      <c r="N26" s="20">
        <f>MATCH(A26,'Employee Database'!A:A,0)</f>
        <v>30</v>
      </c>
      <c r="O26" t="str">
        <f t="shared" si="0"/>
        <v/>
      </c>
      <c r="P26" t="str">
        <f t="shared" si="1"/>
        <v/>
      </c>
      <c r="R26" s="23" t="str">
        <f>IF(OR(ISNA($M26),ISNA($N26)),"",IF(C26=VLOOKUP($A26,'Client Data'!$A:$G,Spec!B$3,FALSE),"",VLOOKUP($A26,'Client Data'!$A:$G,Spec!B$3,FALSE)))</f>
        <v/>
      </c>
      <c r="S26" s="23" t="str">
        <f>IF(OR(ISNA($M26),ISNA($N26)),"",IF(D26=VLOOKUP($A26,'Client Data'!$A:$G,Spec!C$3,FALSE),"",VLOOKUP($A26,'Client Data'!$A:$G,Spec!C$3,FALSE)))</f>
        <v/>
      </c>
      <c r="T26" s="23" t="str">
        <f>IF(OR(ISNA($M26),ISNA($N26)),"",IF(H26=VLOOKUP($A26,'Employee Database'!$A:$K,Spec!G$2,FALSE),"",VLOOKUP($A26,'Employee Database'!$A:$K,Spec!G$2,FALSE)))</f>
        <v/>
      </c>
      <c r="U26" s="23" t="str">
        <f>IF(OR(ISNA($M26),ISNA($N26)),"",IF(I26=VLOOKUP($A26,'Employee Database'!$A:$K,Spec!H$2,FALSE),"",VLOOKUP($A26,'Employee Database'!$A:$K,Spec!H$2,FALSE)))</f>
        <v/>
      </c>
    </row>
    <row r="27" spans="1:21" x14ac:dyDescent="0.2">
      <c r="A27" s="8">
        <v>369257</v>
      </c>
      <c r="B27" s="28" t="str">
        <f>IF(ISNA(MATCH(A27,'Employee Database'!$A$6:$A$58,0)),"Not Available",INDEX('Employee Database'!$B$6:$B$58,MATCH(A27,'Employee Database'!$A$6:$A$58,0)))</f>
        <v>Guy, Robert L</v>
      </c>
      <c r="C27" s="24">
        <f>IF(NOT(ISNA($N27)),VLOOKUP($A27,'Employee Database'!$A:$K,Spec!B$2,FALSE), IF(NOT(ISNA($M27)), VLOOKUP($A27,'Client Data'!$A:$G,Spec!B$3,FALSE),""))</f>
        <v>3651</v>
      </c>
      <c r="D27" s="24">
        <f>IF(NOT(ISNA($N27)),VLOOKUP($A27,'Employee Database'!$A:$K,Spec!C$2,FALSE), IF(NOT(ISNA($M27)), VLOOKUP($A27,'Client Data'!$A:$G,Spec!C$3,FALSE),""))</f>
        <v>41274</v>
      </c>
      <c r="E27" s="26">
        <f>IF(NOT(ISNA($M27)), VLOOKUP($A27,'Client Data'!$A:$G,Spec!D$3,FALSE), "")</f>
        <v>86000</v>
      </c>
      <c r="F27" s="26">
        <f>IF(NOT(ISNA($N27)), VLOOKUP($A27,'Employee Database'!$A:$K,Spec!E$2,FALSE), "")</f>
        <v>110400</v>
      </c>
      <c r="G27" s="26">
        <f>IF(NOT(ISNA($N27)), VLOOKUP($A27,'Employee Database'!$A:$K,Spec!F$2,FALSE), "")</f>
        <v>48000</v>
      </c>
      <c r="H27" s="24" t="str">
        <f>IF(ISNA($M27), "", IF(VLOOKUP($A27,'Client Data'!$A:$G,Spec!G$3,FALSE)="", "", VLOOKUP($A27, 'Client Data'!$A:$G,Spec!G$3,FALSE)))</f>
        <v/>
      </c>
      <c r="I27" s="24" t="str">
        <f>IF(ISNA($M27), "", IF(VLOOKUP($A27,'Client Data'!$A:$G,Spec!H$3,FALSE)="", "", VLOOKUP($A27, 'Client Data'!$A:$G,Spec!H$3,FALSE)))</f>
        <v/>
      </c>
      <c r="J27" s="20" t="str">
        <f>IF(NOT(ISNA($M27)), VLOOKUP($A27,'Client Data'!$A:$G,Spec!I$3,FALSE), "")</f>
        <v>A</v>
      </c>
      <c r="K27" s="20" t="str">
        <f>IF(NOT(ISNA($N27)), VLOOKUP($A27,'Employee Database'!$A:$K,Spec!J$2,FALSE), "")</f>
        <v>A</v>
      </c>
      <c r="M27" s="20">
        <f>MATCH(A27,'Client Data'!A:A,0)</f>
        <v>27</v>
      </c>
      <c r="N27" s="20">
        <f>MATCH(A27,'Employee Database'!A:A,0)</f>
        <v>31</v>
      </c>
      <c r="O27" t="str">
        <f t="shared" si="0"/>
        <v/>
      </c>
      <c r="P27" t="str">
        <f t="shared" si="1"/>
        <v/>
      </c>
      <c r="R27" s="23" t="str">
        <f>IF(OR(ISNA($M27),ISNA($N27)),"",IF(C27=VLOOKUP($A27,'Client Data'!$A:$G,Spec!B$3,FALSE),"",VLOOKUP($A27,'Client Data'!$A:$G,Spec!B$3,FALSE)))</f>
        <v/>
      </c>
      <c r="S27" s="23" t="str">
        <f>IF(OR(ISNA($M27),ISNA($N27)),"",IF(D27=VLOOKUP($A27,'Client Data'!$A:$G,Spec!C$3,FALSE),"",VLOOKUP($A27,'Client Data'!$A:$G,Spec!C$3,FALSE)))</f>
        <v/>
      </c>
      <c r="T27" s="23" t="str">
        <f>IF(OR(ISNA($M27),ISNA($N27)),"",IF(H27=VLOOKUP($A27,'Employee Database'!$A:$K,Spec!G$2,FALSE),"",VLOOKUP($A27,'Employee Database'!$A:$K,Spec!G$2,FALSE)))</f>
        <v/>
      </c>
      <c r="U27" s="23" t="str">
        <f>IF(OR(ISNA($M27),ISNA($N27)),"",IF(I27=VLOOKUP($A27,'Employee Database'!$A:$K,Spec!H$2,FALSE),"",VLOOKUP($A27,'Employee Database'!$A:$K,Spec!H$2,FALSE)))</f>
        <v/>
      </c>
    </row>
    <row r="28" spans="1:21" x14ac:dyDescent="0.2">
      <c r="A28" s="8">
        <v>375122</v>
      </c>
      <c r="B28" s="28" t="str">
        <f>IF(ISNA(MATCH(A28,'Employee Database'!$A$6:$A$58,0)),"Not Available",INDEX('Employee Database'!$B$6:$B$58,MATCH(A28,'Employee Database'!$A$6:$A$58,0)))</f>
        <v>Kampwerth, Rebecca M</v>
      </c>
      <c r="C28" s="24">
        <f>IF(NOT(ISNA($N28)),VLOOKUP($A28,'Employee Database'!$A:$K,Spec!B$2,FALSE), IF(NOT(ISNA($M28)), VLOOKUP($A28,'Client Data'!$A:$G,Spec!B$3,FALSE),""))</f>
        <v>17859</v>
      </c>
      <c r="D28" s="24">
        <f>IF(NOT(ISNA($N28)),VLOOKUP($A28,'Employee Database'!$A:$K,Spec!C$2,FALSE), IF(NOT(ISNA($M28)), VLOOKUP($A28,'Client Data'!$A:$G,Spec!C$3,FALSE),""))</f>
        <v>39834</v>
      </c>
      <c r="E28" s="26">
        <f>IF(NOT(ISNA($M28)), VLOOKUP($A28,'Client Data'!$A:$G,Spec!D$3,FALSE), "")</f>
        <v>23000</v>
      </c>
      <c r="F28" s="26">
        <f>IF(NOT(ISNA($N28)), VLOOKUP($A28,'Employee Database'!$A:$K,Spec!E$2,FALSE), "")</f>
        <v>109200</v>
      </c>
      <c r="G28" s="26">
        <f>IF(NOT(ISNA($N28)), VLOOKUP($A28,'Employee Database'!$A:$K,Spec!F$2,FALSE), "")</f>
        <v>104000</v>
      </c>
      <c r="H28" s="24" t="str">
        <f>IF(ISNA($M28), "", IF(VLOOKUP($A28,'Client Data'!$A:$G,Spec!G$3,FALSE)="", "", VLOOKUP($A28, 'Client Data'!$A:$G,Spec!G$3,FALSE)))</f>
        <v/>
      </c>
      <c r="I28" s="24" t="str">
        <f>IF(ISNA($M28), "", IF(VLOOKUP($A28,'Client Data'!$A:$G,Spec!H$3,FALSE)="", "", VLOOKUP($A28, 'Client Data'!$A:$G,Spec!H$3,FALSE)))</f>
        <v/>
      </c>
      <c r="J28" s="20" t="str">
        <f>IF(NOT(ISNA($M28)), VLOOKUP($A28,'Client Data'!$A:$G,Spec!I$3,FALSE), "")</f>
        <v>A</v>
      </c>
      <c r="K28" s="20" t="str">
        <f>IF(NOT(ISNA($N28)), VLOOKUP($A28,'Employee Database'!$A:$K,Spec!J$2,FALSE), "")</f>
        <v>A</v>
      </c>
      <c r="M28" s="20">
        <f>MATCH(A28,'Client Data'!A:A,0)</f>
        <v>28</v>
      </c>
      <c r="N28" s="20">
        <f>MATCH(A28,'Employee Database'!A:A,0)</f>
        <v>32</v>
      </c>
      <c r="O28" t="str">
        <f t="shared" si="0"/>
        <v/>
      </c>
      <c r="P28" t="str">
        <f t="shared" si="1"/>
        <v/>
      </c>
      <c r="R28" s="23" t="str">
        <f>IF(OR(ISNA($M28),ISNA($N28)),"",IF(C28=VLOOKUP($A28,'Client Data'!$A:$G,Spec!B$3,FALSE),"",VLOOKUP($A28,'Client Data'!$A:$G,Spec!B$3,FALSE)))</f>
        <v/>
      </c>
      <c r="S28" s="23" t="str">
        <f>IF(OR(ISNA($M28),ISNA($N28)),"",IF(D28=VLOOKUP($A28,'Client Data'!$A:$G,Spec!C$3,FALSE),"",VLOOKUP($A28,'Client Data'!$A:$G,Spec!C$3,FALSE)))</f>
        <v/>
      </c>
      <c r="T28" s="23" t="str">
        <f>IF(OR(ISNA($M28),ISNA($N28)),"",IF(H28=VLOOKUP($A28,'Employee Database'!$A:$K,Spec!G$2,FALSE),"",VLOOKUP($A28,'Employee Database'!$A:$K,Spec!G$2,FALSE)))</f>
        <v/>
      </c>
      <c r="U28" s="23" t="str">
        <f>IF(OR(ISNA($M28),ISNA($N28)),"",IF(I28=VLOOKUP($A28,'Employee Database'!$A:$K,Spec!H$2,FALSE),"",VLOOKUP($A28,'Employee Database'!$A:$K,Spec!H$2,FALSE)))</f>
        <v/>
      </c>
    </row>
    <row r="29" spans="1:21" x14ac:dyDescent="0.2">
      <c r="A29" s="8">
        <v>406300</v>
      </c>
      <c r="B29" s="28" t="str">
        <f>IF(ISNA(MATCH(A29,'Employee Database'!$A$6:$A$58,0)),"Not Available",INDEX('Employee Database'!$B$6:$B$58,MATCH(A29,'Employee Database'!$A$6:$A$58,0)))</f>
        <v>Asche, Alexis</v>
      </c>
      <c r="C29" s="24">
        <f>IF(NOT(ISNA($N29)),VLOOKUP($A29,'Employee Database'!$A:$K,Spec!B$2,FALSE), IF(NOT(ISNA($M29)), VLOOKUP($A29,'Client Data'!$A:$G,Spec!B$3,FALSE),""))</f>
        <v>1</v>
      </c>
      <c r="D29" s="24">
        <f>IF(NOT(ISNA($N29)),VLOOKUP($A29,'Employee Database'!$A:$K,Spec!C$2,FALSE), IF(NOT(ISNA($M29)), VLOOKUP($A29,'Client Data'!$A:$G,Spec!C$3,FALSE),""))</f>
        <v>40273</v>
      </c>
      <c r="E29" s="26">
        <f>IF(NOT(ISNA($M29)), VLOOKUP($A29,'Client Data'!$A:$G,Spec!D$3,FALSE), "")</f>
        <v>54000</v>
      </c>
      <c r="F29" s="26">
        <f>IF(NOT(ISNA($N29)), VLOOKUP($A29,'Employee Database'!$A:$K,Spec!E$2,FALSE), "")</f>
        <v>108000</v>
      </c>
      <c r="G29" s="26">
        <f>IF(NOT(ISNA($N29)), VLOOKUP($A29,'Employee Database'!$A:$K,Spec!F$2,FALSE), "")</f>
        <v>102900</v>
      </c>
      <c r="H29" s="24" t="str">
        <f>IF(ISNA($M29), "", IF(VLOOKUP($A29,'Client Data'!$A:$G,Spec!G$3,FALSE)="", "", VLOOKUP($A29, 'Client Data'!$A:$G,Spec!G$3,FALSE)))</f>
        <v/>
      </c>
      <c r="I29" s="24" t="str">
        <f>IF(ISNA($M29), "", IF(VLOOKUP($A29,'Client Data'!$A:$G,Spec!H$3,FALSE)="", "", VLOOKUP($A29, 'Client Data'!$A:$G,Spec!H$3,FALSE)))</f>
        <v/>
      </c>
      <c r="J29" s="20" t="str">
        <f>IF(NOT(ISNA($M29)), VLOOKUP($A29,'Client Data'!$A:$G,Spec!I$3,FALSE), "")</f>
        <v>A</v>
      </c>
      <c r="K29" s="20" t="str">
        <f>IF(NOT(ISNA($N29)), VLOOKUP($A29,'Employee Database'!$A:$K,Spec!J$2,FALSE), "")</f>
        <v>A</v>
      </c>
      <c r="M29" s="20">
        <f>MATCH(A29,'Client Data'!A:A,0)</f>
        <v>29</v>
      </c>
      <c r="N29" s="20">
        <f>MATCH(A29,'Employee Database'!A:A,0)</f>
        <v>33</v>
      </c>
      <c r="O29" t="str">
        <f t="shared" si="0"/>
        <v/>
      </c>
      <c r="P29" t="str">
        <f t="shared" si="1"/>
        <v/>
      </c>
      <c r="R29" s="23" t="str">
        <f>IF(OR(ISNA($M29),ISNA($N29)),"",IF(C29=VLOOKUP($A29,'Client Data'!$A:$G,Spec!B$3,FALSE),"",VLOOKUP($A29,'Client Data'!$A:$G,Spec!B$3,FALSE)))</f>
        <v/>
      </c>
      <c r="S29" s="23" t="str">
        <f>IF(OR(ISNA($M29),ISNA($N29)),"",IF(D29=VLOOKUP($A29,'Client Data'!$A:$G,Spec!C$3,FALSE),"",VLOOKUP($A29,'Client Data'!$A:$G,Spec!C$3,FALSE)))</f>
        <v/>
      </c>
      <c r="T29" s="23" t="str">
        <f>IF(OR(ISNA($M29),ISNA($N29)),"",IF(H29=VLOOKUP($A29,'Employee Database'!$A:$K,Spec!G$2,FALSE),"",VLOOKUP($A29,'Employee Database'!$A:$K,Spec!G$2,FALSE)))</f>
        <v/>
      </c>
      <c r="U29" s="23" t="str">
        <f>IF(OR(ISNA($M29),ISNA($N29)),"",IF(I29=VLOOKUP($A29,'Employee Database'!$A:$K,Spec!H$2,FALSE),"",VLOOKUP($A29,'Employee Database'!$A:$K,Spec!H$2,FALSE)))</f>
        <v/>
      </c>
    </row>
    <row r="30" spans="1:21" x14ac:dyDescent="0.2">
      <c r="A30" s="8">
        <v>422365</v>
      </c>
      <c r="B30" s="28" t="str">
        <f>IF(ISNA(MATCH(A30,'Employee Database'!$A$6:$A$58,0)),"Not Available",INDEX('Employee Database'!$B$6:$B$58,MATCH(A30,'Employee Database'!$A$6:$A$58,0)))</f>
        <v>Hitpas, Bruce D</v>
      </c>
      <c r="C30" s="24">
        <f>IF(NOT(ISNA($N30)),VLOOKUP($A30,'Employee Database'!$A:$K,Spec!B$2,FALSE), IF(NOT(ISNA($M30)), VLOOKUP($A30,'Client Data'!$A:$G,Spec!B$3,FALSE),""))</f>
        <v>21074</v>
      </c>
      <c r="D30" s="24">
        <f>IF(NOT(ISNA($N30)),VLOOKUP($A30,'Employee Database'!$A:$K,Spec!C$2,FALSE), IF(NOT(ISNA($M30)), VLOOKUP($A30,'Client Data'!$A:$G,Spec!C$3,FALSE),""))</f>
        <v>40539</v>
      </c>
      <c r="E30" s="26">
        <f>IF(NOT(ISNA($M30)), VLOOKUP($A30,'Client Data'!$A:$G,Spec!D$3,FALSE), "")</f>
        <v>86000</v>
      </c>
      <c r="F30" s="26">
        <f>IF(NOT(ISNA($N30)), VLOOKUP($A30,'Employee Database'!$A:$K,Spec!E$2,FALSE), "")</f>
        <v>106800</v>
      </c>
      <c r="G30" s="26">
        <f>IF(NOT(ISNA($N30)), VLOOKUP($A30,'Employee Database'!$A:$K,Spec!F$2,FALSE), "")</f>
        <v>101700</v>
      </c>
      <c r="H30" s="24" t="str">
        <f>IF(ISNA($M30), "", IF(VLOOKUP($A30,'Client Data'!$A:$G,Spec!G$3,FALSE)="", "", VLOOKUP($A30, 'Client Data'!$A:$G,Spec!G$3,FALSE)))</f>
        <v/>
      </c>
      <c r="I30" s="24" t="str">
        <f>IF(ISNA($M30), "", IF(VLOOKUP($A30,'Client Data'!$A:$G,Spec!H$3,FALSE)="", "", VLOOKUP($A30, 'Client Data'!$A:$G,Spec!H$3,FALSE)))</f>
        <v/>
      </c>
      <c r="J30" s="20" t="str">
        <f>IF(NOT(ISNA($M30)), VLOOKUP($A30,'Client Data'!$A:$G,Spec!I$3,FALSE), "")</f>
        <v>A</v>
      </c>
      <c r="K30" s="20" t="str">
        <f>IF(NOT(ISNA($N30)), VLOOKUP($A30,'Employee Database'!$A:$K,Spec!J$2,FALSE), "")</f>
        <v>A</v>
      </c>
      <c r="M30" s="20">
        <f>MATCH(A30,'Client Data'!A:A,0)</f>
        <v>30</v>
      </c>
      <c r="N30" s="20">
        <f>MATCH(A30,'Employee Database'!A:A,0)</f>
        <v>34</v>
      </c>
      <c r="O30" t="str">
        <f t="shared" si="0"/>
        <v/>
      </c>
      <c r="P30" t="str">
        <f t="shared" si="1"/>
        <v/>
      </c>
      <c r="R30" s="23" t="str">
        <f>IF(OR(ISNA($M30),ISNA($N30)),"",IF(C30=VLOOKUP($A30,'Client Data'!$A:$G,Spec!B$3,FALSE),"",VLOOKUP($A30,'Client Data'!$A:$G,Spec!B$3,FALSE)))</f>
        <v/>
      </c>
      <c r="S30" s="23" t="str">
        <f>IF(OR(ISNA($M30),ISNA($N30)),"",IF(D30=VLOOKUP($A30,'Client Data'!$A:$G,Spec!C$3,FALSE),"",VLOOKUP($A30,'Client Data'!$A:$G,Spec!C$3,FALSE)))</f>
        <v/>
      </c>
      <c r="T30" s="23" t="str">
        <f>IF(OR(ISNA($M30),ISNA($N30)),"",IF(H30=VLOOKUP($A30,'Employee Database'!$A:$K,Spec!G$2,FALSE),"",VLOOKUP($A30,'Employee Database'!$A:$K,Spec!G$2,FALSE)))</f>
        <v/>
      </c>
      <c r="U30" s="23" t="str">
        <f>IF(OR(ISNA($M30),ISNA($N30)),"",IF(I30=VLOOKUP($A30,'Employee Database'!$A:$K,Spec!H$2,FALSE),"",VLOOKUP($A30,'Employee Database'!$A:$K,Spec!H$2,FALSE)))</f>
        <v/>
      </c>
    </row>
    <row r="31" spans="1:21" x14ac:dyDescent="0.2">
      <c r="A31" s="8">
        <v>423109</v>
      </c>
      <c r="B31" s="28" t="str">
        <f>IF(ISNA(MATCH(A31,'Employee Database'!$A$6:$A$58,0)),"Not Available",INDEX('Employee Database'!$B$6:$B$58,MATCH(A31,'Employee Database'!$A$6:$A$58,0)))</f>
        <v>Jumaan, Casey A</v>
      </c>
      <c r="C31" s="24">
        <f>IF(NOT(ISNA($N31)),VLOOKUP($A31,'Employee Database'!$A:$K,Spec!B$2,FALSE), IF(NOT(ISNA($M31)), VLOOKUP($A31,'Client Data'!$A:$G,Spec!B$3,FALSE),""))</f>
        <v>16218</v>
      </c>
      <c r="D31" s="24">
        <f>IF(NOT(ISNA($N31)),VLOOKUP($A31,'Employee Database'!$A:$K,Spec!C$2,FALSE), IF(NOT(ISNA($M31)), VLOOKUP($A31,'Client Data'!$A:$G,Spec!C$3,FALSE),""))</f>
        <v>40974</v>
      </c>
      <c r="E31" s="26">
        <f>IF(NOT(ISNA($M31)), VLOOKUP($A31,'Client Data'!$A:$G,Spec!D$3,FALSE), "")</f>
        <v>79000</v>
      </c>
      <c r="F31" s="26">
        <f>IF(NOT(ISNA($N31)), VLOOKUP($A31,'Employee Database'!$A:$K,Spec!E$2,FALSE), "")</f>
        <v>105600</v>
      </c>
      <c r="G31" s="26">
        <f>IF(NOT(ISNA($N31)), VLOOKUP($A31,'Employee Database'!$A:$K,Spec!F$2,FALSE), "")</f>
        <v>100600</v>
      </c>
      <c r="H31" s="24" t="str">
        <f>IF(ISNA($M31), "", IF(VLOOKUP($A31,'Client Data'!$A:$G,Spec!G$3,FALSE)="", "", VLOOKUP($A31, 'Client Data'!$A:$G,Spec!G$3,FALSE)))</f>
        <v/>
      </c>
      <c r="I31" s="24" t="str">
        <f>IF(ISNA($M31), "", IF(VLOOKUP($A31,'Client Data'!$A:$G,Spec!H$3,FALSE)="", "", VLOOKUP($A31, 'Client Data'!$A:$G,Spec!H$3,FALSE)))</f>
        <v/>
      </c>
      <c r="J31" s="20" t="str">
        <f>IF(NOT(ISNA($M31)), VLOOKUP($A31,'Client Data'!$A:$G,Spec!I$3,FALSE), "")</f>
        <v>A</v>
      </c>
      <c r="K31" s="20" t="str">
        <f>IF(NOT(ISNA($N31)), VLOOKUP($A31,'Employee Database'!$A:$K,Spec!J$2,FALSE), "")</f>
        <v>A</v>
      </c>
      <c r="M31" s="20">
        <f>MATCH(A31,'Client Data'!A:A,0)</f>
        <v>31</v>
      </c>
      <c r="N31" s="20">
        <f>MATCH(A31,'Employee Database'!A:A,0)</f>
        <v>35</v>
      </c>
      <c r="O31" t="str">
        <f t="shared" si="0"/>
        <v/>
      </c>
      <c r="P31" t="str">
        <f t="shared" si="1"/>
        <v/>
      </c>
      <c r="R31" s="23" t="str">
        <f>IF(OR(ISNA($M31),ISNA($N31)),"",IF(C31=VLOOKUP($A31,'Client Data'!$A:$G,Spec!B$3,FALSE),"",VLOOKUP($A31,'Client Data'!$A:$G,Spec!B$3,FALSE)))</f>
        <v/>
      </c>
      <c r="S31" s="23" t="str">
        <f>IF(OR(ISNA($M31),ISNA($N31)),"",IF(D31=VLOOKUP($A31,'Client Data'!$A:$G,Spec!C$3,FALSE),"",VLOOKUP($A31,'Client Data'!$A:$G,Spec!C$3,FALSE)))</f>
        <v/>
      </c>
      <c r="T31" s="23" t="str">
        <f>IF(OR(ISNA($M31),ISNA($N31)),"",IF(H31=VLOOKUP($A31,'Employee Database'!$A:$K,Spec!G$2,FALSE),"",VLOOKUP($A31,'Employee Database'!$A:$K,Spec!G$2,FALSE)))</f>
        <v/>
      </c>
      <c r="U31" s="23" t="str">
        <f>IF(OR(ISNA($M31),ISNA($N31)),"",IF(I31=VLOOKUP($A31,'Employee Database'!$A:$K,Spec!H$2,FALSE),"",VLOOKUP($A31,'Employee Database'!$A:$K,Spec!H$2,FALSE)))</f>
        <v/>
      </c>
    </row>
    <row r="32" spans="1:21" x14ac:dyDescent="0.2">
      <c r="A32" s="8">
        <v>426223</v>
      </c>
      <c r="B32" s="28" t="str">
        <f>IF(ISNA(MATCH(A32,'Employee Database'!$A$6:$A$58,0)),"Not Available",INDEX('Employee Database'!$B$6:$B$58,MATCH(A32,'Employee Database'!$A$6:$A$58,0)))</f>
        <v>Donovan, Alina</v>
      </c>
      <c r="C32" s="24">
        <f>IF(NOT(ISNA($N32)),VLOOKUP($A32,'Employee Database'!$A:$K,Spec!B$2,FALSE), IF(NOT(ISNA($M32)), VLOOKUP($A32,'Client Data'!$A:$G,Spec!B$3,FALSE),""))</f>
        <v>26191</v>
      </c>
      <c r="D32" s="24">
        <f>IF(NOT(ISNA($N32)),VLOOKUP($A32,'Employee Database'!$A:$K,Spec!C$2,FALSE), IF(NOT(ISNA($M32)), VLOOKUP($A32,'Client Data'!$A:$G,Spec!C$3,FALSE),""))</f>
        <v>27116</v>
      </c>
      <c r="E32" s="26">
        <f>IF(NOT(ISNA($M32)), VLOOKUP($A32,'Client Data'!$A:$G,Spec!D$3,FALSE), "")</f>
        <v>83000</v>
      </c>
      <c r="F32" s="26">
        <f>IF(NOT(ISNA($N32)), VLOOKUP($A32,'Employee Database'!$A:$K,Spec!E$2,FALSE), "")</f>
        <v>104400</v>
      </c>
      <c r="G32" s="26">
        <f>IF(NOT(ISNA($N32)), VLOOKUP($A32,'Employee Database'!$A:$K,Spec!F$2,FALSE), "")</f>
        <v>99400</v>
      </c>
      <c r="H32" s="24" t="str">
        <f>IF(ISNA($M32), "", IF(VLOOKUP($A32,'Client Data'!$A:$G,Spec!G$3,FALSE)="", "", VLOOKUP($A32, 'Client Data'!$A:$G,Spec!G$3,FALSE)))</f>
        <v/>
      </c>
      <c r="I32" s="24" t="str">
        <f>IF(ISNA($M32), "", IF(VLOOKUP($A32,'Client Data'!$A:$G,Spec!H$3,FALSE)="", "", VLOOKUP($A32, 'Client Data'!$A:$G,Spec!H$3,FALSE)))</f>
        <v/>
      </c>
      <c r="J32" s="20" t="str">
        <f>IF(NOT(ISNA($M32)), VLOOKUP($A32,'Client Data'!$A:$G,Spec!I$3,FALSE), "")</f>
        <v>A</v>
      </c>
      <c r="K32" s="20" t="str">
        <f>IF(NOT(ISNA($N32)), VLOOKUP($A32,'Employee Database'!$A:$K,Spec!J$2,FALSE), "")</f>
        <v>A</v>
      </c>
      <c r="M32" s="20">
        <f>MATCH(A32,'Client Data'!A:A,0)</f>
        <v>32</v>
      </c>
      <c r="N32" s="20">
        <f>MATCH(A32,'Employee Database'!A:A,0)</f>
        <v>36</v>
      </c>
      <c r="O32" t="str">
        <f t="shared" si="0"/>
        <v/>
      </c>
      <c r="P32" t="str">
        <f t="shared" si="1"/>
        <v/>
      </c>
      <c r="R32" s="23" t="str">
        <f>IF(OR(ISNA($M32),ISNA($N32)),"",IF(C32=VLOOKUP($A32,'Client Data'!$A:$G,Spec!B$3,FALSE),"",VLOOKUP($A32,'Client Data'!$A:$G,Spec!B$3,FALSE)))</f>
        <v/>
      </c>
      <c r="S32" s="23" t="str">
        <f>IF(OR(ISNA($M32),ISNA($N32)),"",IF(D32=VLOOKUP($A32,'Client Data'!$A:$G,Spec!C$3,FALSE),"",VLOOKUP($A32,'Client Data'!$A:$G,Spec!C$3,FALSE)))</f>
        <v/>
      </c>
      <c r="T32" s="23" t="str">
        <f>IF(OR(ISNA($M32),ISNA($N32)),"",IF(H32=VLOOKUP($A32,'Employee Database'!$A:$K,Spec!G$2,FALSE),"",VLOOKUP($A32,'Employee Database'!$A:$K,Spec!G$2,FALSE)))</f>
        <v/>
      </c>
      <c r="U32" s="23" t="str">
        <f>IF(OR(ISNA($M32),ISNA($N32)),"",IF(I32=VLOOKUP($A32,'Employee Database'!$A:$K,Spec!H$2,FALSE),"",VLOOKUP($A32,'Employee Database'!$A:$K,Spec!H$2,FALSE)))</f>
        <v/>
      </c>
    </row>
    <row r="33" spans="1:21" x14ac:dyDescent="0.2">
      <c r="A33" s="8">
        <v>430276</v>
      </c>
      <c r="B33" s="28" t="str">
        <f>IF(ISNA(MATCH(A33,'Employee Database'!$A$6:$A$58,0)),"Not Available",INDEX('Employee Database'!$B$6:$B$58,MATCH(A33,'Employee Database'!$A$6:$A$58,0)))</f>
        <v>Carlson, Austin</v>
      </c>
      <c r="C33" s="24">
        <f>IF(NOT(ISNA($N33)),VLOOKUP($A33,'Employee Database'!$A:$K,Spec!B$2,FALSE), IF(NOT(ISNA($M33)), VLOOKUP($A33,'Client Data'!$A:$G,Spec!B$3,FALSE),""))</f>
        <v>29324</v>
      </c>
      <c r="D33" s="24">
        <f>IF(NOT(ISNA($N33)),VLOOKUP($A33,'Employee Database'!$A:$K,Spec!C$2,FALSE), IF(NOT(ISNA($M33)), VLOOKUP($A33,'Client Data'!$A:$G,Spec!C$3,FALSE),""))</f>
        <v>31271</v>
      </c>
      <c r="E33" s="26">
        <f>IF(NOT(ISNA($M33)), VLOOKUP($A33,'Client Data'!$A:$G,Spec!D$3,FALSE), "")</f>
        <v>100000</v>
      </c>
      <c r="F33" s="26">
        <f>IF(NOT(ISNA($N33)), VLOOKUP($A33,'Employee Database'!$A:$K,Spec!E$2,FALSE), "")</f>
        <v>103200</v>
      </c>
      <c r="G33" s="26">
        <f>IF(NOT(ISNA($N33)), VLOOKUP($A33,'Employee Database'!$A:$K,Spec!F$2,FALSE), "")</f>
        <v>98300</v>
      </c>
      <c r="H33" s="24" t="str">
        <f>IF(ISNA($M33), "", IF(VLOOKUP($A33,'Client Data'!$A:$G,Spec!G$3,FALSE)="", "", VLOOKUP($A33, 'Client Data'!$A:$G,Spec!G$3,FALSE)))</f>
        <v/>
      </c>
      <c r="I33" s="24" t="str">
        <f>IF(ISNA($M33), "", IF(VLOOKUP($A33,'Client Data'!$A:$G,Spec!H$3,FALSE)="", "", VLOOKUP($A33, 'Client Data'!$A:$G,Spec!H$3,FALSE)))</f>
        <v/>
      </c>
      <c r="J33" s="20" t="str">
        <f>IF(NOT(ISNA($M33)), VLOOKUP($A33,'Client Data'!$A:$G,Spec!I$3,FALSE), "")</f>
        <v>A</v>
      </c>
      <c r="K33" s="20" t="str">
        <f>IF(NOT(ISNA($N33)), VLOOKUP($A33,'Employee Database'!$A:$K,Spec!J$2,FALSE), "")</f>
        <v>A</v>
      </c>
      <c r="M33" s="20">
        <f>MATCH(A33,'Client Data'!A:A,0)</f>
        <v>33</v>
      </c>
      <c r="N33" s="20">
        <f>MATCH(A33,'Employee Database'!A:A,0)</f>
        <v>37</v>
      </c>
      <c r="O33" t="str">
        <f t="shared" si="0"/>
        <v/>
      </c>
      <c r="P33" t="str">
        <f t="shared" si="1"/>
        <v/>
      </c>
      <c r="R33" s="23" t="str">
        <f>IF(OR(ISNA($M33),ISNA($N33)),"",IF(C33=VLOOKUP($A33,'Client Data'!$A:$G,Spec!B$3,FALSE),"",VLOOKUP($A33,'Client Data'!$A:$G,Spec!B$3,FALSE)))</f>
        <v/>
      </c>
      <c r="S33" s="23" t="str">
        <f>IF(OR(ISNA($M33),ISNA($N33)),"",IF(D33=VLOOKUP($A33,'Client Data'!$A:$G,Spec!C$3,FALSE),"",VLOOKUP($A33,'Client Data'!$A:$G,Spec!C$3,FALSE)))</f>
        <v/>
      </c>
      <c r="T33" s="23" t="str">
        <f>IF(OR(ISNA($M33),ISNA($N33)),"",IF(H33=VLOOKUP($A33,'Employee Database'!$A:$K,Spec!G$2,FALSE),"",VLOOKUP($A33,'Employee Database'!$A:$K,Spec!G$2,FALSE)))</f>
        <v/>
      </c>
      <c r="U33" s="23" t="str">
        <f>IF(OR(ISNA($M33),ISNA($N33)),"",IF(I33=VLOOKUP($A33,'Employee Database'!$A:$K,Spec!H$2,FALSE),"",VLOOKUP($A33,'Employee Database'!$A:$K,Spec!H$2,FALSE)))</f>
        <v/>
      </c>
    </row>
    <row r="34" spans="1:21" x14ac:dyDescent="0.2">
      <c r="A34" s="8">
        <v>430534</v>
      </c>
      <c r="B34" s="28" t="str">
        <f>IF(ISNA(MATCH(A34,'Employee Database'!$A$6:$A$58,0)),"Not Available",INDEX('Employee Database'!$B$6:$B$58,MATCH(A34,'Employee Database'!$A$6:$A$58,0)))</f>
        <v>Hohl, David L</v>
      </c>
      <c r="C34" s="24">
        <f>IF(NOT(ISNA($N34)),VLOOKUP($A34,'Employee Database'!$A:$K,Spec!B$2,FALSE), IF(NOT(ISNA($M34)), VLOOKUP($A34,'Client Data'!$A:$G,Spec!B$3,FALSE),""))</f>
        <v>16018</v>
      </c>
      <c r="D34" s="24">
        <f>IF(NOT(ISNA($N34)),VLOOKUP($A34,'Employee Database'!$A:$K,Spec!C$2,FALSE), IF(NOT(ISNA($M34)), VLOOKUP($A34,'Client Data'!$A:$G,Spec!C$3,FALSE),""))</f>
        <v>1</v>
      </c>
      <c r="E34" s="26">
        <f>IF(NOT(ISNA($M34)), VLOOKUP($A34,'Client Data'!$A:$G,Spec!D$3,FALSE), "")</f>
        <v>110000</v>
      </c>
      <c r="F34" s="26">
        <f>IF(NOT(ISNA($N34)), VLOOKUP($A34,'Employee Database'!$A:$K,Spec!E$2,FALSE), "")</f>
        <v>102000</v>
      </c>
      <c r="G34" s="26">
        <f>IF(NOT(ISNA($N34)), VLOOKUP($A34,'Employee Database'!$A:$K,Spec!F$2,FALSE), "")</f>
        <v>2400</v>
      </c>
      <c r="H34" s="24" t="str">
        <f>IF(ISNA($M34), "", IF(VLOOKUP($A34,'Client Data'!$A:$G,Spec!G$3,FALSE)="", "", VLOOKUP($A34, 'Client Data'!$A:$G,Spec!G$3,FALSE)))</f>
        <v/>
      </c>
      <c r="I34" s="24" t="str">
        <f>IF(ISNA($M34), "", IF(VLOOKUP($A34,'Client Data'!$A:$G,Spec!H$3,FALSE)="", "", VLOOKUP($A34, 'Client Data'!$A:$G,Spec!H$3,FALSE)))</f>
        <v/>
      </c>
      <c r="J34" s="20" t="str">
        <f>IF(NOT(ISNA($M34)), VLOOKUP($A34,'Client Data'!$A:$G,Spec!I$3,FALSE), "")</f>
        <v>A</v>
      </c>
      <c r="K34" s="20" t="str">
        <f>IF(NOT(ISNA($N34)), VLOOKUP($A34,'Employee Database'!$A:$K,Spec!J$2,FALSE), "")</f>
        <v>A</v>
      </c>
      <c r="M34" s="20">
        <f>MATCH(A34,'Client Data'!A:A,0)</f>
        <v>34</v>
      </c>
      <c r="N34" s="20">
        <f>MATCH(A34,'Employee Database'!A:A,0)</f>
        <v>38</v>
      </c>
      <c r="O34" t="str">
        <f t="shared" si="0"/>
        <v/>
      </c>
      <c r="P34" t="str">
        <f t="shared" si="1"/>
        <v/>
      </c>
      <c r="R34" s="23" t="str">
        <f>IF(OR(ISNA($M34),ISNA($N34)),"",IF(C34=VLOOKUP($A34,'Client Data'!$A:$G,Spec!B$3,FALSE),"",VLOOKUP($A34,'Client Data'!$A:$G,Spec!B$3,FALSE)))</f>
        <v/>
      </c>
      <c r="S34" s="23" t="str">
        <f>IF(OR(ISNA($M34),ISNA($N34)),"",IF(D34=VLOOKUP($A34,'Client Data'!$A:$G,Spec!C$3,FALSE),"",VLOOKUP($A34,'Client Data'!$A:$G,Spec!C$3,FALSE)))</f>
        <v/>
      </c>
      <c r="T34" s="23" t="str">
        <f>IF(OR(ISNA($M34),ISNA($N34)),"",IF(H34=VLOOKUP($A34,'Employee Database'!$A:$K,Spec!G$2,FALSE),"",VLOOKUP($A34,'Employee Database'!$A:$K,Spec!G$2,FALSE)))</f>
        <v/>
      </c>
      <c r="U34" s="23" t="str">
        <f>IF(OR(ISNA($M34),ISNA($N34)),"",IF(I34=VLOOKUP($A34,'Employee Database'!$A:$K,Spec!H$2,FALSE),"",VLOOKUP($A34,'Employee Database'!$A:$K,Spec!H$2,FALSE)))</f>
        <v/>
      </c>
    </row>
    <row r="35" spans="1:21" x14ac:dyDescent="0.2">
      <c r="A35" s="8">
        <v>443913</v>
      </c>
      <c r="B35" s="28" t="str">
        <f>IF(ISNA(MATCH(A35,'Employee Database'!$A$6:$A$58,0)),"Not Available",INDEX('Employee Database'!$B$6:$B$58,MATCH(A35,'Employee Database'!$A$6:$A$58,0)))</f>
        <v>Jackson, Dawn E</v>
      </c>
      <c r="C35" s="24">
        <f>IF(NOT(ISNA($N35)),VLOOKUP($A35,'Employee Database'!$A:$K,Spec!B$2,FALSE), IF(NOT(ISNA($M35)), VLOOKUP($A35,'Client Data'!$A:$G,Spec!B$3,FALSE),""))</f>
        <v>16639</v>
      </c>
      <c r="D35" s="24">
        <f>IF(NOT(ISNA($N35)),VLOOKUP($A35,'Employee Database'!$A:$K,Spec!C$2,FALSE), IF(NOT(ISNA($M35)), VLOOKUP($A35,'Client Data'!$A:$G,Spec!C$3,FALSE),""))</f>
        <v>32076</v>
      </c>
      <c r="E35" s="26">
        <f>IF(NOT(ISNA($M35)), VLOOKUP($A35,'Client Data'!$A:$G,Spec!D$3,FALSE), "")</f>
        <v>200000</v>
      </c>
      <c r="F35" s="26">
        <f>IF(NOT(ISNA($N35)), VLOOKUP($A35,'Employee Database'!$A:$K,Spec!E$2,FALSE), "")</f>
        <v>100800</v>
      </c>
      <c r="G35" s="26">
        <f>IF(NOT(ISNA($N35)), VLOOKUP($A35,'Employee Database'!$A:$K,Spec!F$2,FALSE), "")</f>
        <v>96000</v>
      </c>
      <c r="H35" s="24" t="str">
        <f>IF(ISNA($M35), "", IF(VLOOKUP($A35,'Client Data'!$A:$G,Spec!G$3,FALSE)="", "", VLOOKUP($A35, 'Client Data'!$A:$G,Spec!G$3,FALSE)))</f>
        <v/>
      </c>
      <c r="I35" s="24" t="str">
        <f>IF(ISNA($M35), "", IF(VLOOKUP($A35,'Client Data'!$A:$G,Spec!H$3,FALSE)="", "", VLOOKUP($A35, 'Client Data'!$A:$G,Spec!H$3,FALSE)))</f>
        <v/>
      </c>
      <c r="J35" s="20" t="str">
        <f>IF(NOT(ISNA($M35)), VLOOKUP($A35,'Client Data'!$A:$G,Spec!I$3,FALSE), "")</f>
        <v>A</v>
      </c>
      <c r="K35" s="20" t="str">
        <f>IF(NOT(ISNA($N35)), VLOOKUP($A35,'Employee Database'!$A:$K,Spec!J$2,FALSE), "")</f>
        <v>A</v>
      </c>
      <c r="M35" s="20">
        <f>MATCH(A35,'Client Data'!A:A,0)</f>
        <v>35</v>
      </c>
      <c r="N35" s="20">
        <f>MATCH(A35,'Employee Database'!A:A,0)</f>
        <v>39</v>
      </c>
      <c r="O35" t="str">
        <f t="shared" si="0"/>
        <v/>
      </c>
      <c r="P35" t="str">
        <f t="shared" si="1"/>
        <v/>
      </c>
      <c r="R35" s="23" t="str">
        <f>IF(OR(ISNA($M35),ISNA($N35)),"",IF(C35=VLOOKUP($A35,'Client Data'!$A:$G,Spec!B$3,FALSE),"",VLOOKUP($A35,'Client Data'!$A:$G,Spec!B$3,FALSE)))</f>
        <v/>
      </c>
      <c r="S35" s="23" t="str">
        <f>IF(OR(ISNA($M35),ISNA($N35)),"",IF(D35=VLOOKUP($A35,'Client Data'!$A:$G,Spec!C$3,FALSE),"",VLOOKUP($A35,'Client Data'!$A:$G,Spec!C$3,FALSE)))</f>
        <v/>
      </c>
      <c r="T35" s="23" t="str">
        <f>IF(OR(ISNA($M35),ISNA($N35)),"",IF(H35=VLOOKUP($A35,'Employee Database'!$A:$K,Spec!G$2,FALSE),"",VLOOKUP($A35,'Employee Database'!$A:$K,Spec!G$2,FALSE)))</f>
        <v/>
      </c>
      <c r="U35" s="23" t="str">
        <f>IF(OR(ISNA($M35),ISNA($N35)),"",IF(I35=VLOOKUP($A35,'Employee Database'!$A:$K,Spec!H$2,FALSE),"",VLOOKUP($A35,'Employee Database'!$A:$K,Spec!H$2,FALSE)))</f>
        <v/>
      </c>
    </row>
    <row r="36" spans="1:21" x14ac:dyDescent="0.2">
      <c r="A36" s="8">
        <v>446641</v>
      </c>
      <c r="B36" s="28" t="str">
        <f>IF(ISNA(MATCH(A36,'Employee Database'!$A$6:$A$58,0)),"Not Available",INDEX('Employee Database'!$B$6:$B$58,MATCH(A36,'Employee Database'!$A$6:$A$58,0)))</f>
        <v>Shapiro, Amanda</v>
      </c>
      <c r="C36" s="24">
        <f>IF(NOT(ISNA($N36)),VLOOKUP($A36,'Employee Database'!$A:$K,Spec!B$2,FALSE), IF(NOT(ISNA($M36)), VLOOKUP($A36,'Client Data'!$A:$G,Spec!B$3,FALSE),""))</f>
        <v>23652</v>
      </c>
      <c r="D36" s="24">
        <f>IF(NOT(ISNA($N36)),VLOOKUP($A36,'Employee Database'!$A:$K,Spec!C$2,FALSE), IF(NOT(ISNA($M36)), VLOOKUP($A36,'Client Data'!$A:$G,Spec!C$3,FALSE),""))</f>
        <v>35209</v>
      </c>
      <c r="E36" s="26">
        <f>IF(NOT(ISNA($M36)), VLOOKUP($A36,'Client Data'!$A:$G,Spec!D$3,FALSE), "")</f>
        <v>86000</v>
      </c>
      <c r="F36" s="26">
        <f>IF(NOT(ISNA($N36)), VLOOKUP($A36,'Employee Database'!$A:$K,Spec!E$2,FALSE), "")</f>
        <v>360000</v>
      </c>
      <c r="G36" s="26">
        <f>IF(NOT(ISNA($N36)), VLOOKUP($A36,'Employee Database'!$A:$K,Spec!F$2,FALSE), "")</f>
        <v>331200</v>
      </c>
      <c r="H36" s="24" t="str">
        <f>IF(ISNA($M36), "", IF(VLOOKUP($A36,'Client Data'!$A:$G,Spec!G$3,FALSE)="", "", VLOOKUP($A36, 'Client Data'!$A:$G,Spec!G$3,FALSE)))</f>
        <v/>
      </c>
      <c r="I36" s="24" t="str">
        <f>IF(ISNA($M36), "", IF(VLOOKUP($A36,'Client Data'!$A:$G,Spec!H$3,FALSE)="", "", VLOOKUP($A36, 'Client Data'!$A:$G,Spec!H$3,FALSE)))</f>
        <v/>
      </c>
      <c r="J36" s="20" t="str">
        <f>IF(NOT(ISNA($M36)), VLOOKUP($A36,'Client Data'!$A:$G,Spec!I$3,FALSE), "")</f>
        <v>A</v>
      </c>
      <c r="K36" s="20" t="str">
        <f>IF(NOT(ISNA($N36)), VLOOKUP($A36,'Employee Database'!$A:$K,Spec!J$2,FALSE), "")</f>
        <v>A</v>
      </c>
      <c r="M36" s="20">
        <f>MATCH(A36,'Client Data'!A:A,0)</f>
        <v>36</v>
      </c>
      <c r="N36" s="20">
        <f>MATCH(A36,'Employee Database'!A:A,0)</f>
        <v>40</v>
      </c>
      <c r="O36" t="str">
        <f t="shared" si="0"/>
        <v/>
      </c>
      <c r="P36" t="str">
        <f t="shared" si="1"/>
        <v/>
      </c>
      <c r="R36" s="23">
        <f>IF(OR(ISNA($M36),ISNA($N36)),"",IF(C36=VLOOKUP($A36,'Client Data'!$A:$G,Spec!B$3,FALSE),"",VLOOKUP($A36,'Client Data'!$A:$G,Spec!B$3,FALSE)))</f>
        <v>24017</v>
      </c>
      <c r="S36" s="23" t="str">
        <f>IF(OR(ISNA($M36),ISNA($N36)),"",IF(D36=VLOOKUP($A36,'Client Data'!$A:$G,Spec!C$3,FALSE),"",VLOOKUP($A36,'Client Data'!$A:$G,Spec!C$3,FALSE)))</f>
        <v/>
      </c>
      <c r="T36" s="23" t="str">
        <f>IF(OR(ISNA($M36),ISNA($N36)),"",IF(H36=VLOOKUP($A36,'Employee Database'!$A:$K,Spec!G$2,FALSE),"",VLOOKUP($A36,'Employee Database'!$A:$K,Spec!G$2,FALSE)))</f>
        <v/>
      </c>
      <c r="U36" s="23" t="str">
        <f>IF(OR(ISNA($M36),ISNA($N36)),"",IF(I36=VLOOKUP($A36,'Employee Database'!$A:$K,Spec!H$2,FALSE),"",VLOOKUP($A36,'Employee Database'!$A:$K,Spec!H$2,FALSE)))</f>
        <v/>
      </c>
    </row>
    <row r="37" spans="1:21" x14ac:dyDescent="0.2">
      <c r="A37" s="8">
        <v>462488</v>
      </c>
      <c r="B37" s="28" t="str">
        <f>IF(ISNA(MATCH(A37,'Employee Database'!$A$6:$A$58,0)),"Not Available",INDEX('Employee Database'!$B$6:$B$58,MATCH(A37,'Employee Database'!$A$6:$A$58,0)))</f>
        <v>Lam, Jacqueline E</v>
      </c>
      <c r="C37" s="24">
        <f>IF(NOT(ISNA($N37)),VLOOKUP($A37,'Employee Database'!$A:$K,Spec!B$2,FALSE), IF(NOT(ISNA($M37)), VLOOKUP($A37,'Client Data'!$A:$G,Spec!B$3,FALSE),""))</f>
        <v>22481</v>
      </c>
      <c r="D37" s="24">
        <f>IF(NOT(ISNA($N37)),VLOOKUP($A37,'Employee Database'!$A:$K,Spec!C$2,FALSE), IF(NOT(ISNA($M37)), VLOOKUP($A37,'Client Data'!$A:$G,Spec!C$3,FALSE),""))</f>
        <v>38401</v>
      </c>
      <c r="E37" s="26">
        <f>IF(NOT(ISNA($M37)), VLOOKUP($A37,'Client Data'!$A:$G,Spec!D$3,FALSE), "")</f>
        <v>86000</v>
      </c>
      <c r="F37" s="26">
        <f>IF(NOT(ISNA($N37)), VLOOKUP($A37,'Employee Database'!$A:$K,Spec!E$2,FALSE), "")</f>
        <v>142600</v>
      </c>
      <c r="G37" s="26">
        <f>IF(NOT(ISNA($N37)), VLOOKUP($A37,'Employee Database'!$A:$K,Spec!F$2,FALSE), "")</f>
        <v>135700</v>
      </c>
      <c r="H37" s="24" t="str">
        <f>IF(ISNA($M37), "", IF(VLOOKUP($A37,'Client Data'!$A:$G,Spec!G$3,FALSE)="", "", VLOOKUP($A37, 'Client Data'!$A:$G,Spec!G$3,FALSE)))</f>
        <v/>
      </c>
      <c r="I37" s="24" t="str">
        <f>IF(ISNA($M37), "", IF(VLOOKUP($A37,'Client Data'!$A:$G,Spec!H$3,FALSE)="", "", VLOOKUP($A37, 'Client Data'!$A:$G,Spec!H$3,FALSE)))</f>
        <v/>
      </c>
      <c r="J37" s="20" t="str">
        <f>IF(NOT(ISNA($M37)), VLOOKUP($A37,'Client Data'!$A:$G,Spec!I$3,FALSE), "")</f>
        <v>A</v>
      </c>
      <c r="K37" s="20" t="str">
        <f>IF(NOT(ISNA($N37)), VLOOKUP($A37,'Employee Database'!$A:$K,Spec!J$2,FALSE), "")</f>
        <v>A</v>
      </c>
      <c r="M37" s="20">
        <f>MATCH(A37,'Client Data'!A:A,0)</f>
        <v>37</v>
      </c>
      <c r="N37" s="20">
        <f>MATCH(A37,'Employee Database'!A:A,0)</f>
        <v>41</v>
      </c>
      <c r="O37" t="str">
        <f t="shared" si="0"/>
        <v/>
      </c>
      <c r="P37" t="str">
        <f t="shared" si="1"/>
        <v/>
      </c>
      <c r="R37" s="23" t="str">
        <f>IF(OR(ISNA($M37),ISNA($N37)),"",IF(C37=VLOOKUP($A37,'Client Data'!$A:$G,Spec!B$3,FALSE),"",VLOOKUP($A37,'Client Data'!$A:$G,Spec!B$3,FALSE)))</f>
        <v/>
      </c>
      <c r="S37" s="23" t="str">
        <f>IF(OR(ISNA($M37),ISNA($N37)),"",IF(D37=VLOOKUP($A37,'Client Data'!$A:$G,Spec!C$3,FALSE),"",VLOOKUP($A37,'Client Data'!$A:$G,Spec!C$3,FALSE)))</f>
        <v/>
      </c>
      <c r="T37" s="23" t="str">
        <f>IF(OR(ISNA($M37),ISNA($N37)),"",IF(H37=VLOOKUP($A37,'Employee Database'!$A:$K,Spec!G$2,FALSE),"",VLOOKUP($A37,'Employee Database'!$A:$K,Spec!G$2,FALSE)))</f>
        <v/>
      </c>
      <c r="U37" s="23" t="str">
        <f>IF(OR(ISNA($M37),ISNA($N37)),"",IF(I37=VLOOKUP($A37,'Employee Database'!$A:$K,Spec!H$2,FALSE),"",VLOOKUP($A37,'Employee Database'!$A:$K,Spec!H$2,FALSE)))</f>
        <v/>
      </c>
    </row>
    <row r="38" spans="1:21" x14ac:dyDescent="0.2">
      <c r="A38" s="8">
        <v>472297</v>
      </c>
      <c r="B38" s="28" t="str">
        <f>IF(ISNA(MATCH(A38,'Employee Database'!$A$6:$A$58,0)),"Not Available",INDEX('Employee Database'!$B$6:$B$58,MATCH(A38,'Employee Database'!$A$6:$A$58,0)))</f>
        <v>Johnson, Aaron</v>
      </c>
      <c r="C38" s="24">
        <f>IF(NOT(ISNA($N38)),VLOOKUP($A38,'Employee Database'!$A:$K,Spec!B$2,FALSE), IF(NOT(ISNA($M38)), VLOOKUP($A38,'Client Data'!$A:$G,Spec!B$3,FALSE),""))</f>
        <v>33987</v>
      </c>
      <c r="D38" s="24">
        <f>IF(NOT(ISNA($N38)),VLOOKUP($A38,'Employee Database'!$A:$K,Spec!C$2,FALSE), IF(NOT(ISNA($M38)), VLOOKUP($A38,'Client Data'!$A:$G,Spec!C$3,FALSE),""))</f>
        <v>38375</v>
      </c>
      <c r="E38" s="26">
        <f>IF(NOT(ISNA($M38)), VLOOKUP($A38,'Client Data'!$A:$G,Spec!D$3,FALSE), "")</f>
        <v>86000</v>
      </c>
      <c r="F38" s="26">
        <f>IF(NOT(ISNA($N38)), VLOOKUP($A38,'Employee Database'!$A:$K,Spec!E$2,FALSE), "")</f>
        <v>141100</v>
      </c>
      <c r="G38" s="26">
        <f>IF(NOT(ISNA($N38)), VLOOKUP($A38,'Employee Database'!$A:$K,Spec!F$2,FALSE), "")</f>
        <v>134400</v>
      </c>
      <c r="H38" s="24" t="str">
        <f>IF(ISNA($M38), "", IF(VLOOKUP($A38,'Client Data'!$A:$G,Spec!G$3,FALSE)="", "", VLOOKUP($A38, 'Client Data'!$A:$G,Spec!G$3,FALSE)))</f>
        <v/>
      </c>
      <c r="I38" s="24" t="str">
        <f>IF(ISNA($M38), "", IF(VLOOKUP($A38,'Client Data'!$A:$G,Spec!H$3,FALSE)="", "", VLOOKUP($A38, 'Client Data'!$A:$G,Spec!H$3,FALSE)))</f>
        <v/>
      </c>
      <c r="J38" s="20" t="str">
        <f>IF(NOT(ISNA($M38)), VLOOKUP($A38,'Client Data'!$A:$G,Spec!I$3,FALSE), "")</f>
        <v>A</v>
      </c>
      <c r="K38" s="20" t="str">
        <f>IF(NOT(ISNA($N38)), VLOOKUP($A38,'Employee Database'!$A:$K,Spec!J$2,FALSE), "")</f>
        <v>A</v>
      </c>
      <c r="M38" s="20">
        <f>MATCH(A38,'Client Data'!A:A,0)</f>
        <v>38</v>
      </c>
      <c r="N38" s="20">
        <f>MATCH(A38,'Employee Database'!A:A,0)</f>
        <v>42</v>
      </c>
      <c r="O38" t="str">
        <f t="shared" si="0"/>
        <v/>
      </c>
      <c r="P38" t="str">
        <f t="shared" si="1"/>
        <v/>
      </c>
      <c r="R38" s="23" t="str">
        <f>IF(OR(ISNA($M38),ISNA($N38)),"",IF(C38=VLOOKUP($A38,'Client Data'!$A:$G,Spec!B$3,FALSE),"",VLOOKUP($A38,'Client Data'!$A:$G,Spec!B$3,FALSE)))</f>
        <v/>
      </c>
      <c r="S38" s="23" t="str">
        <f>IF(OR(ISNA($M38),ISNA($N38)),"",IF(D38=VLOOKUP($A38,'Client Data'!$A:$G,Spec!C$3,FALSE),"",VLOOKUP($A38,'Client Data'!$A:$G,Spec!C$3,FALSE)))</f>
        <v/>
      </c>
      <c r="T38" s="23" t="str">
        <f>IF(OR(ISNA($M38),ISNA($N38)),"",IF(H38=VLOOKUP($A38,'Employee Database'!$A:$K,Spec!G$2,FALSE),"",VLOOKUP($A38,'Employee Database'!$A:$K,Spec!G$2,FALSE)))</f>
        <v/>
      </c>
      <c r="U38" s="23" t="str">
        <f>IF(OR(ISNA($M38),ISNA($N38)),"",IF(I38=VLOOKUP($A38,'Employee Database'!$A:$K,Spec!H$2,FALSE),"",VLOOKUP($A38,'Employee Database'!$A:$K,Spec!H$2,FALSE)))</f>
        <v/>
      </c>
    </row>
    <row r="39" spans="1:21" x14ac:dyDescent="0.2">
      <c r="A39" s="8">
        <v>489909</v>
      </c>
      <c r="B39" s="28" t="str">
        <f>IF(ISNA(MATCH(A39,'Employee Database'!$A$6:$A$58,0)),"Not Available",INDEX('Employee Database'!$B$6:$B$58,MATCH(A39,'Employee Database'!$A$6:$A$58,0)))</f>
        <v>Nelson, Jumaan</v>
      </c>
      <c r="C39" s="24">
        <f>IF(NOT(ISNA($N39)),VLOOKUP($A39,'Employee Database'!$A:$K,Spec!B$2,FALSE), IF(NOT(ISNA($M39)), VLOOKUP($A39,'Client Data'!$A:$G,Spec!B$3,FALSE),""))</f>
        <v>24490</v>
      </c>
      <c r="D39" s="24">
        <f>IF(NOT(ISNA($N39)),VLOOKUP($A39,'Employee Database'!$A:$K,Spec!C$2,FALSE), IF(NOT(ISNA($M39)), VLOOKUP($A39,'Client Data'!$A:$G,Spec!C$3,FALSE),""))</f>
        <v>1</v>
      </c>
      <c r="E39" s="26">
        <f>IF(NOT(ISNA($M39)), VLOOKUP($A39,'Client Data'!$A:$G,Spec!D$3,FALSE), "")</f>
        <v>86000</v>
      </c>
      <c r="F39" s="26">
        <f>IF(NOT(ISNA($N39)), VLOOKUP($A39,'Employee Database'!$A:$K,Spec!E$2,FALSE), "")</f>
        <v>139700</v>
      </c>
      <c r="G39" s="26">
        <f>IF(NOT(ISNA($N39)), VLOOKUP($A39,'Employee Database'!$A:$K,Spec!F$2,FALSE), "")</f>
        <v>133100</v>
      </c>
      <c r="H39" s="24" t="str">
        <f>IF(ISNA($M39), "", IF(VLOOKUP($A39,'Client Data'!$A:$G,Spec!G$3,FALSE)="", "", VLOOKUP($A39, 'Client Data'!$A:$G,Spec!G$3,FALSE)))</f>
        <v/>
      </c>
      <c r="I39" s="24" t="str">
        <f>IF(ISNA($M39), "", IF(VLOOKUP($A39,'Client Data'!$A:$G,Spec!H$3,FALSE)="", "", VLOOKUP($A39, 'Client Data'!$A:$G,Spec!H$3,FALSE)))</f>
        <v/>
      </c>
      <c r="J39" s="20" t="str">
        <f>IF(NOT(ISNA($M39)), VLOOKUP($A39,'Client Data'!$A:$G,Spec!I$3,FALSE), "")</f>
        <v>A</v>
      </c>
      <c r="K39" s="20" t="str">
        <f>IF(NOT(ISNA($N39)), VLOOKUP($A39,'Employee Database'!$A:$K,Spec!J$2,FALSE), "")</f>
        <v>A</v>
      </c>
      <c r="M39" s="20">
        <f>MATCH(A39,'Client Data'!A:A,0)</f>
        <v>39</v>
      </c>
      <c r="N39" s="20">
        <f>MATCH(A39,'Employee Database'!A:A,0)</f>
        <v>43</v>
      </c>
      <c r="O39" t="str">
        <f t="shared" si="0"/>
        <v/>
      </c>
      <c r="P39" t="str">
        <f t="shared" si="1"/>
        <v/>
      </c>
      <c r="R39" s="23" t="str">
        <f>IF(OR(ISNA($M39),ISNA($N39)),"",IF(C39=VLOOKUP($A39,'Client Data'!$A:$G,Spec!B$3,FALSE),"",VLOOKUP($A39,'Client Data'!$A:$G,Spec!B$3,FALSE)))</f>
        <v/>
      </c>
      <c r="S39" s="23" t="str">
        <f>IF(OR(ISNA($M39),ISNA($N39)),"",IF(D39=VLOOKUP($A39,'Client Data'!$A:$G,Spec!C$3,FALSE),"",VLOOKUP($A39,'Client Data'!$A:$G,Spec!C$3,FALSE)))</f>
        <v/>
      </c>
      <c r="T39" s="23" t="str">
        <f>IF(OR(ISNA($M39),ISNA($N39)),"",IF(H39=VLOOKUP($A39,'Employee Database'!$A:$K,Spec!G$2,FALSE),"",VLOOKUP($A39,'Employee Database'!$A:$K,Spec!G$2,FALSE)))</f>
        <v/>
      </c>
      <c r="U39" s="23" t="str">
        <f>IF(OR(ISNA($M39),ISNA($N39)),"",IF(I39=VLOOKUP($A39,'Employee Database'!$A:$K,Spec!H$2,FALSE),"",VLOOKUP($A39,'Employee Database'!$A:$K,Spec!H$2,FALSE)))</f>
        <v/>
      </c>
    </row>
    <row r="40" spans="1:21" x14ac:dyDescent="0.2">
      <c r="A40" s="8">
        <v>489933</v>
      </c>
      <c r="B40" s="28" t="str">
        <f>IF(ISNA(MATCH(A40,'Employee Database'!$A$6:$A$58,0)),"Not Available",INDEX('Employee Database'!$B$6:$B$58,MATCH(A40,'Employee Database'!$A$6:$A$58,0)))</f>
        <v>Larson, Luke</v>
      </c>
      <c r="C40" s="24">
        <f>IF(NOT(ISNA($N40)),VLOOKUP($A40,'Employee Database'!$A:$K,Spec!B$2,FALSE), IF(NOT(ISNA($M40)), VLOOKUP($A40,'Client Data'!$A:$G,Spec!B$3,FALSE),""))</f>
        <v>22158</v>
      </c>
      <c r="D40" s="24">
        <f>IF(NOT(ISNA($N40)),VLOOKUP($A40,'Employee Database'!$A:$K,Spec!C$2,FALSE), IF(NOT(ISNA($M40)), VLOOKUP($A40,'Client Data'!$A:$G,Spec!C$3,FALSE),""))</f>
        <v>36329</v>
      </c>
      <c r="E40" s="26">
        <f>IF(NOT(ISNA($M40)), VLOOKUP($A40,'Client Data'!$A:$G,Spec!D$3,FALSE), "")</f>
        <v>86000</v>
      </c>
      <c r="F40" s="26">
        <f>IF(NOT(ISNA($N40)), VLOOKUP($A40,'Employee Database'!$A:$K,Spec!E$2,FALSE), "")</f>
        <v>138200</v>
      </c>
      <c r="G40" s="26">
        <f>IF(NOT(ISNA($N40)), VLOOKUP($A40,'Employee Database'!$A:$K,Spec!F$2,FALSE), "")</f>
        <v>131600</v>
      </c>
      <c r="H40" s="24" t="str">
        <f>IF(ISNA($M40), "", IF(VLOOKUP($A40,'Client Data'!$A:$G,Spec!G$3,FALSE)="", "", VLOOKUP($A40, 'Client Data'!$A:$G,Spec!G$3,FALSE)))</f>
        <v/>
      </c>
      <c r="I40" s="24" t="str">
        <f>IF(ISNA($M40), "", IF(VLOOKUP($A40,'Client Data'!$A:$G,Spec!H$3,FALSE)="", "", VLOOKUP($A40, 'Client Data'!$A:$G,Spec!H$3,FALSE)))</f>
        <v/>
      </c>
      <c r="J40" s="20" t="str">
        <f>IF(NOT(ISNA($M40)), VLOOKUP($A40,'Client Data'!$A:$G,Spec!I$3,FALSE), "")</f>
        <v>A</v>
      </c>
      <c r="K40" s="20" t="str">
        <f>IF(NOT(ISNA($N40)), VLOOKUP($A40,'Employee Database'!$A:$K,Spec!J$2,FALSE), "")</f>
        <v>A</v>
      </c>
      <c r="M40" s="20">
        <f>MATCH(A40,'Client Data'!A:A,0)</f>
        <v>40</v>
      </c>
      <c r="N40" s="20">
        <f>MATCH(A40,'Employee Database'!A:A,0)</f>
        <v>44</v>
      </c>
      <c r="O40" t="str">
        <f t="shared" si="0"/>
        <v/>
      </c>
      <c r="P40" t="str">
        <f t="shared" si="1"/>
        <v/>
      </c>
      <c r="R40" s="23" t="str">
        <f>IF(OR(ISNA($M40),ISNA($N40)),"",IF(C40=VLOOKUP($A40,'Client Data'!$A:$G,Spec!B$3,FALSE),"",VLOOKUP($A40,'Client Data'!$A:$G,Spec!B$3,FALSE)))</f>
        <v/>
      </c>
      <c r="S40" s="23" t="str">
        <f>IF(OR(ISNA($M40),ISNA($N40)),"",IF(D40=VLOOKUP($A40,'Client Data'!$A:$G,Spec!C$3,FALSE),"",VLOOKUP($A40,'Client Data'!$A:$G,Spec!C$3,FALSE)))</f>
        <v/>
      </c>
      <c r="T40" s="23" t="str">
        <f>IF(OR(ISNA($M40),ISNA($N40)),"",IF(H40=VLOOKUP($A40,'Employee Database'!$A:$K,Spec!G$2,FALSE),"",VLOOKUP($A40,'Employee Database'!$A:$K,Spec!G$2,FALSE)))</f>
        <v/>
      </c>
      <c r="U40" s="23" t="str">
        <f>IF(OR(ISNA($M40),ISNA($N40)),"",IF(I40=VLOOKUP($A40,'Employee Database'!$A:$K,Spec!H$2,FALSE),"",VLOOKUP($A40,'Employee Database'!$A:$K,Spec!H$2,FALSE)))</f>
        <v/>
      </c>
    </row>
    <row r="41" spans="1:21" x14ac:dyDescent="0.2">
      <c r="A41" s="8">
        <v>537613</v>
      </c>
      <c r="B41" s="28" t="str">
        <f>IF(ISNA(MATCH(A41,'Employee Database'!$A$6:$A$58,0)),"Not Available",INDEX('Employee Database'!$B$6:$B$58,MATCH(A41,'Employee Database'!$A$6:$A$58,0)))</f>
        <v>Souers, Celina</v>
      </c>
      <c r="C41" s="24">
        <f>IF(NOT(ISNA($N41)),VLOOKUP($A41,'Employee Database'!$A:$K,Spec!B$2,FALSE), IF(NOT(ISNA($M41)), VLOOKUP($A41,'Client Data'!$A:$G,Spec!B$3,FALSE),""))</f>
        <v>30229</v>
      </c>
      <c r="D41" s="24">
        <f>IF(NOT(ISNA($N41)),VLOOKUP($A41,'Employee Database'!$A:$K,Spec!C$2,FALSE), IF(NOT(ISNA($M41)), VLOOKUP($A41,'Client Data'!$A:$G,Spec!C$3,FALSE),""))</f>
        <v>35267</v>
      </c>
      <c r="E41" s="26">
        <f>IF(NOT(ISNA($M41)), VLOOKUP($A41,'Client Data'!$A:$G,Spec!D$3,FALSE), "")</f>
        <v>86000</v>
      </c>
      <c r="F41" s="26">
        <f>IF(NOT(ISNA($N41)), VLOOKUP($A41,'Employee Database'!$A:$K,Spec!E$2,FALSE), "")</f>
        <v>136800</v>
      </c>
      <c r="G41" s="26">
        <f>IF(NOT(ISNA($N41)), VLOOKUP($A41,'Employee Database'!$A:$K,Spec!F$2,FALSE), "")</f>
        <v>130300</v>
      </c>
      <c r="H41" s="24" t="str">
        <f>IF(ISNA($M41), "", IF(VLOOKUP($A41,'Client Data'!$A:$G,Spec!G$3,FALSE)="", "", VLOOKUP($A41, 'Client Data'!$A:$G,Spec!G$3,FALSE)))</f>
        <v/>
      </c>
      <c r="I41" s="24" t="str">
        <f>IF(ISNA($M41), "", IF(VLOOKUP($A41,'Client Data'!$A:$G,Spec!H$3,FALSE)="", "", VLOOKUP($A41, 'Client Data'!$A:$G,Spec!H$3,FALSE)))</f>
        <v/>
      </c>
      <c r="J41" s="20" t="str">
        <f>IF(NOT(ISNA($M41)), VLOOKUP($A41,'Client Data'!$A:$G,Spec!I$3,FALSE), "")</f>
        <v>A</v>
      </c>
      <c r="K41" s="20" t="str">
        <f>IF(NOT(ISNA($N41)), VLOOKUP($A41,'Employee Database'!$A:$K,Spec!J$2,FALSE), "")</f>
        <v>A</v>
      </c>
      <c r="M41" s="20">
        <f>MATCH(A41,'Client Data'!A:A,0)</f>
        <v>41</v>
      </c>
      <c r="N41" s="20">
        <f>MATCH(A41,'Employee Database'!A:A,0)</f>
        <v>45</v>
      </c>
      <c r="O41" t="str">
        <f t="shared" si="0"/>
        <v/>
      </c>
      <c r="P41" t="str">
        <f t="shared" si="1"/>
        <v/>
      </c>
      <c r="R41" s="23" t="str">
        <f>IF(OR(ISNA($M41),ISNA($N41)),"",IF(C41=VLOOKUP($A41,'Client Data'!$A:$G,Spec!B$3,FALSE),"",VLOOKUP($A41,'Client Data'!$A:$G,Spec!B$3,FALSE)))</f>
        <v/>
      </c>
      <c r="S41" s="23" t="str">
        <f>IF(OR(ISNA($M41),ISNA($N41)),"",IF(D41=VLOOKUP($A41,'Client Data'!$A:$G,Spec!C$3,FALSE),"",VLOOKUP($A41,'Client Data'!$A:$G,Spec!C$3,FALSE)))</f>
        <v/>
      </c>
      <c r="T41" s="23" t="str">
        <f>IF(OR(ISNA($M41),ISNA($N41)),"",IF(H41=VLOOKUP($A41,'Employee Database'!$A:$K,Spec!G$2,FALSE),"",VLOOKUP($A41,'Employee Database'!$A:$K,Spec!G$2,FALSE)))</f>
        <v/>
      </c>
      <c r="U41" s="23" t="str">
        <f>IF(OR(ISNA($M41),ISNA($N41)),"",IF(I41=VLOOKUP($A41,'Employee Database'!$A:$K,Spec!H$2,FALSE),"",VLOOKUP($A41,'Employee Database'!$A:$K,Spec!H$2,FALSE)))</f>
        <v/>
      </c>
    </row>
    <row r="42" spans="1:21" x14ac:dyDescent="0.2">
      <c r="A42" s="8">
        <v>538228</v>
      </c>
      <c r="B42" s="28" t="str">
        <f>IF(ISNA(MATCH(A42,'Employee Database'!$A$6:$A$58,0)),"Not Available",INDEX('Employee Database'!$B$6:$B$58,MATCH(A42,'Employee Database'!$A$6:$A$58,0)))</f>
        <v>Doll Woolley, Yazeed</v>
      </c>
      <c r="C42" s="24">
        <f>IF(NOT(ISNA($N42)),VLOOKUP($A42,'Employee Database'!$A:$K,Spec!B$2,FALSE), IF(NOT(ISNA($M42)), VLOOKUP($A42,'Client Data'!$A:$G,Spec!B$3,FALSE),""))</f>
        <v>15818</v>
      </c>
      <c r="D42" s="24">
        <f>IF(NOT(ISNA($N42)),VLOOKUP($A42,'Employee Database'!$A:$K,Spec!C$2,FALSE), IF(NOT(ISNA($M42)), VLOOKUP($A42,'Client Data'!$A:$G,Spec!C$3,FALSE),""))</f>
        <v>41629</v>
      </c>
      <c r="E42" s="26">
        <f>IF(NOT(ISNA($M42)), VLOOKUP($A42,'Client Data'!$A:$G,Spec!D$3,FALSE), "")</f>
        <v>86000</v>
      </c>
      <c r="F42" s="26">
        <f>IF(NOT(ISNA($N42)), VLOOKUP($A42,'Employee Database'!$A:$K,Spec!E$2,FALSE), "")</f>
        <v>460800</v>
      </c>
      <c r="G42" s="26">
        <f>IF(NOT(ISNA($N42)), VLOOKUP($A42,'Employee Database'!$A:$K,Spec!F$2,FALSE), "")</f>
        <v>46100</v>
      </c>
      <c r="H42" s="24" t="str">
        <f>IF(ISNA($M42), "", IF(VLOOKUP($A42,'Client Data'!$A:$G,Spec!G$3,FALSE)="", "", VLOOKUP($A42, 'Client Data'!$A:$G,Spec!G$3,FALSE)))</f>
        <v/>
      </c>
      <c r="I42" s="24" t="str">
        <f>IF(ISNA($M42), "", IF(VLOOKUP($A42,'Client Data'!$A:$G,Spec!H$3,FALSE)="", "", VLOOKUP($A42, 'Client Data'!$A:$G,Spec!H$3,FALSE)))</f>
        <v/>
      </c>
      <c r="J42" s="20" t="str">
        <f>IF(NOT(ISNA($M42)), VLOOKUP($A42,'Client Data'!$A:$G,Spec!I$3,FALSE), "")</f>
        <v>A</v>
      </c>
      <c r="K42" s="20" t="str">
        <f>IF(NOT(ISNA($N42)), VLOOKUP($A42,'Employee Database'!$A:$K,Spec!J$2,FALSE), "")</f>
        <v>A</v>
      </c>
      <c r="M42" s="20">
        <f>MATCH(A42,'Client Data'!A:A,0)</f>
        <v>42</v>
      </c>
      <c r="N42" s="20">
        <f>MATCH(A42,'Employee Database'!A:A,0)</f>
        <v>46</v>
      </c>
      <c r="O42" t="str">
        <f t="shared" si="0"/>
        <v/>
      </c>
      <c r="P42" t="str">
        <f t="shared" si="1"/>
        <v/>
      </c>
      <c r="R42" s="23" t="str">
        <f>IF(OR(ISNA($M42),ISNA($N42)),"",IF(C42=VLOOKUP($A42,'Client Data'!$A:$G,Spec!B$3,FALSE),"",VLOOKUP($A42,'Client Data'!$A:$G,Spec!B$3,FALSE)))</f>
        <v/>
      </c>
      <c r="S42" s="23">
        <f>IF(OR(ISNA($M42),ISNA($N42)),"",IF(D42=VLOOKUP($A42,'Client Data'!$A:$G,Spec!C$3,FALSE),"",VLOOKUP($A42,'Client Data'!$A:$G,Spec!C$3,FALSE)))</f>
        <v>45281</v>
      </c>
      <c r="T42" s="23" t="str">
        <f>IF(OR(ISNA($M42),ISNA($N42)),"",IF(H42=VLOOKUP($A42,'Employee Database'!$A:$K,Spec!G$2,FALSE),"",VLOOKUP($A42,'Employee Database'!$A:$K,Spec!G$2,FALSE)))</f>
        <v/>
      </c>
      <c r="U42" s="23" t="str">
        <f>IF(OR(ISNA($M42),ISNA($N42)),"",IF(I42=VLOOKUP($A42,'Employee Database'!$A:$K,Spec!H$2,FALSE),"",VLOOKUP($A42,'Employee Database'!$A:$K,Spec!H$2,FALSE)))</f>
        <v/>
      </c>
    </row>
    <row r="43" spans="1:21" x14ac:dyDescent="0.2">
      <c r="A43" s="8">
        <v>545776</v>
      </c>
      <c r="B43" s="28" t="str">
        <f>IF(ISNA(MATCH(A43,'Employee Database'!$A$6:$A$58,0)),"Not Available",INDEX('Employee Database'!$B$6:$B$58,MATCH(A43,'Employee Database'!$A$6:$A$58,0)))</f>
        <v>Larson, Brian</v>
      </c>
      <c r="C43" s="24">
        <f>IF(NOT(ISNA($N43)),VLOOKUP($A43,'Employee Database'!$A:$K,Spec!B$2,FALSE), IF(NOT(ISNA($M43)), VLOOKUP($A43,'Client Data'!$A:$G,Spec!B$3,FALSE),""))</f>
        <v>24090</v>
      </c>
      <c r="D43" s="24">
        <f>IF(NOT(ISNA($N43)),VLOOKUP($A43,'Employee Database'!$A:$K,Spec!C$2,FALSE), IF(NOT(ISNA($M43)), VLOOKUP($A43,'Client Data'!$A:$G,Spec!C$3,FALSE),""))</f>
        <v>35762</v>
      </c>
      <c r="E43" s="26">
        <f>IF(NOT(ISNA($M43)), VLOOKUP($A43,'Client Data'!$A:$G,Spec!D$3,FALSE), "")</f>
        <v>86000</v>
      </c>
      <c r="F43" s="26">
        <f>IF(NOT(ISNA($N43)), VLOOKUP($A43,'Employee Database'!$A:$K,Spec!E$2,FALSE), "")</f>
        <v>133900</v>
      </c>
      <c r="G43" s="26">
        <f>IF(NOT(ISNA($N43)), VLOOKUP($A43,'Employee Database'!$A:$K,Spec!F$2,FALSE), "")</f>
        <v>127600</v>
      </c>
      <c r="H43" s="24" t="str">
        <f>IF(ISNA($M43), "", IF(VLOOKUP($A43,'Client Data'!$A:$G,Spec!G$3,FALSE)="", "", VLOOKUP($A43, 'Client Data'!$A:$G,Spec!G$3,FALSE)))</f>
        <v/>
      </c>
      <c r="I43" s="24" t="str">
        <f>IF(ISNA($M43), "", IF(VLOOKUP($A43,'Client Data'!$A:$G,Spec!H$3,FALSE)="", "", VLOOKUP($A43, 'Client Data'!$A:$G,Spec!H$3,FALSE)))</f>
        <v/>
      </c>
      <c r="J43" s="20" t="str">
        <f>IF(NOT(ISNA($M43)), VLOOKUP($A43,'Client Data'!$A:$G,Spec!I$3,FALSE), "")</f>
        <v>A</v>
      </c>
      <c r="K43" s="20" t="str">
        <f>IF(NOT(ISNA($N43)), VLOOKUP($A43,'Employee Database'!$A:$K,Spec!J$2,FALSE), "")</f>
        <v>A</v>
      </c>
      <c r="M43" s="20">
        <f>MATCH(A43,'Client Data'!A:A,0)</f>
        <v>43</v>
      </c>
      <c r="N43" s="20">
        <f>MATCH(A43,'Employee Database'!A:A,0)</f>
        <v>47</v>
      </c>
      <c r="O43" t="str">
        <f t="shared" si="0"/>
        <v/>
      </c>
      <c r="P43" t="str">
        <f t="shared" si="1"/>
        <v/>
      </c>
      <c r="R43" s="23" t="str">
        <f>IF(OR(ISNA($M43),ISNA($N43)),"",IF(C43=VLOOKUP($A43,'Client Data'!$A:$G,Spec!B$3,FALSE),"",VLOOKUP($A43,'Client Data'!$A:$G,Spec!B$3,FALSE)))</f>
        <v/>
      </c>
      <c r="S43" s="23" t="str">
        <f>IF(OR(ISNA($M43),ISNA($N43)),"",IF(D43=VLOOKUP($A43,'Client Data'!$A:$G,Spec!C$3,FALSE),"",VLOOKUP($A43,'Client Data'!$A:$G,Spec!C$3,FALSE)))</f>
        <v/>
      </c>
      <c r="T43" s="23" t="str">
        <f>IF(OR(ISNA($M43),ISNA($N43)),"",IF(H43=VLOOKUP($A43,'Employee Database'!$A:$K,Spec!G$2,FALSE),"",VLOOKUP($A43,'Employee Database'!$A:$K,Spec!G$2,FALSE)))</f>
        <v/>
      </c>
      <c r="U43" s="23" t="str">
        <f>IF(OR(ISNA($M43),ISNA($N43)),"",IF(I43=VLOOKUP($A43,'Employee Database'!$A:$K,Spec!H$2,FALSE),"",VLOOKUP($A43,'Employee Database'!$A:$K,Spec!H$2,FALSE)))</f>
        <v/>
      </c>
    </row>
    <row r="44" spans="1:21" x14ac:dyDescent="0.2">
      <c r="A44" s="8">
        <v>565414</v>
      </c>
      <c r="B44" s="28" t="str">
        <f>IF(ISNA(MATCH(A44,'Employee Database'!$A$6:$A$58,0)),"Not Available",INDEX('Employee Database'!$B$6:$B$58,MATCH(A44,'Employee Database'!$A$6:$A$58,0)))</f>
        <v>Aho, Blake</v>
      </c>
      <c r="C44" s="24">
        <f>IF(NOT(ISNA($N44)),VLOOKUP($A44,'Employee Database'!$A:$K,Spec!B$2,FALSE), IF(NOT(ISNA($M44)), VLOOKUP($A44,'Client Data'!$A:$G,Spec!B$3,FALSE),""))</f>
        <v>21758</v>
      </c>
      <c r="D44" s="24">
        <f>IF(NOT(ISNA($N44)),VLOOKUP($A44,'Employee Database'!$A:$K,Spec!C$2,FALSE), IF(NOT(ISNA($M44)), VLOOKUP($A44,'Client Data'!$A:$G,Spec!C$3,FALSE),""))</f>
        <v>41474</v>
      </c>
      <c r="E44" s="26">
        <f>IF(NOT(ISNA($M44)), VLOOKUP($A44,'Client Data'!$A:$G,Spec!D$3,FALSE), "")</f>
        <v>110000</v>
      </c>
      <c r="F44" s="26">
        <f>IF(NOT(ISNA($N44)), VLOOKUP($A44,'Employee Database'!$A:$K,Spec!E$2,FALSE), "")</f>
        <v>132500</v>
      </c>
      <c r="G44" s="26">
        <f>IF(NOT(ISNA($N44)), VLOOKUP($A44,'Employee Database'!$A:$K,Spec!F$2,FALSE), "")</f>
        <v>57600</v>
      </c>
      <c r="H44" s="24" t="str">
        <f>IF(ISNA($M44), "", IF(VLOOKUP($A44,'Client Data'!$A:$G,Spec!G$3,FALSE)="", "", VLOOKUP($A44, 'Client Data'!$A:$G,Spec!G$3,FALSE)))</f>
        <v/>
      </c>
      <c r="I44" s="24" t="str">
        <f>IF(ISNA($M44), "", IF(VLOOKUP($A44,'Client Data'!$A:$G,Spec!H$3,FALSE)="", "", VLOOKUP($A44, 'Client Data'!$A:$G,Spec!H$3,FALSE)))</f>
        <v/>
      </c>
      <c r="J44" s="20" t="str">
        <f>IF(NOT(ISNA($M44)), VLOOKUP($A44,'Client Data'!$A:$G,Spec!I$3,FALSE), "")</f>
        <v>A</v>
      </c>
      <c r="K44" s="20" t="str">
        <f>IF(NOT(ISNA($N44)), VLOOKUP($A44,'Employee Database'!$A:$K,Spec!J$2,FALSE), "")</f>
        <v>A</v>
      </c>
      <c r="M44" s="20">
        <f>MATCH(A44,'Client Data'!A:A,0)</f>
        <v>51</v>
      </c>
      <c r="N44" s="20">
        <f>MATCH(A44,'Employee Database'!A:A,0)</f>
        <v>48</v>
      </c>
      <c r="O44" t="str">
        <f t="shared" si="0"/>
        <v/>
      </c>
      <c r="P44" t="str">
        <f t="shared" si="1"/>
        <v/>
      </c>
      <c r="R44" s="23" t="str">
        <f>IF(OR(ISNA($M44),ISNA($N44)),"",IF(C44=VLOOKUP($A44,'Client Data'!$A:$G,Spec!B$3,FALSE),"",VLOOKUP($A44,'Client Data'!$A:$G,Spec!B$3,FALSE)))</f>
        <v/>
      </c>
      <c r="S44" s="23">
        <f>IF(OR(ISNA($M44),ISNA($N44)),"",IF(D44=VLOOKUP($A44,'Client Data'!$A:$G,Spec!C$3,FALSE),"",VLOOKUP($A44,'Client Data'!$A:$G,Spec!C$3,FALSE)))</f>
        <v>0</v>
      </c>
      <c r="T44" s="23" t="str">
        <f>IF(OR(ISNA($M44),ISNA($N44)),"",IF(H44=VLOOKUP($A44,'Employee Database'!$A:$K,Spec!G$2,FALSE),"",VLOOKUP($A44,'Employee Database'!$A:$K,Spec!G$2,FALSE)))</f>
        <v/>
      </c>
      <c r="U44" s="23" t="str">
        <f>IF(OR(ISNA($M44),ISNA($N44)),"",IF(I44=VLOOKUP($A44,'Employee Database'!$A:$K,Spec!H$2,FALSE),"",VLOOKUP($A44,'Employee Database'!$A:$K,Spec!H$2,FALSE)))</f>
        <v/>
      </c>
    </row>
    <row r="45" spans="1:21" x14ac:dyDescent="0.2">
      <c r="A45" s="8">
        <v>570202</v>
      </c>
      <c r="B45" s="28" t="str">
        <f>IF(ISNA(MATCH(A45,'Employee Database'!$A$6:$A$58,0)),"Not Available",INDEX('Employee Database'!$B$6:$B$58,MATCH(A45,'Employee Database'!$A$6:$A$58,0)))</f>
        <v>Klendshoj, Saleh</v>
      </c>
      <c r="C45" s="24">
        <f>IF(NOT(ISNA($N45)),VLOOKUP($A45,'Employee Database'!$A:$K,Spec!B$2,FALSE), IF(NOT(ISNA($M45)), VLOOKUP($A45,'Client Data'!$A:$G,Spec!B$3,FALSE),""))</f>
        <v>16239</v>
      </c>
      <c r="D45" s="24">
        <f>IF(NOT(ISNA($N45)),VLOOKUP($A45,'Employee Database'!$A:$K,Spec!C$2,FALSE), IF(NOT(ISNA($M45)), VLOOKUP($A45,'Client Data'!$A:$G,Spec!C$3,FALSE),""))</f>
        <v>40073</v>
      </c>
      <c r="E45" s="26">
        <f>IF(NOT(ISNA($M45)), VLOOKUP($A45,'Client Data'!$A:$G,Spec!D$3,FALSE), "")</f>
        <v>0</v>
      </c>
      <c r="F45" s="26">
        <f>IF(NOT(ISNA($N45)), VLOOKUP($A45,'Employee Database'!$A:$K,Spec!E$2,FALSE), "")</f>
        <v>90000</v>
      </c>
      <c r="G45" s="26">
        <f>IF(NOT(ISNA($N45)), VLOOKUP($A45,'Employee Database'!$A:$K,Spec!F$2,FALSE), "")</f>
        <v>85700</v>
      </c>
      <c r="H45" s="24" t="str">
        <f>IF(ISNA($M45), "", IF(VLOOKUP($A45,'Client Data'!$A:$G,Spec!G$3,FALSE)="", "", VLOOKUP($A45, 'Client Data'!$A:$G,Spec!G$3,FALSE)))</f>
        <v/>
      </c>
      <c r="I45" s="24" t="str">
        <f>IF(ISNA($M45), "", IF(VLOOKUP($A45,'Client Data'!$A:$G,Spec!H$3,FALSE)="", "", VLOOKUP($A45, 'Client Data'!$A:$G,Spec!H$3,FALSE)))</f>
        <v/>
      </c>
      <c r="J45" s="20">
        <f>IF(NOT(ISNA($M45)), VLOOKUP($A45,'Client Data'!$A:$G,Spec!I$3,FALSE), "")</f>
        <v>0</v>
      </c>
      <c r="K45" s="20" t="str">
        <f>IF(NOT(ISNA($N45)), VLOOKUP($A45,'Employee Database'!$A:$K,Spec!J$2,FALSE), "")</f>
        <v>A</v>
      </c>
      <c r="M45" s="20">
        <f>MATCH(A45,'Client Data'!A:A,0)</f>
        <v>52</v>
      </c>
      <c r="N45" s="20">
        <f>MATCH(A45,'Employee Database'!A:A,0)</f>
        <v>49</v>
      </c>
      <c r="O45" t="str">
        <f t="shared" si="0"/>
        <v/>
      </c>
      <c r="P45" t="str">
        <f t="shared" si="1"/>
        <v/>
      </c>
      <c r="R45" s="23" t="str">
        <f>IF(OR(ISNA($M45),ISNA($N45)),"",IF(C45=VLOOKUP($A45,'Client Data'!$A:$G,Spec!B$3,FALSE),"",VLOOKUP($A45,'Client Data'!$A:$G,Spec!B$3,FALSE)))</f>
        <v/>
      </c>
      <c r="S45" s="23">
        <f>IF(OR(ISNA($M45),ISNA($N45)),"",IF(D45=VLOOKUP($A45,'Client Data'!$A:$G,Spec!C$3,FALSE),"",VLOOKUP($A45,'Client Data'!$A:$G,Spec!C$3,FALSE)))</f>
        <v>0</v>
      </c>
      <c r="T45" s="23" t="str">
        <f>IF(OR(ISNA($M45),ISNA($N45)),"",IF(H45=VLOOKUP($A45,'Employee Database'!$A:$K,Spec!G$2,FALSE),"",VLOOKUP($A45,'Employee Database'!$A:$K,Spec!G$2,FALSE)))</f>
        <v/>
      </c>
      <c r="U45" s="23" t="str">
        <f>IF(OR(ISNA($M45),ISNA($N45)),"",IF(I45=VLOOKUP($A45,'Employee Database'!$A:$K,Spec!H$2,FALSE),"",VLOOKUP($A45,'Employee Database'!$A:$K,Spec!H$2,FALSE)))</f>
        <v/>
      </c>
    </row>
    <row r="46" spans="1:21" x14ac:dyDescent="0.2">
      <c r="A46" s="8">
        <v>578408</v>
      </c>
      <c r="B46" s="28" t="str">
        <f>IF(ISNA(MATCH(A46,'Employee Database'!$A$6:$A$58,0)),"Not Available",INDEX('Employee Database'!$B$6:$B$58,MATCH(A46,'Employee Database'!$A$6:$A$58,0)))</f>
        <v>Bartho, George</v>
      </c>
      <c r="C46" s="24">
        <f>IF(NOT(ISNA($N46)),VLOOKUP($A46,'Employee Database'!$A:$K,Spec!B$2,FALSE), IF(NOT(ISNA($M46)), VLOOKUP($A46,'Client Data'!$A:$G,Spec!B$3,FALSE),""))</f>
        <v>17459</v>
      </c>
      <c r="D46" s="24">
        <f>IF(NOT(ISNA($N46)),VLOOKUP($A46,'Employee Database'!$A:$K,Spec!C$2,FALSE), IF(NOT(ISNA($M46)), VLOOKUP($A46,'Client Data'!$A:$G,Spec!C$3,FALSE),""))</f>
        <v>40339</v>
      </c>
      <c r="E46" s="26">
        <f>IF(NOT(ISNA($M46)), VLOOKUP($A46,'Client Data'!$A:$G,Spec!D$3,FALSE), "")</f>
        <v>0</v>
      </c>
      <c r="F46" s="26">
        <f>IF(NOT(ISNA($N46)), VLOOKUP($A46,'Employee Database'!$A:$K,Spec!E$2,FALSE), "")</f>
        <v>89000</v>
      </c>
      <c r="G46" s="26">
        <f>IF(NOT(ISNA($N46)), VLOOKUP($A46,'Employee Database'!$A:$K,Spec!F$2,FALSE), "")</f>
        <v>84800</v>
      </c>
      <c r="H46" s="24" t="str">
        <f>IF(ISNA($M46), "", IF(VLOOKUP($A46,'Client Data'!$A:$G,Spec!G$3,FALSE)="", "", VLOOKUP($A46, 'Client Data'!$A:$G,Spec!G$3,FALSE)))</f>
        <v/>
      </c>
      <c r="I46" s="24" t="str">
        <f>IF(ISNA($M46), "", IF(VLOOKUP($A46,'Client Data'!$A:$G,Spec!H$3,FALSE)="", "", VLOOKUP($A46, 'Client Data'!$A:$G,Spec!H$3,FALSE)))</f>
        <v/>
      </c>
      <c r="J46" s="20">
        <f>IF(NOT(ISNA($M46)), VLOOKUP($A46,'Client Data'!$A:$G,Spec!I$3,FALSE), "")</f>
        <v>0</v>
      </c>
      <c r="K46" s="20" t="str">
        <f>IF(NOT(ISNA($N46)), VLOOKUP($A46,'Employee Database'!$A:$K,Spec!J$2,FALSE), "")</f>
        <v>A</v>
      </c>
      <c r="M46" s="20">
        <f>MATCH(A46,'Client Data'!A:A,0)</f>
        <v>53</v>
      </c>
      <c r="N46" s="20">
        <f>MATCH(A46,'Employee Database'!A:A,0)</f>
        <v>50</v>
      </c>
      <c r="O46" t="str">
        <f t="shared" si="0"/>
        <v/>
      </c>
      <c r="P46" t="str">
        <f t="shared" si="1"/>
        <v/>
      </c>
      <c r="R46" s="23" t="str">
        <f>IF(OR(ISNA($M46),ISNA($N46)),"",IF(C46=VLOOKUP($A46,'Client Data'!$A:$G,Spec!B$3,FALSE),"",VLOOKUP($A46,'Client Data'!$A:$G,Spec!B$3,FALSE)))</f>
        <v/>
      </c>
      <c r="S46" s="23">
        <f>IF(OR(ISNA($M46),ISNA($N46)),"",IF(D46=VLOOKUP($A46,'Client Data'!$A:$G,Spec!C$3,FALSE),"",VLOOKUP($A46,'Client Data'!$A:$G,Spec!C$3,FALSE)))</f>
        <v>0</v>
      </c>
      <c r="T46" s="23" t="str">
        <f>IF(OR(ISNA($M46),ISNA($N46)),"",IF(H46=VLOOKUP($A46,'Employee Database'!$A:$K,Spec!G$2,FALSE),"",VLOOKUP($A46,'Employee Database'!$A:$K,Spec!G$2,FALSE)))</f>
        <v/>
      </c>
      <c r="U46" s="23" t="str">
        <f>IF(OR(ISNA($M46),ISNA($N46)),"",IF(I46=VLOOKUP($A46,'Employee Database'!$A:$K,Spec!H$2,FALSE),"",VLOOKUP($A46,'Employee Database'!$A:$K,Spec!H$2,FALSE)))</f>
        <v/>
      </c>
    </row>
    <row r="47" spans="1:21" x14ac:dyDescent="0.2">
      <c r="A47" s="8">
        <v>579268</v>
      </c>
      <c r="B47" s="28" t="str">
        <f>IF(ISNA(MATCH(A47,'Employee Database'!$A$6:$A$58,0)),"Not Available",INDEX('Employee Database'!$B$6:$B$58,MATCH(A47,'Employee Database'!$A$6:$A$58,0)))</f>
        <v>Benson, Jessika</v>
      </c>
      <c r="C47" s="24">
        <f>IF(NOT(ISNA($N47)),VLOOKUP($A47,'Employee Database'!$A:$K,Spec!B$2,FALSE), IF(NOT(ISNA($M47)), VLOOKUP($A47,'Client Data'!$A:$G,Spec!B$3,FALSE),""))</f>
        <v>22081</v>
      </c>
      <c r="D47" s="24">
        <f>IF(NOT(ISNA($N47)),VLOOKUP($A47,'Employee Database'!$A:$K,Spec!C$2,FALSE), IF(NOT(ISNA($M47)), VLOOKUP($A47,'Client Data'!$A:$G,Spec!C$3,FALSE),""))</f>
        <v>40774</v>
      </c>
      <c r="E47" s="26">
        <f>IF(NOT(ISNA($M47)), VLOOKUP($A47,'Client Data'!$A:$G,Spec!D$3,FALSE), "")</f>
        <v>83000</v>
      </c>
      <c r="F47" s="26">
        <f>IF(NOT(ISNA($N47)), VLOOKUP($A47,'Employee Database'!$A:$K,Spec!E$2,FALSE), "")</f>
        <v>88000</v>
      </c>
      <c r="G47" s="26">
        <f>IF(NOT(ISNA($N47)), VLOOKUP($A47,'Employee Database'!$A:$K,Spec!F$2,FALSE), "")</f>
        <v>83800</v>
      </c>
      <c r="H47" s="24" t="str">
        <f>IF(ISNA($M47), "", IF(VLOOKUP($A47,'Client Data'!$A:$G,Spec!G$3,FALSE)="", "", VLOOKUP($A47, 'Client Data'!$A:$G,Spec!G$3,FALSE)))</f>
        <v/>
      </c>
      <c r="I47" s="24" t="str">
        <f>IF(ISNA($M47), "", IF(VLOOKUP($A47,'Client Data'!$A:$G,Spec!H$3,FALSE)="", "", VLOOKUP($A47, 'Client Data'!$A:$G,Spec!H$3,FALSE)))</f>
        <v/>
      </c>
      <c r="J47" s="20" t="str">
        <f>IF(NOT(ISNA($M47)), VLOOKUP($A47,'Client Data'!$A:$G,Spec!I$3,FALSE), "")</f>
        <v>A</v>
      </c>
      <c r="K47" s="20" t="str">
        <f>IF(NOT(ISNA($N47)), VLOOKUP($A47,'Employee Database'!$A:$K,Spec!J$2,FALSE), "")</f>
        <v>A</v>
      </c>
      <c r="M47" s="20">
        <f>MATCH(A47,'Client Data'!A:A,0)</f>
        <v>54</v>
      </c>
      <c r="N47" s="20">
        <f>MATCH(A47,'Employee Database'!A:A,0)</f>
        <v>51</v>
      </c>
      <c r="O47" t="str">
        <f t="shared" si="0"/>
        <v/>
      </c>
      <c r="P47" t="str">
        <f t="shared" si="1"/>
        <v/>
      </c>
      <c r="R47" s="23" t="str">
        <f>IF(OR(ISNA($M47),ISNA($N47)),"",IF(C47=VLOOKUP($A47,'Client Data'!$A:$G,Spec!B$3,FALSE),"",VLOOKUP($A47,'Client Data'!$A:$G,Spec!B$3,FALSE)))</f>
        <v/>
      </c>
      <c r="S47" s="23">
        <f>IF(OR(ISNA($M47),ISNA($N47)),"",IF(D47=VLOOKUP($A47,'Client Data'!$A:$G,Spec!C$3,FALSE),"",VLOOKUP($A47,'Client Data'!$A:$G,Spec!C$3,FALSE)))</f>
        <v>0</v>
      </c>
      <c r="T47" s="23" t="str">
        <f>IF(OR(ISNA($M47),ISNA($N47)),"",IF(H47=VLOOKUP($A47,'Employee Database'!$A:$K,Spec!G$2,FALSE),"",VLOOKUP($A47,'Employee Database'!$A:$K,Spec!G$2,FALSE)))</f>
        <v/>
      </c>
      <c r="U47" s="23" t="str">
        <f>IF(OR(ISNA($M47),ISNA($N47)),"",IF(I47=VLOOKUP($A47,'Employee Database'!$A:$K,Spec!H$2,FALSE),"",VLOOKUP($A47,'Employee Database'!$A:$K,Spec!H$2,FALSE)))</f>
        <v/>
      </c>
    </row>
    <row r="48" spans="1:21" x14ac:dyDescent="0.2">
      <c r="A48" s="8">
        <v>123486</v>
      </c>
      <c r="B48" s="28" t="str">
        <f>IF(ISNA(MATCH(A48,'Employee Database'!$A$6:$A$58,0)),"Not Available",INDEX('Employee Database'!$B$6:$B$58,MATCH(A48,'Employee Database'!$A$6:$A$58,0)))</f>
        <v>Wang, Eric</v>
      </c>
      <c r="C48" s="24">
        <f>IF(NOT(ISNA($N48)),VLOOKUP($A48,'Employee Database'!$A:$K,Spec!B$2,FALSE), IF(NOT(ISNA($M48)), VLOOKUP($A48,'Client Data'!$A:$G,Spec!B$3,FALSE),""))</f>
        <v>19725</v>
      </c>
      <c r="D48" s="24">
        <f>IF(NOT(ISNA($N48)),VLOOKUP($A48,'Employee Database'!$A:$K,Spec!C$2,FALSE), IF(NOT(ISNA($M48)), VLOOKUP($A48,'Client Data'!$A:$G,Spec!C$3,FALSE),""))</f>
        <v>0</v>
      </c>
      <c r="E48" s="26">
        <f>IF(NOT(ISNA($M48)), VLOOKUP($A48,'Client Data'!$A:$G,Spec!D$3,FALSE), "")</f>
        <v>0</v>
      </c>
      <c r="F48" s="26">
        <f>IF(NOT(ISNA($N48)), VLOOKUP($A48,'Employee Database'!$A:$K,Spec!E$2,FALSE), "")</f>
        <v>0</v>
      </c>
      <c r="G48" s="26">
        <f>IF(NOT(ISNA($N48)), VLOOKUP($A48,'Employee Database'!$A:$K,Spec!F$2,FALSE), "")</f>
        <v>0</v>
      </c>
      <c r="H48" s="24">
        <f>IF(ISNA($M48), "", IF(VLOOKUP($A48,'Client Data'!$A:$G,Spec!G$3,FALSE)="", "", VLOOKUP($A48, 'Client Data'!$A:$G,Spec!G$3,FALSE)))</f>
        <v>43466</v>
      </c>
      <c r="I48" s="25">
        <f>IF(ISNA($M48), "", IF(VLOOKUP($A48,'Client Data'!$A:$G,Spec!H$3,FALSE)="", "", VLOOKUP($A48, 'Client Data'!$A:$G,Spec!H$3,FALSE)))</f>
        <v>8990</v>
      </c>
      <c r="J48" s="20" t="str">
        <f>IF(NOT(ISNA($M48)), VLOOKUP($A48,'Client Data'!$A:$G,Spec!I$3,FALSE), "")</f>
        <v>V</v>
      </c>
      <c r="K48" s="20" t="str">
        <f>IF(NOT(ISNA($N48)), VLOOKUP($A48,'Employee Database'!$A:$K,Spec!J$2,FALSE), "")</f>
        <v>V</v>
      </c>
      <c r="M48" s="20">
        <f>MATCH(A48,'Client Data'!A:A,0)</f>
        <v>44</v>
      </c>
      <c r="N48" s="20">
        <f>MATCH(A48,'Employee Database'!A:A,0)</f>
        <v>52</v>
      </c>
      <c r="O48" t="str">
        <f t="shared" si="0"/>
        <v/>
      </c>
      <c r="P48" t="str">
        <f t="shared" si="1"/>
        <v/>
      </c>
      <c r="R48" s="23" t="str">
        <f>IF(OR(ISNA($M48),ISNA($N48)),"",IF(C48=VLOOKUP($A48,'Client Data'!$A:$G,Spec!B$3,FALSE),"",VLOOKUP($A48,'Client Data'!$A:$G,Spec!B$3,FALSE)))</f>
        <v/>
      </c>
      <c r="S48" s="23">
        <f>IF(OR(ISNA($M48),ISNA($N48)),"",IF(D48=VLOOKUP($A48,'Client Data'!$A:$G,Spec!C$3,FALSE),"",VLOOKUP($A48,'Client Data'!$A:$G,Spec!C$3,FALSE)))</f>
        <v>41474</v>
      </c>
      <c r="T48" s="23" t="str">
        <f>IF(OR(ISNA($M48),ISNA($N48)),"",IF(H48=VLOOKUP($A48,'Employee Database'!$A:$K,Spec!G$2,FALSE),"",VLOOKUP($A48,'Employee Database'!$A:$K,Spec!G$2,FALSE)))</f>
        <v/>
      </c>
      <c r="U48" s="23" t="str">
        <f>IF(OR(ISNA($M48),ISNA($N48)),"",IF(I48=VLOOKUP($A48,'Employee Database'!$A:$K,Spec!H$2,FALSE),"",VLOOKUP($A48,'Employee Database'!$A:$K,Spec!H$2,FALSE)))</f>
        <v/>
      </c>
    </row>
    <row r="49" spans="1:21" x14ac:dyDescent="0.2">
      <c r="A49" s="8">
        <v>123485</v>
      </c>
      <c r="B49" s="28" t="str">
        <f>IF(ISNA(MATCH(A49,'Employee Database'!$A$6:$A$58,0)),"Not Available",INDEX('Employee Database'!$B$6:$B$58,MATCH(A49,'Employee Database'!$A$6:$A$58,0)))</f>
        <v>Larson, Chris</v>
      </c>
      <c r="C49" s="24">
        <f>IF(NOT(ISNA($N49)),VLOOKUP($A49,'Employee Database'!$A:$K,Spec!B$2,FALSE), IF(NOT(ISNA($M49)), VLOOKUP($A49,'Client Data'!$A:$G,Spec!B$3,FALSE),""))</f>
        <v>16254</v>
      </c>
      <c r="D49" s="24">
        <f>IF(NOT(ISNA($N49)),VLOOKUP($A49,'Employee Database'!$A:$K,Spec!C$2,FALSE), IF(NOT(ISNA($M49)), VLOOKUP($A49,'Client Data'!$A:$G,Spec!C$3,FALSE),""))</f>
        <v>0</v>
      </c>
      <c r="E49" s="26">
        <f>IF(NOT(ISNA($M49)), VLOOKUP($A49,'Client Data'!$A:$G,Spec!D$3,FALSE), "")</f>
        <v>0</v>
      </c>
      <c r="F49" s="26">
        <f>IF(NOT(ISNA($N49)), VLOOKUP($A49,'Employee Database'!$A:$K,Spec!E$2,FALSE), "")</f>
        <v>0</v>
      </c>
      <c r="G49" s="26">
        <f>IF(NOT(ISNA($N49)), VLOOKUP($A49,'Employee Database'!$A:$K,Spec!F$2,FALSE), "")</f>
        <v>0</v>
      </c>
      <c r="H49" s="24">
        <f>IF(ISNA($M49), "", IF(VLOOKUP($A49,'Client Data'!$A:$G,Spec!G$3,FALSE)="", "", VLOOKUP($A49, 'Client Data'!$A:$G,Spec!G$3,FALSE)))</f>
        <v>39995</v>
      </c>
      <c r="I49" s="25">
        <f>IF(ISNA($M49), "", IF(VLOOKUP($A49,'Client Data'!$A:$G,Spec!H$3,FALSE)="", "", VLOOKUP($A49, 'Client Data'!$A:$G,Spec!H$3,FALSE)))</f>
        <v>18047</v>
      </c>
      <c r="J49" s="20" t="str">
        <f>IF(NOT(ISNA($M49)), VLOOKUP($A49,'Client Data'!$A:$G,Spec!I$3,FALSE), "")</f>
        <v>R</v>
      </c>
      <c r="K49" s="20" t="str">
        <f>IF(NOT(ISNA($N49)), VLOOKUP($A49,'Employee Database'!$A:$K,Spec!J$2,FALSE), "")</f>
        <v>R</v>
      </c>
      <c r="M49" s="20">
        <f>MATCH(A49,'Client Data'!A:A,0)</f>
        <v>45</v>
      </c>
      <c r="N49" s="20">
        <f>MATCH(A49,'Employee Database'!A:A,0)</f>
        <v>53</v>
      </c>
      <c r="O49" t="str">
        <f t="shared" si="0"/>
        <v/>
      </c>
      <c r="P49" t="str">
        <f t="shared" si="1"/>
        <v/>
      </c>
      <c r="R49" s="23" t="str">
        <f>IF(OR(ISNA($M49),ISNA($N49)),"",IF(C49=VLOOKUP($A49,'Client Data'!$A:$G,Spec!B$3,FALSE),"",VLOOKUP($A49,'Client Data'!$A:$G,Spec!B$3,FALSE)))</f>
        <v/>
      </c>
      <c r="S49" s="23">
        <f>IF(OR(ISNA($M49),ISNA($N49)),"",IF(D49=VLOOKUP($A49,'Client Data'!$A:$G,Spec!C$3,FALSE),"",VLOOKUP($A49,'Client Data'!$A:$G,Spec!C$3,FALSE)))</f>
        <v>40073</v>
      </c>
      <c r="T49" s="23" t="str">
        <f>IF(OR(ISNA($M49),ISNA($N49)),"",IF(H49=VLOOKUP($A49,'Employee Database'!$A:$K,Spec!G$2,FALSE),"",VLOOKUP($A49,'Employee Database'!$A:$K,Spec!G$2,FALSE)))</f>
        <v/>
      </c>
      <c r="U49" s="23" t="str">
        <f>IF(OR(ISNA($M49),ISNA($N49)),"",IF(I49=VLOOKUP($A49,'Employee Database'!$A:$K,Spec!H$2,FALSE),"",VLOOKUP($A49,'Employee Database'!$A:$K,Spec!H$2,FALSE)))</f>
        <v/>
      </c>
    </row>
    <row r="50" spans="1:21" x14ac:dyDescent="0.2">
      <c r="A50" s="8">
        <v>123484</v>
      </c>
      <c r="B50" s="28" t="str">
        <f>IF(ISNA(MATCH(A50,'Employee Database'!$A$6:$A$58,0)),"Not Available",INDEX('Employee Database'!$B$6:$B$58,MATCH(A50,'Employee Database'!$A$6:$A$58,0)))</f>
        <v>Larson, George</v>
      </c>
      <c r="C50" s="24">
        <f>IF(NOT(ISNA($N50)),VLOOKUP($A50,'Employee Database'!$A:$K,Spec!B$2,FALSE), IF(NOT(ISNA($M50)), VLOOKUP($A50,'Client Data'!$A:$G,Spec!B$3,FALSE),""))</f>
        <v>18203</v>
      </c>
      <c r="D50" s="24">
        <f>IF(NOT(ISNA($N50)),VLOOKUP($A50,'Employee Database'!$A:$K,Spec!C$2,FALSE), IF(NOT(ISNA($M50)), VLOOKUP($A50,'Client Data'!$A:$G,Spec!C$3,FALSE),""))</f>
        <v>0</v>
      </c>
      <c r="E50" s="26">
        <f>IF(NOT(ISNA($M50)), VLOOKUP($A50,'Client Data'!$A:$G,Spec!D$3,FALSE), "")</f>
        <v>0</v>
      </c>
      <c r="F50" s="26">
        <f>IF(NOT(ISNA($N50)), VLOOKUP($A50,'Employee Database'!$A:$K,Spec!E$2,FALSE), "")</f>
        <v>0</v>
      </c>
      <c r="G50" s="26">
        <f>IF(NOT(ISNA($N50)), VLOOKUP($A50,'Employee Database'!$A:$K,Spec!F$2,FALSE), "")</f>
        <v>0</v>
      </c>
      <c r="H50" s="24">
        <f>IF(ISNA($M50), "", IF(VLOOKUP($A50,'Client Data'!$A:$G,Spec!G$3,FALSE)="", "", VLOOKUP($A50, 'Client Data'!$A:$G,Spec!G$3,FALSE)))</f>
        <v>41944</v>
      </c>
      <c r="I50" s="25">
        <f>IF(ISNA($M50), "", IF(VLOOKUP($A50,'Client Data'!$A:$G,Spec!H$3,FALSE)="", "", VLOOKUP($A50, 'Client Data'!$A:$G,Spec!H$3,FALSE)))</f>
        <v>9625</v>
      </c>
      <c r="J50" s="20" t="str">
        <f>IF(NOT(ISNA($M50)), VLOOKUP($A50,'Client Data'!$A:$G,Spec!I$3,FALSE), "")</f>
        <v>R</v>
      </c>
      <c r="K50" s="20" t="str">
        <f>IF(NOT(ISNA($N50)), VLOOKUP($A50,'Employee Database'!$A:$K,Spec!J$2,FALSE), "")</f>
        <v>R</v>
      </c>
      <c r="M50" s="20">
        <f>MATCH(A50,'Client Data'!A:A,0)</f>
        <v>46</v>
      </c>
      <c r="N50" s="20">
        <f>MATCH(A50,'Employee Database'!A:A,0)</f>
        <v>54</v>
      </c>
      <c r="O50" t="str">
        <f t="shared" si="0"/>
        <v/>
      </c>
      <c r="P50" t="str">
        <f t="shared" si="1"/>
        <v/>
      </c>
      <c r="R50" s="23" t="str">
        <f>IF(OR(ISNA($M50),ISNA($N50)),"",IF(C50=VLOOKUP($A50,'Client Data'!$A:$G,Spec!B$3,FALSE),"",VLOOKUP($A50,'Client Data'!$A:$G,Spec!B$3,FALSE)))</f>
        <v/>
      </c>
      <c r="S50" s="23">
        <f>IF(OR(ISNA($M50),ISNA($N50)),"",IF(D50=VLOOKUP($A50,'Client Data'!$A:$G,Spec!C$3,FALSE),"",VLOOKUP($A50,'Client Data'!$A:$G,Spec!C$3,FALSE)))</f>
        <v>40339</v>
      </c>
      <c r="T50" s="23" t="str">
        <f>IF(OR(ISNA($M50),ISNA($N50)),"",IF(H50=VLOOKUP($A50,'Employee Database'!$A:$K,Spec!G$2,FALSE),"",VLOOKUP($A50,'Employee Database'!$A:$K,Spec!G$2,FALSE)))</f>
        <v/>
      </c>
      <c r="U50" s="23" t="str">
        <f>IF(OR(ISNA($M50),ISNA($N50)),"",IF(I50=VLOOKUP($A50,'Employee Database'!$A:$K,Spec!H$2,FALSE),"",VLOOKUP($A50,'Employee Database'!$A:$K,Spec!H$2,FALSE)))</f>
        <v/>
      </c>
    </row>
    <row r="51" spans="1:21" x14ac:dyDescent="0.2">
      <c r="A51" s="8">
        <v>123472</v>
      </c>
      <c r="B51" s="28" t="str">
        <f>IF(ISNA(MATCH(A51,'Employee Database'!$A$6:$A$58,0)),"Not Available",INDEX('Employee Database'!$B$6:$B$58,MATCH(A51,'Employee Database'!$A$6:$A$58,0)))</f>
        <v>Jobs, Benjamin</v>
      </c>
      <c r="C51" s="24">
        <f>IF(NOT(ISNA($N51)),VLOOKUP($A51,'Employee Database'!$A:$K,Spec!B$2,FALSE), IF(NOT(ISNA($M51)), VLOOKUP($A51,'Client Data'!$A:$G,Spec!B$3,FALSE),""))</f>
        <v>19725</v>
      </c>
      <c r="D51" s="24">
        <f>IF(NOT(ISNA($N51)),VLOOKUP($A51,'Employee Database'!$A:$K,Spec!C$2,FALSE), IF(NOT(ISNA($M51)), VLOOKUP($A51,'Client Data'!$A:$G,Spec!C$3,FALSE),""))</f>
        <v>0</v>
      </c>
      <c r="E51" s="26">
        <f>IF(NOT(ISNA($M51)), VLOOKUP($A51,'Client Data'!$A:$G,Spec!D$3,FALSE), "")</f>
        <v>0</v>
      </c>
      <c r="F51" s="26">
        <f>IF(NOT(ISNA($N51)), VLOOKUP($A51,'Employee Database'!$A:$K,Spec!E$2,FALSE), "")</f>
        <v>0</v>
      </c>
      <c r="G51" s="26">
        <f>IF(NOT(ISNA($N51)), VLOOKUP($A51,'Employee Database'!$A:$K,Spec!F$2,FALSE), "")</f>
        <v>0</v>
      </c>
      <c r="H51" s="24">
        <f>IF(ISNA($M51), "", IF(VLOOKUP($A51,'Client Data'!$A:$G,Spec!G$3,FALSE)="", "", VLOOKUP($A51, 'Client Data'!$A:$G,Spec!G$3,FALSE)))</f>
        <v>43466</v>
      </c>
      <c r="I51" s="25">
        <f>IF(ISNA($M51), "", IF(VLOOKUP($A51,'Client Data'!$A:$G,Spec!H$3,FALSE)="", "", VLOOKUP($A51, 'Client Data'!$A:$G,Spec!H$3,FALSE)))</f>
        <v>5840</v>
      </c>
      <c r="J51" s="20" t="str">
        <f>IF(NOT(ISNA($M51)), VLOOKUP($A51,'Client Data'!$A:$G,Spec!I$3,FALSE), "")</f>
        <v>V</v>
      </c>
      <c r="K51" s="20" t="str">
        <f>IF(NOT(ISNA($N51)), VLOOKUP($A51,'Employee Database'!$A:$K,Spec!J$2,FALSE), "")</f>
        <v>V</v>
      </c>
      <c r="M51" s="20">
        <f>MATCH(A51,'Client Data'!A:A,0)</f>
        <v>47</v>
      </c>
      <c r="N51" s="20">
        <f>MATCH(A51,'Employee Database'!A:A,0)</f>
        <v>55</v>
      </c>
      <c r="O51" t="str">
        <f t="shared" si="0"/>
        <v/>
      </c>
      <c r="P51" t="str">
        <f t="shared" si="1"/>
        <v/>
      </c>
      <c r="R51" s="23" t="str">
        <f>IF(OR(ISNA($M51),ISNA($N51)),"",IF(C51=VLOOKUP($A51,'Client Data'!$A:$G,Spec!B$3,FALSE),"",VLOOKUP($A51,'Client Data'!$A:$G,Spec!B$3,FALSE)))</f>
        <v/>
      </c>
      <c r="S51" s="23">
        <f>IF(OR(ISNA($M51),ISNA($N51)),"",IF(D51=VLOOKUP($A51,'Client Data'!$A:$G,Spec!C$3,FALSE),"",VLOOKUP($A51,'Client Data'!$A:$G,Spec!C$3,FALSE)))</f>
        <v>40774</v>
      </c>
      <c r="T51" s="23" t="str">
        <f>IF(OR(ISNA($M51),ISNA($N51)),"",IF(H51=VLOOKUP($A51,'Employee Database'!$A:$K,Spec!G$2,FALSE),"",VLOOKUP($A51,'Employee Database'!$A:$K,Spec!G$2,FALSE)))</f>
        <v/>
      </c>
      <c r="U51" s="23" t="str">
        <f>IF(OR(ISNA($M51),ISNA($N51)),"",IF(I51=VLOOKUP($A51,'Employee Database'!$A:$K,Spec!H$2,FALSE),"",VLOOKUP($A51,'Employee Database'!$A:$K,Spec!H$2,FALSE)))</f>
        <v/>
      </c>
    </row>
    <row r="52" spans="1:21" x14ac:dyDescent="0.2">
      <c r="A52" s="8">
        <v>123466</v>
      </c>
      <c r="B52" s="28" t="str">
        <f>IF(ISNA(MATCH(A52,'Employee Database'!$A$6:$A$58,0)),"Not Available",INDEX('Employee Database'!$B$6:$B$58,MATCH(A52,'Employee Database'!$A$6:$A$58,0)))</f>
        <v>Jordon, Hillary</v>
      </c>
      <c r="C52" s="24">
        <f>IF(NOT(ISNA($N52)),VLOOKUP($A52,'Employee Database'!$A:$K,Spec!B$2,FALSE), IF(NOT(ISNA($M52)), VLOOKUP($A52,'Client Data'!$A:$G,Spec!B$3,FALSE),""))</f>
        <v>22098</v>
      </c>
      <c r="D52" s="24">
        <f>IF(NOT(ISNA($N52)),VLOOKUP($A52,'Employee Database'!$A:$K,Spec!C$2,FALSE), IF(NOT(ISNA($M52)), VLOOKUP($A52,'Client Data'!$A:$G,Spec!C$3,FALSE),""))</f>
        <v>0</v>
      </c>
      <c r="E52" s="26">
        <f>IF(NOT(ISNA($M52)), VLOOKUP($A52,'Client Data'!$A:$G,Spec!D$3,FALSE), "")</f>
        <v>0</v>
      </c>
      <c r="F52" s="26">
        <f>IF(NOT(ISNA($N52)), VLOOKUP($A52,'Employee Database'!$A:$K,Spec!E$2,FALSE), "")</f>
        <v>0</v>
      </c>
      <c r="G52" s="26">
        <f>IF(NOT(ISNA($N52)), VLOOKUP($A52,'Employee Database'!$A:$K,Spec!F$2,FALSE), "")</f>
        <v>0</v>
      </c>
      <c r="H52" s="24">
        <f>IF(ISNA($M52), "", IF(VLOOKUP($A52,'Client Data'!$A:$G,Spec!G$3,FALSE)="", "", VLOOKUP($A52, 'Client Data'!$A:$G,Spec!G$3,FALSE)))</f>
        <v>45839</v>
      </c>
      <c r="I52" s="25">
        <f>IF(ISNA($M52), "", IF(VLOOKUP($A52,'Client Data'!$A:$G,Spec!H$3,FALSE)="", "", VLOOKUP($A52, 'Client Data'!$A:$G,Spec!H$3,FALSE)))</f>
        <v>15804</v>
      </c>
      <c r="J52" s="20" t="str">
        <f>IF(NOT(ISNA($M52)), VLOOKUP($A52,'Client Data'!$A:$G,Spec!I$3,FALSE), "")</f>
        <v>V</v>
      </c>
      <c r="K52" s="20" t="str">
        <f>IF(NOT(ISNA($N52)), VLOOKUP($A52,'Employee Database'!$A:$K,Spec!J$2,FALSE), "")</f>
        <v>V</v>
      </c>
      <c r="M52" s="20">
        <f>MATCH(A52,'Client Data'!A:A,0)</f>
        <v>48</v>
      </c>
      <c r="N52" s="20">
        <f>MATCH(A52,'Employee Database'!A:A,0)</f>
        <v>56</v>
      </c>
      <c r="O52" t="str">
        <f t="shared" si="0"/>
        <v/>
      </c>
      <c r="P52" t="str">
        <f t="shared" si="1"/>
        <v/>
      </c>
      <c r="R52" s="23" t="str">
        <f>IF(OR(ISNA($M52),ISNA($N52)),"",IF(C52=VLOOKUP($A52,'Client Data'!$A:$G,Spec!B$3,FALSE),"",VLOOKUP($A52,'Client Data'!$A:$G,Spec!B$3,FALSE)))</f>
        <v/>
      </c>
      <c r="S52" s="23" t="str">
        <f>IF(OR(ISNA($M52),ISNA($N52)),"",IF(D52=VLOOKUP($A52,'Client Data'!$A:$G,Spec!C$3,FALSE),"",VLOOKUP($A52,'Client Data'!$A:$G,Spec!C$3,FALSE)))</f>
        <v/>
      </c>
      <c r="T52" s="23" t="str">
        <f>IF(OR(ISNA($M52),ISNA($N52)),"",IF(H52=VLOOKUP($A52,'Employee Database'!$A:$K,Spec!G$2,FALSE),"",VLOOKUP($A52,'Employee Database'!$A:$K,Spec!G$2,FALSE)))</f>
        <v/>
      </c>
      <c r="U52" s="23" t="str">
        <f>IF(OR(ISNA($M52),ISNA($N52)),"",IF(I52=VLOOKUP($A52,'Employee Database'!$A:$K,Spec!H$2,FALSE),"",VLOOKUP($A52,'Employee Database'!$A:$K,Spec!H$2,FALSE)))</f>
        <v/>
      </c>
    </row>
    <row r="53" spans="1:21" x14ac:dyDescent="0.2">
      <c r="A53" s="8">
        <v>123465</v>
      </c>
      <c r="B53" s="28" t="str">
        <f>IF(ISNA(MATCH(A53,'Employee Database'!$A$6:$A$58,0)),"Not Available",INDEX('Employee Database'!$B$6:$B$58,MATCH(A53,'Employee Database'!$A$6:$A$58,0)))</f>
        <v>Clinton, Bills</v>
      </c>
      <c r="C53" s="24">
        <f>IF(NOT(ISNA($N53)),VLOOKUP($A53,'Employee Database'!$A:$K,Spec!B$2,FALSE), IF(NOT(ISNA($M53)), VLOOKUP($A53,'Client Data'!$A:$G,Spec!B$3,FALSE),""))</f>
        <v>16803</v>
      </c>
      <c r="D53" s="24">
        <f>IF(NOT(ISNA($N53)),VLOOKUP($A53,'Employee Database'!$A:$K,Spec!C$2,FALSE), IF(NOT(ISNA($M53)), VLOOKUP($A53,'Client Data'!$A:$G,Spec!C$3,FALSE),""))</f>
        <v>0</v>
      </c>
      <c r="E53" s="26">
        <f>IF(NOT(ISNA($M53)), VLOOKUP($A53,'Client Data'!$A:$G,Spec!D$3,FALSE), "")</f>
        <v>0</v>
      </c>
      <c r="F53" s="26">
        <f>IF(NOT(ISNA($N53)), VLOOKUP($A53,'Employee Database'!$A:$K,Spec!E$2,FALSE), "")</f>
        <v>0</v>
      </c>
      <c r="G53" s="26">
        <f>IF(NOT(ISNA($N53)), VLOOKUP($A53,'Employee Database'!$A:$K,Spec!F$2,FALSE), "")</f>
        <v>0</v>
      </c>
      <c r="H53" s="24">
        <f>IF(ISNA($M53), "", IF(VLOOKUP($A53,'Client Data'!$A:$G,Spec!G$3,FALSE)="", "", VLOOKUP($A53, 'Client Data'!$A:$G,Spec!G$3,FALSE)))</f>
        <v>40544</v>
      </c>
      <c r="I53" s="25">
        <f>IF(ISNA($M53), "", IF(VLOOKUP($A53,'Client Data'!$A:$G,Spec!H$3,FALSE)="", "", VLOOKUP($A53, 'Client Data'!$A:$G,Spec!H$3,FALSE)))</f>
        <v>10349</v>
      </c>
      <c r="J53" s="20" t="str">
        <f>IF(NOT(ISNA($M53)), VLOOKUP($A53,'Client Data'!$A:$G,Spec!I$3,FALSE), "")</f>
        <v>R</v>
      </c>
      <c r="K53" s="20" t="str">
        <f>IF(NOT(ISNA($N53)), VLOOKUP($A53,'Employee Database'!$A:$K,Spec!J$2,FALSE), "")</f>
        <v>R</v>
      </c>
      <c r="M53" s="20">
        <f>MATCH(A53,'Client Data'!A:A,0)</f>
        <v>49</v>
      </c>
      <c r="N53" s="20">
        <f>MATCH(A53,'Employee Database'!A:A,0)</f>
        <v>57</v>
      </c>
      <c r="O53" t="str">
        <f t="shared" si="0"/>
        <v/>
      </c>
      <c r="P53" t="str">
        <f t="shared" si="1"/>
        <v/>
      </c>
      <c r="R53" s="23" t="str">
        <f>IF(OR(ISNA($M53),ISNA($N53)),"",IF(C53=VLOOKUP($A53,'Client Data'!$A:$G,Spec!B$3,FALSE),"",VLOOKUP($A53,'Client Data'!$A:$G,Spec!B$3,FALSE)))</f>
        <v/>
      </c>
      <c r="S53" s="23" t="str">
        <f>IF(OR(ISNA($M53),ISNA($N53)),"",IF(D53=VLOOKUP($A53,'Client Data'!$A:$G,Spec!C$3,FALSE),"",VLOOKUP($A53,'Client Data'!$A:$G,Spec!C$3,FALSE)))</f>
        <v/>
      </c>
      <c r="T53" s="23" t="str">
        <f>IF(OR(ISNA($M53),ISNA($N53)),"",IF(H53=VLOOKUP($A53,'Employee Database'!$A:$K,Spec!G$2,FALSE),"",VLOOKUP($A53,'Employee Database'!$A:$K,Spec!G$2,FALSE)))</f>
        <v/>
      </c>
      <c r="U53" s="23" t="str">
        <f>IF(OR(ISNA($M53),ISNA($N53)),"",IF(I53=VLOOKUP($A53,'Employee Database'!$A:$K,Spec!H$2,FALSE),"",VLOOKUP($A53,'Employee Database'!$A:$K,Spec!H$2,FALSE)))</f>
        <v/>
      </c>
    </row>
    <row r="54" spans="1:21" x14ac:dyDescent="0.2">
      <c r="A54" s="8">
        <v>123451</v>
      </c>
      <c r="B54" s="28" t="str">
        <f>IF(ISNA(MATCH(A54,'Employee Database'!$A$6:$A$58,0)),"Not Available",INDEX('Employee Database'!$B$6:$B$58,MATCH(A54,'Employee Database'!$A$6:$A$58,0)))</f>
        <v>Lee, Gordon</v>
      </c>
      <c r="C54" s="24">
        <f>IF(NOT(ISNA($N54)),VLOOKUP($A54,'Employee Database'!$A:$K,Spec!B$2,FALSE), IF(NOT(ISNA($M54)), VLOOKUP($A54,'Client Data'!$A:$G,Spec!B$3,FALSE),""))</f>
        <v>13789</v>
      </c>
      <c r="D54" s="24">
        <f>IF(NOT(ISNA($N54)),VLOOKUP($A54,'Employee Database'!$A:$K,Spec!C$2,FALSE), IF(NOT(ISNA($M54)), VLOOKUP($A54,'Client Data'!$A:$G,Spec!C$3,FALSE),""))</f>
        <v>0</v>
      </c>
      <c r="E54" s="26" t="str">
        <f>IF(NOT(ISNA($M54)), VLOOKUP($A54,'Client Data'!$A:$G,Spec!D$3,FALSE), "")</f>
        <v/>
      </c>
      <c r="F54" s="26">
        <f>IF(NOT(ISNA($N54)), VLOOKUP($A54,'Employee Database'!$A:$K,Spec!E$2,FALSE), "")</f>
        <v>0</v>
      </c>
      <c r="G54" s="26">
        <f>IF(NOT(ISNA($N54)), VLOOKUP($A54,'Employee Database'!$A:$K,Spec!F$2,FALSE), "")</f>
        <v>0</v>
      </c>
      <c r="H54" s="24" t="str">
        <f>IF(ISNA($M54), "", IF(VLOOKUP($A54,'Client Data'!$A:$G,Spec!G$3,FALSE)="", "", VLOOKUP($A54, 'Client Data'!$A:$G,Spec!G$3,FALSE)))</f>
        <v/>
      </c>
      <c r="I54" s="24" t="str">
        <f>IF(ISNA($M54), "", IF(VLOOKUP($A54,'Client Data'!$A:$G,Spec!H$3,FALSE)="", "", VLOOKUP($A54, 'Client Data'!$A:$G,Spec!H$3,FALSE)))</f>
        <v/>
      </c>
      <c r="J54" s="20" t="str">
        <f>IF(NOT(ISNA($M54)), VLOOKUP($A54,'Client Data'!$A:$G,Spec!I$3,FALSE), "")</f>
        <v/>
      </c>
      <c r="K54" s="20" t="str">
        <f>IF(NOT(ISNA($N54)), VLOOKUP($A54,'Employee Database'!$A:$K,Spec!J$2,FALSE), "")</f>
        <v>R</v>
      </c>
      <c r="M54" s="20" t="e">
        <f>MATCH(A54,'Client Data'!A:A,0)</f>
        <v>#N/A</v>
      </c>
      <c r="N54" s="20">
        <f>MATCH(A54,'Employee Database'!A:A,0)</f>
        <v>58</v>
      </c>
      <c r="O54" t="str">
        <f t="shared" si="0"/>
        <v/>
      </c>
      <c r="P54" t="b">
        <f t="shared" si="1"/>
        <v>1</v>
      </c>
      <c r="R54" s="23" t="str">
        <f>IF(OR(ISNA($M54),ISNA($N54)),"",IF(C54=VLOOKUP($A54,'Client Data'!$A:$G,Spec!B$3,FALSE),"",VLOOKUP($A54,'Client Data'!$A:$G,Spec!B$3,FALSE)))</f>
        <v/>
      </c>
      <c r="S54" s="23" t="str">
        <f>IF(OR(ISNA($M54),ISNA($N54)),"",IF(D54=VLOOKUP($A54,'Client Data'!$A:$G,Spec!C$3,FALSE),"",VLOOKUP($A54,'Client Data'!$A:$G,Spec!C$3,FALSE)))</f>
        <v/>
      </c>
      <c r="T54" s="23" t="str">
        <f>IF(OR(ISNA($M54),ISNA($N54)),"",IF(H54=VLOOKUP($A54,'Employee Database'!$A:$K,Spec!G$2,FALSE),"",VLOOKUP($A54,'Employee Database'!$A:$K,Spec!G$2,FALSE)))</f>
        <v/>
      </c>
      <c r="U54" s="23" t="str">
        <f>IF(OR(ISNA($M54),ISNA($N54)),"",IF(I54=VLOOKUP($A54,'Employee Database'!$A:$K,Spec!H$2,FALSE),"",VLOOKUP($A54,'Employee Database'!$A:$K,Spec!H$2,FALSE)))</f>
        <v/>
      </c>
    </row>
    <row r="55" spans="1:21" x14ac:dyDescent="0.2">
      <c r="A55" s="8">
        <v>579277</v>
      </c>
      <c r="B55" s="28" t="str">
        <f>IF(ISNA(MATCH(A55,'Employee Database'!$A$6:$A$58,0)),"Not Available",INDEX('Employee Database'!$B$6:$B$58,MATCH(A55,'Employee Database'!$A$6:$A$58,0)))</f>
        <v>Not Available</v>
      </c>
      <c r="C55" s="24">
        <f>IF(NOT(ISNA($N55)),VLOOKUP($A55,'Employee Database'!$A:$K,Spec!B$2,FALSE), IF(NOT(ISNA($M55)), VLOOKUP($A55,'Client Data'!$A:$G,Spec!B$3,FALSE),""))</f>
        <v>22084</v>
      </c>
      <c r="D55" s="24">
        <f>IF(NOT(ISNA($N55)),VLOOKUP($A55,'Employee Database'!$A:$K,Spec!C$2,FALSE), IF(NOT(ISNA($M55)), VLOOKUP($A55,'Client Data'!$A:$G,Spec!C$3,FALSE),""))</f>
        <v>0</v>
      </c>
      <c r="E55" s="26">
        <f>IF(NOT(ISNA($M55)), VLOOKUP($A55,'Client Data'!$A:$G,Spec!D$3,FALSE), "")</f>
        <v>85000</v>
      </c>
      <c r="F55" s="26" t="str">
        <f>IF(NOT(ISNA($N55)), VLOOKUP($A55,'Employee Database'!$A:$K,Spec!E$2,FALSE), "")</f>
        <v/>
      </c>
      <c r="G55" s="26" t="str">
        <f>IF(NOT(ISNA($N55)), VLOOKUP($A55,'Employee Database'!$A:$K,Spec!F$2,FALSE), "")</f>
        <v/>
      </c>
      <c r="H55" s="24" t="str">
        <f>IF(ISNA($M55), "", IF(VLOOKUP($A55,'Client Data'!$A:$G,Spec!G$3,FALSE)="", "", VLOOKUP($A55, 'Client Data'!$A:$G,Spec!G$3,FALSE)))</f>
        <v/>
      </c>
      <c r="I55" s="24" t="str">
        <f>IF(ISNA($M55), "", IF(VLOOKUP($A55,'Client Data'!$A:$G,Spec!H$3,FALSE)="", "", VLOOKUP($A55, 'Client Data'!$A:$G,Spec!H$3,FALSE)))</f>
        <v/>
      </c>
      <c r="J55" s="20" t="str">
        <f>IF(NOT(ISNA($M55)), VLOOKUP($A55,'Client Data'!$A:$G,Spec!I$3,FALSE), "")</f>
        <v>A</v>
      </c>
      <c r="K55" s="20" t="str">
        <f>IF(NOT(ISNA($N55)), VLOOKUP($A55,'Employee Database'!$A:$K,Spec!J$2,FALSE), "")</f>
        <v/>
      </c>
      <c r="M55" s="20">
        <f>MATCH(A55,'Client Data'!A:A,0)</f>
        <v>50</v>
      </c>
      <c r="N55" s="20" t="e">
        <f>MATCH(A55,'Employee Database'!A:A,0)</f>
        <v>#N/A</v>
      </c>
      <c r="O55" t="b">
        <f t="shared" si="0"/>
        <v>1</v>
      </c>
      <c r="P55" t="str">
        <f t="shared" si="1"/>
        <v/>
      </c>
      <c r="R55" s="23" t="str">
        <f>IF(OR(ISNA($M55),ISNA($N55)),"",IF(C55=VLOOKUP($A55,'Client Data'!$A:$G,Spec!B$3,FALSE),"",VLOOKUP($A55,'Client Data'!$A:$G,Spec!B$3,FALSE)))</f>
        <v/>
      </c>
      <c r="S55" s="23" t="str">
        <f>IF(OR(ISNA($M55),ISNA($N55)),"",IF(D55=VLOOKUP($A55,'Client Data'!$A:$G,Spec!C$3,FALSE),"",VLOOKUP($A55,'Client Data'!$A:$G,Spec!C$3,FALSE)))</f>
        <v/>
      </c>
      <c r="T55" s="23" t="str">
        <f>IF(OR(ISNA($M55),ISNA($N55)),"",IF(H55=VLOOKUP($A55,'Employee Database'!$A:$K,Spec!G$2,FALSE),"",VLOOKUP($A55,'Employee Database'!$A:$K,Spec!G$2,FALSE)))</f>
        <v/>
      </c>
      <c r="U55" s="23" t="str">
        <f>IF(OR(ISNA($M55),ISNA($N55)),"",IF(I55=VLOOKUP($A55,'Employee Database'!$A:$K,Spec!H$2,FALSE),"",VLOOKUP($A55,'Employee Database'!$A:$K,Spec!H$2,FALSE)))</f>
        <v/>
      </c>
    </row>
    <row r="56" spans="1:21" x14ac:dyDescent="0.2">
      <c r="A56" s="8">
        <v>579271</v>
      </c>
      <c r="B56" s="28" t="str">
        <f>IF(ISNA(MATCH(A56,'Employee Database'!$A$6:$A$58,0)),"Not Available",INDEX('Employee Database'!$B$6:$B$58,MATCH(A56,'Employee Database'!$A$6:$A$58,0)))</f>
        <v>Not Available</v>
      </c>
      <c r="C56" s="24">
        <f>IF(NOT(ISNA($N56)),VLOOKUP($A56,'Employee Database'!$A:$K,Spec!B$2,FALSE), IF(NOT(ISNA($M56)), VLOOKUP($A56,'Client Data'!$A:$G,Spec!B$3,FALSE),""))</f>
        <v>22069</v>
      </c>
      <c r="D56" s="24">
        <f>IF(NOT(ISNA($N56)),VLOOKUP($A56,'Employee Database'!$A:$K,Spec!C$2,FALSE), IF(NOT(ISNA($M56)), VLOOKUP($A56,'Client Data'!$A:$G,Spec!C$3,FALSE),""))</f>
        <v>0</v>
      </c>
      <c r="E56" s="26">
        <f>IF(NOT(ISNA($M56)), VLOOKUP($A56,'Client Data'!$A:$G,Spec!D$3,FALSE), "")</f>
        <v>0</v>
      </c>
      <c r="F56" s="26" t="str">
        <f>IF(NOT(ISNA($N56)), VLOOKUP($A56,'Employee Database'!$A:$K,Spec!E$2,FALSE), "")</f>
        <v/>
      </c>
      <c r="G56" s="26" t="str">
        <f>IF(NOT(ISNA($N56)), VLOOKUP($A56,'Employee Database'!$A:$K,Spec!F$2,FALSE), "")</f>
        <v/>
      </c>
      <c r="H56" s="24" t="str">
        <f>IF(ISNA($M56), "", IF(VLOOKUP($A56,'Client Data'!$A:$G,Spec!G$3,FALSE)="", "", VLOOKUP($A56, 'Client Data'!$A:$G,Spec!G$3,FALSE)))</f>
        <v/>
      </c>
      <c r="I56" s="24" t="str">
        <f>IF(ISNA($M56), "", IF(VLOOKUP($A56,'Client Data'!$A:$G,Spec!H$3,FALSE)="", "", VLOOKUP($A56, 'Client Data'!$A:$G,Spec!H$3,FALSE)))</f>
        <v/>
      </c>
      <c r="J56" s="20">
        <f>IF(NOT(ISNA($M56)), VLOOKUP($A56,'Client Data'!$A:$G,Spec!I$3,FALSE), "")</f>
        <v>0</v>
      </c>
      <c r="K56" s="20" t="str">
        <f>IF(NOT(ISNA($N56)), VLOOKUP($A56,'Employee Database'!$A:$K,Spec!J$2,FALSE), "")</f>
        <v/>
      </c>
      <c r="M56" s="20">
        <f>MATCH(A56,'Client Data'!A:A,0)</f>
        <v>55</v>
      </c>
      <c r="N56" s="20" t="e">
        <f>MATCH(A56,'Employee Database'!A:A,0)</f>
        <v>#N/A</v>
      </c>
      <c r="O56" t="b">
        <f t="shared" si="0"/>
        <v>1</v>
      </c>
      <c r="P56" t="str">
        <f t="shared" si="1"/>
        <v/>
      </c>
      <c r="R56" s="23" t="str">
        <f>IF(OR(ISNA($M56),ISNA($N56)),"",IF(C56=VLOOKUP($A56,'Client Data'!$A:$G,Spec!B$3,FALSE),"",VLOOKUP($A56,'Client Data'!$A:$G,Spec!B$3,FALSE)))</f>
        <v/>
      </c>
      <c r="S56" s="23" t="str">
        <f>IF(OR(ISNA($M56),ISNA($N56)),"",IF(D56=VLOOKUP($A56,'Client Data'!$A:$G,Spec!C$3,FALSE),"",VLOOKUP($A56,'Client Data'!$A:$G,Spec!C$3,FALSE)))</f>
        <v/>
      </c>
      <c r="T56" s="23" t="str">
        <f>IF(OR(ISNA($M56),ISNA($N56)),"",IF(H56=VLOOKUP($A56,'Employee Database'!$A:$K,Spec!G$2,FALSE),"",VLOOKUP($A56,'Employee Database'!$A:$K,Spec!G$2,FALSE)))</f>
        <v/>
      </c>
      <c r="U56" s="23" t="str">
        <f>IF(OR(ISNA($M56),ISNA($N56)),"",IF(I56=VLOOKUP($A56,'Employee Database'!$A:$K,Spec!H$2,FALSE),"",VLOOKUP($A56,'Employee Database'!$A:$K,Spec!H$2,FALSE)))</f>
        <v/>
      </c>
    </row>
    <row r="57" spans="1:21" x14ac:dyDescent="0.2">
      <c r="A57" s="8">
        <v>579274</v>
      </c>
      <c r="B57" s="28" t="str">
        <f>IF(ISNA(MATCH(A57,'Employee Database'!$A$6:$A$58,0)),"Not Available",INDEX('Employee Database'!$B$6:$B$58,MATCH(A57,'Employee Database'!$A$6:$A$58,0)))</f>
        <v>Not Available</v>
      </c>
      <c r="C57" s="24">
        <f>IF(NOT(ISNA($N57)),VLOOKUP($A57,'Employee Database'!$A:$K,Spec!B$2,FALSE), IF(NOT(ISNA($M57)), VLOOKUP($A57,'Client Data'!$A:$G,Spec!B$3,FALSE),""))</f>
        <v>20256</v>
      </c>
      <c r="D57" s="24">
        <f>IF(NOT(ISNA($N57)),VLOOKUP($A57,'Employee Database'!$A:$K,Spec!C$2,FALSE), IF(NOT(ISNA($M57)), VLOOKUP($A57,'Client Data'!$A:$G,Spec!C$3,FALSE),""))</f>
        <v>0</v>
      </c>
      <c r="E57" s="26">
        <f>IF(NOT(ISNA($M57)), VLOOKUP($A57,'Client Data'!$A:$G,Spec!D$3,FALSE), "")</f>
        <v>200000</v>
      </c>
      <c r="F57" s="26" t="str">
        <f>IF(NOT(ISNA($N57)), VLOOKUP($A57,'Employee Database'!$A:$K,Spec!E$2,FALSE), "")</f>
        <v/>
      </c>
      <c r="G57" s="26" t="str">
        <f>IF(NOT(ISNA($N57)), VLOOKUP($A57,'Employee Database'!$A:$K,Spec!F$2,FALSE), "")</f>
        <v/>
      </c>
      <c r="H57" s="24" t="str">
        <f>IF(ISNA($M57), "", IF(VLOOKUP($A57,'Client Data'!$A:$G,Spec!G$3,FALSE)="", "", VLOOKUP($A57, 'Client Data'!$A:$G,Spec!G$3,FALSE)))</f>
        <v/>
      </c>
      <c r="I57" s="24" t="str">
        <f>IF(ISNA($M57), "", IF(VLOOKUP($A57,'Client Data'!$A:$G,Spec!H$3,FALSE)="", "", VLOOKUP($A57, 'Client Data'!$A:$G,Spec!H$3,FALSE)))</f>
        <v/>
      </c>
      <c r="J57" s="20" t="str">
        <f>IF(NOT(ISNA($M57)), VLOOKUP($A57,'Client Data'!$A:$G,Spec!I$3,FALSE), "")</f>
        <v>A</v>
      </c>
      <c r="K57" s="20" t="str">
        <f>IF(NOT(ISNA($N57)), VLOOKUP($A57,'Employee Database'!$A:$K,Spec!J$2,FALSE), "")</f>
        <v/>
      </c>
      <c r="M57" s="20">
        <f>MATCH(A57,'Client Data'!A:A,0)</f>
        <v>56</v>
      </c>
      <c r="N57" s="20" t="e">
        <f>MATCH(A57,'Employee Database'!A:A,0)</f>
        <v>#N/A</v>
      </c>
      <c r="O57" t="b">
        <f t="shared" si="0"/>
        <v>1</v>
      </c>
      <c r="P57" t="str">
        <f t="shared" si="1"/>
        <v/>
      </c>
      <c r="R57" s="23" t="str">
        <f>IF(OR(ISNA($M57),ISNA($N57)),"",IF(C57=VLOOKUP($A57,'Client Data'!$A:$G,Spec!B$3,FALSE),"",VLOOKUP($A57,'Client Data'!$A:$G,Spec!B$3,FALSE)))</f>
        <v/>
      </c>
      <c r="S57" s="23" t="str">
        <f>IF(OR(ISNA($M57),ISNA($N57)),"",IF(D57=VLOOKUP($A57,'Client Data'!$A:$G,Spec!C$3,FALSE),"",VLOOKUP($A57,'Client Data'!$A:$G,Spec!C$3,FALSE)))</f>
        <v/>
      </c>
      <c r="T57" s="23" t="str">
        <f>IF(OR(ISNA($M57),ISNA($N57)),"",IF(H57=VLOOKUP($A57,'Employee Database'!$A:$K,Spec!G$2,FALSE),"",VLOOKUP($A57,'Employee Database'!$A:$K,Spec!G$2,FALSE)))</f>
        <v/>
      </c>
      <c r="U57" s="23" t="str">
        <f>IF(OR(ISNA($M57),ISNA($N57)),"",IF(I57=VLOOKUP($A57,'Employee Database'!$A:$K,Spec!H$2,FALSE),"",VLOOKUP($A57,'Employee Database'!$A:$K,Spec!H$2,FALSE)))</f>
        <v/>
      </c>
    </row>
    <row r="58" spans="1:21" x14ac:dyDescent="0.2">
      <c r="A58" s="8">
        <v>579414</v>
      </c>
      <c r="B58" s="28" t="str">
        <f>IF(ISNA(MATCH(A58,'Employee Database'!$A$6:$A$58,0)),"Not Available",INDEX('Employee Database'!$B$6:$B$58,MATCH(A58,'Employee Database'!$A$6:$A$58,0)))</f>
        <v>Not Available</v>
      </c>
      <c r="C58" s="24">
        <f>IF(NOT(ISNA($N58)),VLOOKUP($A58,'Employee Database'!$A:$K,Spec!B$2,FALSE), IF(NOT(ISNA($M58)), VLOOKUP($A58,'Client Data'!$A:$G,Spec!B$3,FALSE),""))</f>
        <v>32874</v>
      </c>
      <c r="D58" s="24">
        <f>IF(NOT(ISNA($N58)),VLOOKUP($A58,'Employee Database'!$A:$K,Spec!C$2,FALSE), IF(NOT(ISNA($M58)), VLOOKUP($A58,'Client Data'!$A:$G,Spec!C$3,FALSE),""))</f>
        <v>41974</v>
      </c>
      <c r="E58" s="26">
        <f>IF(NOT(ISNA($M58)), VLOOKUP($A58,'Client Data'!$A:$G,Spec!D$3,FALSE), "")</f>
        <v>110000</v>
      </c>
      <c r="F58" s="26" t="str">
        <f>IF(NOT(ISNA($N58)), VLOOKUP($A58,'Employee Database'!$A:$K,Spec!E$2,FALSE), "")</f>
        <v/>
      </c>
      <c r="G58" s="26" t="str">
        <f>IF(NOT(ISNA($N58)), VLOOKUP($A58,'Employee Database'!$A:$K,Spec!F$2,FALSE), "")</f>
        <v/>
      </c>
      <c r="H58" s="24" t="str">
        <f>IF(ISNA($M58), "", IF(VLOOKUP($A58,'Client Data'!$A:$G,Spec!G$3,FALSE)="", "", VLOOKUP($A58, 'Client Data'!$A:$G,Spec!G$3,FALSE)))</f>
        <v/>
      </c>
      <c r="I58" s="24" t="str">
        <f>IF(ISNA($M58), "", IF(VLOOKUP($A58,'Client Data'!$A:$G,Spec!H$3,FALSE)="", "", VLOOKUP($A58, 'Client Data'!$A:$G,Spec!H$3,FALSE)))</f>
        <v/>
      </c>
      <c r="J58" s="20" t="str">
        <f>IF(NOT(ISNA($M58)), VLOOKUP($A58,'Client Data'!$A:$G,Spec!I$3,FALSE), "")</f>
        <v>A</v>
      </c>
      <c r="K58" s="20" t="str">
        <f>IF(NOT(ISNA($N58)), VLOOKUP($A58,'Employee Database'!$A:$K,Spec!J$2,FALSE), "")</f>
        <v/>
      </c>
      <c r="M58" s="20">
        <f>MATCH(A58,'Client Data'!A:A,0)</f>
        <v>57</v>
      </c>
      <c r="N58" s="20" t="e">
        <f>MATCH(A58,'Employee Database'!A:A,0)</f>
        <v>#N/A</v>
      </c>
      <c r="O58" t="b">
        <f t="shared" si="0"/>
        <v>1</v>
      </c>
      <c r="P58" t="str">
        <f>IF(AND(ISNA(M58), NOT(ISNA(N58))),TRUE,"")</f>
        <v/>
      </c>
      <c r="R58" s="23" t="str">
        <f>IF(OR(ISNA($M58),ISNA($N58)),"",IF(C58=VLOOKUP($A58,'Client Data'!$A:$G,Spec!B$3,FALSE),"",VLOOKUP($A58,'Client Data'!$A:$G,Spec!B$3,FALSE)))</f>
        <v/>
      </c>
      <c r="S58" s="23" t="str">
        <f>IF(OR(ISNA($M58),ISNA($N58)),"",IF(D58=VLOOKUP($A58,'Client Data'!$A:$G,Spec!C$3,FALSE),"",VLOOKUP($A58,'Client Data'!$A:$G,Spec!C$3,FALSE)))</f>
        <v/>
      </c>
      <c r="T58" s="23" t="str">
        <f>IF(OR(ISNA($M58),ISNA($N58)),"",IF(H58=VLOOKUP($A58,'Employee Database'!$A:$K,Spec!G$2,FALSE),"",VLOOKUP($A58,'Employee Database'!$A:$K,Spec!G$2,FALSE)))</f>
        <v/>
      </c>
      <c r="U58" s="23" t="str">
        <f>IF(OR(ISNA($M58),ISNA($N58)),"",IF(I58=VLOOKUP($A58,'Employee Database'!$A:$K,Spec!H$2,FALSE),"",VLOOKUP($A58,'Employee Database'!$A:$K,Spec!H$2,FALSE)))</f>
        <v/>
      </c>
    </row>
  </sheetData>
  <pageMargins left="0.7" right="0.7" top="0.75" bottom="0.75" header="0.3" footer="0.3"/>
  <pageSetup scale="59" orientation="landscape" horizontalDpi="300" verticalDpi="300" r:id="rId1"/>
  <headerFooter>
    <oddFooter>&amp;L&amp;F
&amp;A&amp;C&amp;P of &amp;N&amp;R&amp;D
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D9F26-65A5-4A9E-955D-4143EC35372F}">
  <sheetPr>
    <pageSetUpPr fitToPage="1"/>
  </sheetPr>
  <dimension ref="A1:K58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2" max="2" width="22.85546875" customWidth="1"/>
    <col min="3" max="9" width="11.42578125" customWidth="1"/>
  </cols>
  <sheetData>
    <row r="1" spans="1:11" ht="25.5" customHeight="1" x14ac:dyDescent="0.2">
      <c r="A1" s="3" t="s">
        <v>1</v>
      </c>
      <c r="B1" s="27" t="s">
        <v>2</v>
      </c>
      <c r="C1" s="5" t="s">
        <v>3</v>
      </c>
      <c r="D1" s="4" t="s">
        <v>4</v>
      </c>
      <c r="E1" s="4" t="s">
        <v>72</v>
      </c>
      <c r="F1" s="4" t="s">
        <v>5</v>
      </c>
      <c r="G1" s="4" t="s">
        <v>6</v>
      </c>
      <c r="H1" s="6" t="s">
        <v>8</v>
      </c>
      <c r="I1" s="6" t="s">
        <v>9</v>
      </c>
      <c r="J1" s="6" t="s">
        <v>73</v>
      </c>
      <c r="K1" s="6" t="s">
        <v>74</v>
      </c>
    </row>
    <row r="2" spans="1:11" x14ac:dyDescent="0.2">
      <c r="A2" s="8">
        <v>123491</v>
      </c>
      <c r="B2" s="28" t="s">
        <v>16</v>
      </c>
      <c r="C2" s="24">
        <v>24017</v>
      </c>
      <c r="D2" s="24">
        <v>34809</v>
      </c>
      <c r="E2" s="26">
        <v>250000</v>
      </c>
      <c r="F2" s="26">
        <v>250000</v>
      </c>
      <c r="G2" s="26">
        <v>230000</v>
      </c>
      <c r="H2" s="24" t="s">
        <v>83</v>
      </c>
      <c r="I2" s="24" t="s">
        <v>83</v>
      </c>
      <c r="J2" s="20" t="s">
        <v>17</v>
      </c>
      <c r="K2" s="20" t="s">
        <v>17</v>
      </c>
    </row>
    <row r="3" spans="1:11" x14ac:dyDescent="0.2">
      <c r="A3" s="8">
        <v>144983</v>
      </c>
      <c r="B3" s="28" t="s">
        <v>18</v>
      </c>
      <c r="C3" s="24">
        <v>27601</v>
      </c>
      <c r="D3" s="24">
        <v>38001</v>
      </c>
      <c r="E3" s="26">
        <v>99000</v>
      </c>
      <c r="F3" s="26">
        <v>99000</v>
      </c>
      <c r="G3" s="26">
        <v>94300</v>
      </c>
      <c r="H3" s="24" t="s">
        <v>83</v>
      </c>
      <c r="I3" s="24" t="s">
        <v>83</v>
      </c>
      <c r="J3" s="20" t="s">
        <v>17</v>
      </c>
      <c r="K3" s="20" t="s">
        <v>17</v>
      </c>
    </row>
    <row r="4" spans="1:11" x14ac:dyDescent="0.2">
      <c r="A4" s="8">
        <v>187427</v>
      </c>
      <c r="B4" s="28" t="s">
        <v>19</v>
      </c>
      <c r="C4" s="24">
        <v>21170</v>
      </c>
      <c r="D4" s="24">
        <v>37975</v>
      </c>
      <c r="E4" s="26">
        <v>98000</v>
      </c>
      <c r="F4" s="26">
        <v>98000</v>
      </c>
      <c r="G4" s="26">
        <v>93300</v>
      </c>
      <c r="H4" s="24" t="s">
        <v>83</v>
      </c>
      <c r="I4" s="24" t="s">
        <v>83</v>
      </c>
      <c r="J4" s="20" t="s">
        <v>17</v>
      </c>
      <c r="K4" s="20" t="s">
        <v>17</v>
      </c>
    </row>
    <row r="5" spans="1:11" x14ac:dyDescent="0.2">
      <c r="A5" s="8">
        <v>189508</v>
      </c>
      <c r="B5" s="28" t="s">
        <v>20</v>
      </c>
      <c r="C5" s="24">
        <v>30229</v>
      </c>
      <c r="D5" s="24">
        <v>35020</v>
      </c>
      <c r="E5" s="26">
        <v>97000</v>
      </c>
      <c r="F5" s="26">
        <v>97000</v>
      </c>
      <c r="G5" s="26">
        <v>92400</v>
      </c>
      <c r="H5" s="24" t="s">
        <v>83</v>
      </c>
      <c r="I5" s="24" t="s">
        <v>83</v>
      </c>
      <c r="J5" s="20" t="s">
        <v>17</v>
      </c>
      <c r="K5" s="20" t="s">
        <v>17</v>
      </c>
    </row>
    <row r="6" spans="1:11" x14ac:dyDescent="0.2">
      <c r="A6" s="8">
        <v>199741</v>
      </c>
      <c r="B6" s="28" t="s">
        <v>21</v>
      </c>
      <c r="C6" s="24">
        <v>16439</v>
      </c>
      <c r="D6" s="24">
        <v>35929</v>
      </c>
      <c r="E6" s="26">
        <v>96000</v>
      </c>
      <c r="F6" s="26">
        <v>96000</v>
      </c>
      <c r="G6" s="26">
        <v>91400</v>
      </c>
      <c r="H6" s="24" t="s">
        <v>83</v>
      </c>
      <c r="I6" s="24" t="s">
        <v>83</v>
      </c>
      <c r="J6" s="20" t="s">
        <v>17</v>
      </c>
      <c r="K6" s="20" t="s">
        <v>17</v>
      </c>
    </row>
    <row r="7" spans="1:11" x14ac:dyDescent="0.2">
      <c r="A7" s="8">
        <v>205217</v>
      </c>
      <c r="B7" s="28" t="s">
        <v>22</v>
      </c>
      <c r="C7" s="24">
        <v>17620</v>
      </c>
      <c r="D7" s="24">
        <v>34867</v>
      </c>
      <c r="E7" s="26">
        <v>95000</v>
      </c>
      <c r="F7" s="26">
        <v>95000</v>
      </c>
      <c r="G7" s="26">
        <v>90500</v>
      </c>
      <c r="H7" s="24" t="s">
        <v>83</v>
      </c>
      <c r="I7" s="24" t="s">
        <v>83</v>
      </c>
      <c r="J7" s="20" t="s">
        <v>17</v>
      </c>
      <c r="K7" s="20" t="s">
        <v>17</v>
      </c>
    </row>
    <row r="8" spans="1:11" x14ac:dyDescent="0.2">
      <c r="A8" s="8">
        <v>206418</v>
      </c>
      <c r="B8" s="28" t="s">
        <v>23</v>
      </c>
      <c r="C8" s="24">
        <v>20874</v>
      </c>
      <c r="D8" s="24">
        <v>40497</v>
      </c>
      <c r="E8" s="26">
        <v>320000</v>
      </c>
      <c r="F8" s="26">
        <v>320000</v>
      </c>
      <c r="G8" s="26">
        <v>32000</v>
      </c>
      <c r="H8" s="24" t="s">
        <v>83</v>
      </c>
      <c r="I8" s="24" t="s">
        <v>83</v>
      </c>
      <c r="J8" s="20" t="s">
        <v>17</v>
      </c>
      <c r="K8" s="20" t="s">
        <v>17</v>
      </c>
    </row>
    <row r="9" spans="1:11" x14ac:dyDescent="0.2">
      <c r="A9" s="8">
        <v>218201</v>
      </c>
      <c r="B9" s="28" t="s">
        <v>24</v>
      </c>
      <c r="C9" s="24">
        <v>15818</v>
      </c>
      <c r="D9" s="24">
        <v>35362</v>
      </c>
      <c r="E9" s="26">
        <v>93000</v>
      </c>
      <c r="F9" s="26">
        <v>93000</v>
      </c>
      <c r="G9" s="26">
        <v>88600</v>
      </c>
      <c r="H9" s="24" t="s">
        <v>83</v>
      </c>
      <c r="I9" s="24" t="s">
        <v>83</v>
      </c>
      <c r="J9" s="20" t="s">
        <v>17</v>
      </c>
      <c r="K9" s="20" t="s">
        <v>17</v>
      </c>
    </row>
    <row r="10" spans="1:11" x14ac:dyDescent="0.2">
      <c r="A10" s="8">
        <v>225139</v>
      </c>
      <c r="B10" s="28" t="s">
        <v>25</v>
      </c>
      <c r="C10" s="24">
        <v>33987</v>
      </c>
      <c r="D10" s="24">
        <v>41074</v>
      </c>
      <c r="E10" s="26">
        <v>92000</v>
      </c>
      <c r="F10" s="26">
        <v>92000</v>
      </c>
      <c r="G10" s="26">
        <v>40000</v>
      </c>
      <c r="H10" s="24" t="s">
        <v>83</v>
      </c>
      <c r="I10" s="24" t="s">
        <v>83</v>
      </c>
      <c r="J10" s="20" t="s">
        <v>17</v>
      </c>
      <c r="K10" s="20" t="s">
        <v>17</v>
      </c>
    </row>
    <row r="11" spans="1:11" x14ac:dyDescent="0.2">
      <c r="A11" s="8">
        <v>232072</v>
      </c>
      <c r="B11" s="28" t="s">
        <v>26</v>
      </c>
      <c r="C11" s="24">
        <v>24290</v>
      </c>
      <c r="D11" s="24">
        <v>39634</v>
      </c>
      <c r="E11" s="26">
        <v>91000</v>
      </c>
      <c r="F11" s="26">
        <v>91000</v>
      </c>
      <c r="G11" s="26">
        <v>86700</v>
      </c>
      <c r="H11" s="24" t="s">
        <v>83</v>
      </c>
      <c r="I11" s="24" t="s">
        <v>83</v>
      </c>
      <c r="J11" s="20" t="s">
        <v>17</v>
      </c>
      <c r="K11" s="20" t="s">
        <v>17</v>
      </c>
    </row>
    <row r="12" spans="1:11" x14ac:dyDescent="0.2">
      <c r="A12" s="8">
        <v>250067</v>
      </c>
      <c r="B12" s="28" t="s">
        <v>27</v>
      </c>
      <c r="C12" s="24" t="s">
        <v>28</v>
      </c>
      <c r="D12" s="24">
        <v>40073</v>
      </c>
      <c r="E12" s="26">
        <v>90000</v>
      </c>
      <c r="F12" s="26">
        <v>90000</v>
      </c>
      <c r="G12" s="26">
        <v>85700</v>
      </c>
      <c r="H12" s="24" t="s">
        <v>83</v>
      </c>
      <c r="I12" s="24" t="s">
        <v>83</v>
      </c>
      <c r="J12" s="20" t="s">
        <v>17</v>
      </c>
      <c r="K12" s="20" t="s">
        <v>17</v>
      </c>
    </row>
    <row r="13" spans="1:11" x14ac:dyDescent="0.2">
      <c r="A13" s="8">
        <v>253862</v>
      </c>
      <c r="B13" s="28" t="s">
        <v>29</v>
      </c>
      <c r="C13" s="24">
        <v>23332</v>
      </c>
      <c r="D13" s="24">
        <v>40339</v>
      </c>
      <c r="E13" s="26">
        <v>89000</v>
      </c>
      <c r="F13" s="26">
        <v>89000</v>
      </c>
      <c r="G13" s="26">
        <v>84800</v>
      </c>
      <c r="H13" s="24" t="s">
        <v>83</v>
      </c>
      <c r="I13" s="24" t="s">
        <v>83</v>
      </c>
      <c r="J13" s="20" t="s">
        <v>17</v>
      </c>
      <c r="K13" s="20" t="s">
        <v>17</v>
      </c>
    </row>
    <row r="14" spans="1:11" x14ac:dyDescent="0.2">
      <c r="A14" s="8">
        <v>255179</v>
      </c>
      <c r="B14" s="28" t="s">
        <v>30</v>
      </c>
      <c r="C14" s="24">
        <v>22281</v>
      </c>
      <c r="D14" s="24">
        <v>40774</v>
      </c>
      <c r="E14" s="26">
        <v>88000</v>
      </c>
      <c r="F14" s="26">
        <v>88000</v>
      </c>
      <c r="G14" s="26">
        <v>83800</v>
      </c>
      <c r="H14" s="24" t="s">
        <v>83</v>
      </c>
      <c r="I14" s="24" t="s">
        <v>83</v>
      </c>
      <c r="J14" s="20" t="s">
        <v>17</v>
      </c>
      <c r="K14" s="20" t="s">
        <v>17</v>
      </c>
    </row>
    <row r="15" spans="1:11" x14ac:dyDescent="0.2">
      <c r="A15" s="8">
        <v>258130</v>
      </c>
      <c r="B15" s="28" t="s">
        <v>31</v>
      </c>
      <c r="C15" s="24">
        <v>29124</v>
      </c>
      <c r="D15" s="24">
        <v>29006</v>
      </c>
      <c r="E15" s="26">
        <v>87000</v>
      </c>
      <c r="F15" s="26">
        <v>87000</v>
      </c>
      <c r="G15" s="26">
        <v>82900</v>
      </c>
      <c r="H15" s="24" t="s">
        <v>83</v>
      </c>
      <c r="I15" s="24" t="s">
        <v>83</v>
      </c>
      <c r="J15" s="20" t="s">
        <v>17</v>
      </c>
      <c r="K15" s="20" t="s">
        <v>17</v>
      </c>
    </row>
    <row r="16" spans="1:11" x14ac:dyDescent="0.2">
      <c r="A16" s="8">
        <v>286491</v>
      </c>
      <c r="B16" s="28" t="s">
        <v>32</v>
      </c>
      <c r="C16" s="24">
        <v>16018</v>
      </c>
      <c r="D16" s="24">
        <v>31071</v>
      </c>
      <c r="E16" s="26">
        <v>86000</v>
      </c>
      <c r="F16" s="26">
        <v>86000</v>
      </c>
      <c r="G16" s="26">
        <v>81900</v>
      </c>
      <c r="H16" s="24" t="s">
        <v>83</v>
      </c>
      <c r="I16" s="24" t="s">
        <v>83</v>
      </c>
      <c r="J16" s="20" t="s">
        <v>17</v>
      </c>
      <c r="K16" s="20" t="s">
        <v>17</v>
      </c>
    </row>
    <row r="17" spans="1:11" x14ac:dyDescent="0.2">
      <c r="A17" s="8">
        <v>290999</v>
      </c>
      <c r="B17" s="28" t="s">
        <v>33</v>
      </c>
      <c r="C17" s="24">
        <v>25991</v>
      </c>
      <c r="D17" s="24">
        <v>41600</v>
      </c>
      <c r="E17" s="26">
        <v>85000</v>
      </c>
      <c r="F17" s="26">
        <v>85000</v>
      </c>
      <c r="G17" s="26">
        <v>2000</v>
      </c>
      <c r="H17" s="24" t="s">
        <v>83</v>
      </c>
      <c r="I17" s="24" t="s">
        <v>83</v>
      </c>
      <c r="J17" s="20" t="s">
        <v>17</v>
      </c>
      <c r="K17" s="20" t="s">
        <v>17</v>
      </c>
    </row>
    <row r="18" spans="1:11" x14ac:dyDescent="0.2">
      <c r="A18" s="8">
        <v>300843</v>
      </c>
      <c r="B18" s="28" t="s">
        <v>34</v>
      </c>
      <c r="C18" s="24">
        <v>17659</v>
      </c>
      <c r="D18" s="24">
        <v>31876</v>
      </c>
      <c r="E18" s="26">
        <v>84000</v>
      </c>
      <c r="F18" s="26">
        <v>84000</v>
      </c>
      <c r="G18" s="26">
        <v>80000</v>
      </c>
      <c r="H18" s="24" t="s">
        <v>83</v>
      </c>
      <c r="I18" s="24" t="s">
        <v>83</v>
      </c>
      <c r="J18" s="20" t="s">
        <v>17</v>
      </c>
      <c r="K18" s="20" t="s">
        <v>17</v>
      </c>
    </row>
    <row r="19" spans="1:11" x14ac:dyDescent="0.2">
      <c r="A19" s="8">
        <v>302798</v>
      </c>
      <c r="B19" s="28" t="s">
        <v>35</v>
      </c>
      <c r="C19" s="24">
        <v>28924</v>
      </c>
      <c r="D19" s="24">
        <v>35009</v>
      </c>
      <c r="E19" s="26">
        <v>86000</v>
      </c>
      <c r="F19" s="26">
        <v>300000</v>
      </c>
      <c r="G19" s="26">
        <v>276000</v>
      </c>
      <c r="H19" s="24" t="s">
        <v>83</v>
      </c>
      <c r="I19" s="24" t="s">
        <v>83</v>
      </c>
      <c r="J19" s="20" t="s">
        <v>17</v>
      </c>
      <c r="K19" s="20" t="s">
        <v>17</v>
      </c>
    </row>
    <row r="20" spans="1:11" x14ac:dyDescent="0.2">
      <c r="A20" s="8">
        <v>310267</v>
      </c>
      <c r="B20" s="28" t="s">
        <v>36</v>
      </c>
      <c r="C20" s="24">
        <v>23532</v>
      </c>
      <c r="D20" s="24">
        <v>38201</v>
      </c>
      <c r="E20" s="26">
        <v>86000</v>
      </c>
      <c r="F20" s="26">
        <v>118800</v>
      </c>
      <c r="G20" s="26">
        <v>113100</v>
      </c>
      <c r="H20" s="24" t="s">
        <v>83</v>
      </c>
      <c r="I20" s="24" t="s">
        <v>83</v>
      </c>
      <c r="J20" s="20" t="s">
        <v>17</v>
      </c>
      <c r="K20" s="20" t="s">
        <v>17</v>
      </c>
    </row>
    <row r="21" spans="1:11" x14ac:dyDescent="0.2">
      <c r="A21" s="8">
        <v>313615</v>
      </c>
      <c r="B21" s="28" t="s">
        <v>37</v>
      </c>
      <c r="C21" s="24">
        <v>34187</v>
      </c>
      <c r="D21" s="24">
        <v>38175</v>
      </c>
      <c r="E21" s="26">
        <v>87000</v>
      </c>
      <c r="F21" s="26">
        <v>117600</v>
      </c>
      <c r="G21" s="26">
        <v>112000</v>
      </c>
      <c r="H21" s="24" t="s">
        <v>83</v>
      </c>
      <c r="I21" s="24" t="s">
        <v>83</v>
      </c>
      <c r="J21" s="20" t="s">
        <v>17</v>
      </c>
      <c r="K21" s="20" t="s">
        <v>17</v>
      </c>
    </row>
    <row r="22" spans="1:11" x14ac:dyDescent="0.2">
      <c r="A22" s="8">
        <v>320387</v>
      </c>
      <c r="B22" s="28" t="s">
        <v>38</v>
      </c>
      <c r="C22" s="24">
        <v>25791</v>
      </c>
      <c r="D22" s="24">
        <v>35220</v>
      </c>
      <c r="E22" s="26">
        <v>76000</v>
      </c>
      <c r="F22" s="26">
        <v>116400</v>
      </c>
      <c r="G22" s="26">
        <v>110900</v>
      </c>
      <c r="H22" s="24" t="s">
        <v>83</v>
      </c>
      <c r="I22" s="24" t="s">
        <v>83</v>
      </c>
      <c r="J22" s="20" t="s">
        <v>17</v>
      </c>
      <c r="K22" s="20" t="s">
        <v>17</v>
      </c>
    </row>
    <row r="23" spans="1:11" x14ac:dyDescent="0.2">
      <c r="A23" s="8">
        <v>340436</v>
      </c>
      <c r="B23" s="28" t="s">
        <v>39</v>
      </c>
      <c r="C23" s="24">
        <v>27791</v>
      </c>
      <c r="D23" s="24">
        <v>36129</v>
      </c>
      <c r="E23" s="26">
        <v>75000</v>
      </c>
      <c r="F23" s="26">
        <v>115200</v>
      </c>
      <c r="G23" s="26">
        <v>109700</v>
      </c>
      <c r="H23" s="24" t="s">
        <v>83</v>
      </c>
      <c r="I23" s="24" t="s">
        <v>83</v>
      </c>
      <c r="J23" s="20" t="s">
        <v>17</v>
      </c>
      <c r="K23" s="20" t="s">
        <v>17</v>
      </c>
    </row>
    <row r="24" spans="1:11" x14ac:dyDescent="0.2">
      <c r="A24" s="8">
        <v>345767</v>
      </c>
      <c r="B24" s="28" t="s">
        <v>40</v>
      </c>
      <c r="C24" s="24">
        <v>24217</v>
      </c>
      <c r="D24" s="24">
        <v>35067</v>
      </c>
      <c r="E24" s="26">
        <v>86000</v>
      </c>
      <c r="F24" s="26">
        <v>114000</v>
      </c>
      <c r="G24" s="26">
        <v>108600</v>
      </c>
      <c r="H24" s="24" t="s">
        <v>83</v>
      </c>
      <c r="I24" s="24" t="s">
        <v>83</v>
      </c>
      <c r="J24" s="20" t="s">
        <v>17</v>
      </c>
      <c r="K24" s="20" t="s">
        <v>17</v>
      </c>
    </row>
    <row r="25" spans="1:11" x14ac:dyDescent="0.2">
      <c r="A25" s="8">
        <v>352244</v>
      </c>
      <c r="B25" s="28" t="s">
        <v>41</v>
      </c>
      <c r="C25" s="24">
        <v>21370</v>
      </c>
      <c r="D25" s="24">
        <v>41429</v>
      </c>
      <c r="E25" s="26">
        <v>96000</v>
      </c>
      <c r="F25" s="26">
        <v>384000</v>
      </c>
      <c r="G25" s="26">
        <v>38400</v>
      </c>
      <c r="H25" s="24" t="s">
        <v>83</v>
      </c>
      <c r="I25" s="24" t="s">
        <v>83</v>
      </c>
      <c r="J25" s="20" t="s">
        <v>17</v>
      </c>
      <c r="K25" s="20" t="s">
        <v>17</v>
      </c>
    </row>
    <row r="26" spans="1:11" x14ac:dyDescent="0.2">
      <c r="A26" s="8">
        <v>357982</v>
      </c>
      <c r="B26" s="28" t="s">
        <v>42</v>
      </c>
      <c r="C26" s="24">
        <v>17820</v>
      </c>
      <c r="D26" s="24">
        <v>35562</v>
      </c>
      <c r="E26" s="26">
        <v>94000</v>
      </c>
      <c r="F26" s="26">
        <v>111600</v>
      </c>
      <c r="G26" s="26">
        <v>106300</v>
      </c>
      <c r="H26" s="24" t="s">
        <v>83</v>
      </c>
      <c r="I26" s="24" t="s">
        <v>83</v>
      </c>
      <c r="J26" s="20" t="s">
        <v>17</v>
      </c>
      <c r="K26" s="20" t="s">
        <v>17</v>
      </c>
    </row>
    <row r="27" spans="1:11" x14ac:dyDescent="0.2">
      <c r="A27" s="8">
        <v>369257</v>
      </c>
      <c r="B27" s="28" t="s">
        <v>43</v>
      </c>
      <c r="C27" s="24">
        <v>3651</v>
      </c>
      <c r="D27" s="24">
        <v>41274</v>
      </c>
      <c r="E27" s="26">
        <v>86000</v>
      </c>
      <c r="F27" s="26">
        <v>110400</v>
      </c>
      <c r="G27" s="26">
        <v>48000</v>
      </c>
      <c r="H27" s="24" t="s">
        <v>83</v>
      </c>
      <c r="I27" s="24" t="s">
        <v>83</v>
      </c>
      <c r="J27" s="20" t="s">
        <v>17</v>
      </c>
      <c r="K27" s="20" t="s">
        <v>17</v>
      </c>
    </row>
    <row r="28" spans="1:11" x14ac:dyDescent="0.2">
      <c r="A28" s="8">
        <v>375122</v>
      </c>
      <c r="B28" s="28" t="s">
        <v>44</v>
      </c>
      <c r="C28" s="24">
        <v>17859</v>
      </c>
      <c r="D28" s="24">
        <v>39834</v>
      </c>
      <c r="E28" s="26">
        <v>23000</v>
      </c>
      <c r="F28" s="26">
        <v>109200</v>
      </c>
      <c r="G28" s="26">
        <v>104000</v>
      </c>
      <c r="H28" s="24" t="s">
        <v>83</v>
      </c>
      <c r="I28" s="24" t="s">
        <v>83</v>
      </c>
      <c r="J28" s="20" t="s">
        <v>17</v>
      </c>
      <c r="K28" s="20" t="s">
        <v>17</v>
      </c>
    </row>
    <row r="29" spans="1:11" x14ac:dyDescent="0.2">
      <c r="A29" s="8">
        <v>406300</v>
      </c>
      <c r="B29" s="28" t="s">
        <v>45</v>
      </c>
      <c r="C29" s="24">
        <v>1</v>
      </c>
      <c r="D29" s="24">
        <v>40273</v>
      </c>
      <c r="E29" s="26">
        <v>54000</v>
      </c>
      <c r="F29" s="26">
        <v>108000</v>
      </c>
      <c r="G29" s="26">
        <v>102900</v>
      </c>
      <c r="H29" s="24" t="s">
        <v>83</v>
      </c>
      <c r="I29" s="24" t="s">
        <v>83</v>
      </c>
      <c r="J29" s="20" t="s">
        <v>17</v>
      </c>
      <c r="K29" s="20" t="s">
        <v>17</v>
      </c>
    </row>
    <row r="30" spans="1:11" x14ac:dyDescent="0.2">
      <c r="A30" s="8">
        <v>422365</v>
      </c>
      <c r="B30" s="28" t="s">
        <v>46</v>
      </c>
      <c r="C30" s="24">
        <v>21074</v>
      </c>
      <c r="D30" s="24">
        <v>40539</v>
      </c>
      <c r="E30" s="26">
        <v>86000</v>
      </c>
      <c r="F30" s="26">
        <v>106800</v>
      </c>
      <c r="G30" s="26">
        <v>101700</v>
      </c>
      <c r="H30" s="24" t="s">
        <v>83</v>
      </c>
      <c r="I30" s="24" t="s">
        <v>83</v>
      </c>
      <c r="J30" s="20" t="s">
        <v>17</v>
      </c>
      <c r="K30" s="20" t="s">
        <v>17</v>
      </c>
    </row>
    <row r="31" spans="1:11" x14ac:dyDescent="0.2">
      <c r="A31" s="8">
        <v>423109</v>
      </c>
      <c r="B31" s="28" t="s">
        <v>47</v>
      </c>
      <c r="C31" s="24">
        <v>16218</v>
      </c>
      <c r="D31" s="24">
        <v>40974</v>
      </c>
      <c r="E31" s="26">
        <v>79000</v>
      </c>
      <c r="F31" s="26">
        <v>105600</v>
      </c>
      <c r="G31" s="26">
        <v>100600</v>
      </c>
      <c r="H31" s="24" t="s">
        <v>83</v>
      </c>
      <c r="I31" s="24" t="s">
        <v>83</v>
      </c>
      <c r="J31" s="20" t="s">
        <v>17</v>
      </c>
      <c r="K31" s="20" t="s">
        <v>17</v>
      </c>
    </row>
    <row r="32" spans="1:11" x14ac:dyDescent="0.2">
      <c r="A32" s="8">
        <v>426223</v>
      </c>
      <c r="B32" s="28" t="s">
        <v>48</v>
      </c>
      <c r="C32" s="24">
        <v>26191</v>
      </c>
      <c r="D32" s="24">
        <v>27116</v>
      </c>
      <c r="E32" s="26">
        <v>83000</v>
      </c>
      <c r="F32" s="26">
        <v>104400</v>
      </c>
      <c r="G32" s="26">
        <v>99400</v>
      </c>
      <c r="H32" s="24" t="s">
        <v>83</v>
      </c>
      <c r="I32" s="24" t="s">
        <v>83</v>
      </c>
      <c r="J32" s="20" t="s">
        <v>17</v>
      </c>
      <c r="K32" s="20" t="s">
        <v>17</v>
      </c>
    </row>
    <row r="33" spans="1:11" x14ac:dyDescent="0.2">
      <c r="A33" s="8">
        <v>430276</v>
      </c>
      <c r="B33" s="28" t="s">
        <v>49</v>
      </c>
      <c r="C33" s="24">
        <v>29324</v>
      </c>
      <c r="D33" s="24">
        <v>31271</v>
      </c>
      <c r="E33" s="26">
        <v>100000</v>
      </c>
      <c r="F33" s="26">
        <v>103200</v>
      </c>
      <c r="G33" s="26">
        <v>98300</v>
      </c>
      <c r="H33" s="24" t="s">
        <v>83</v>
      </c>
      <c r="I33" s="24" t="s">
        <v>83</v>
      </c>
      <c r="J33" s="20" t="s">
        <v>17</v>
      </c>
      <c r="K33" s="20" t="s">
        <v>17</v>
      </c>
    </row>
    <row r="34" spans="1:11" x14ac:dyDescent="0.2">
      <c r="A34" s="8">
        <v>430534</v>
      </c>
      <c r="B34" s="28" t="s">
        <v>50</v>
      </c>
      <c r="C34" s="24">
        <v>16018</v>
      </c>
      <c r="D34" s="24">
        <v>1</v>
      </c>
      <c r="E34" s="26">
        <v>110000</v>
      </c>
      <c r="F34" s="26">
        <v>102000</v>
      </c>
      <c r="G34" s="26">
        <v>2400</v>
      </c>
      <c r="H34" s="24" t="s">
        <v>83</v>
      </c>
      <c r="I34" s="24" t="s">
        <v>83</v>
      </c>
      <c r="J34" s="20" t="s">
        <v>17</v>
      </c>
      <c r="K34" s="20" t="s">
        <v>17</v>
      </c>
    </row>
    <row r="35" spans="1:11" x14ac:dyDescent="0.2">
      <c r="A35" s="8">
        <v>443913</v>
      </c>
      <c r="B35" s="28" t="s">
        <v>51</v>
      </c>
      <c r="C35" s="24">
        <v>16639</v>
      </c>
      <c r="D35" s="24">
        <v>32076</v>
      </c>
      <c r="E35" s="26">
        <v>200000</v>
      </c>
      <c r="F35" s="26">
        <v>100800</v>
      </c>
      <c r="G35" s="26">
        <v>96000</v>
      </c>
      <c r="H35" s="24" t="s">
        <v>83</v>
      </c>
      <c r="I35" s="24" t="s">
        <v>83</v>
      </c>
      <c r="J35" s="20" t="s">
        <v>17</v>
      </c>
      <c r="K35" s="20" t="s">
        <v>17</v>
      </c>
    </row>
    <row r="36" spans="1:11" x14ac:dyDescent="0.2">
      <c r="A36" s="8">
        <v>446641</v>
      </c>
      <c r="B36" s="28" t="s">
        <v>16</v>
      </c>
      <c r="C36" s="24">
        <v>23652</v>
      </c>
      <c r="D36" s="24">
        <v>35209</v>
      </c>
      <c r="E36" s="26">
        <v>86000</v>
      </c>
      <c r="F36" s="26">
        <v>360000</v>
      </c>
      <c r="G36" s="26">
        <v>331200</v>
      </c>
      <c r="H36" s="24" t="s">
        <v>83</v>
      </c>
      <c r="I36" s="24" t="s">
        <v>83</v>
      </c>
      <c r="J36" s="20" t="s">
        <v>17</v>
      </c>
      <c r="K36" s="20" t="s">
        <v>17</v>
      </c>
    </row>
    <row r="37" spans="1:11" x14ac:dyDescent="0.2">
      <c r="A37" s="8">
        <v>462488</v>
      </c>
      <c r="B37" s="28" t="s">
        <v>52</v>
      </c>
      <c r="C37" s="24">
        <v>22481</v>
      </c>
      <c r="D37" s="24">
        <v>38401</v>
      </c>
      <c r="E37" s="26">
        <v>86000</v>
      </c>
      <c r="F37" s="26">
        <v>142600</v>
      </c>
      <c r="G37" s="26">
        <v>135700</v>
      </c>
      <c r="H37" s="24" t="s">
        <v>83</v>
      </c>
      <c r="I37" s="24" t="s">
        <v>83</v>
      </c>
      <c r="J37" s="20" t="s">
        <v>17</v>
      </c>
      <c r="K37" s="20" t="s">
        <v>17</v>
      </c>
    </row>
    <row r="38" spans="1:11" x14ac:dyDescent="0.2">
      <c r="A38" s="8">
        <v>472297</v>
      </c>
      <c r="B38" s="28" t="s">
        <v>25</v>
      </c>
      <c r="C38" s="24">
        <v>33987</v>
      </c>
      <c r="D38" s="24">
        <v>38375</v>
      </c>
      <c r="E38" s="26">
        <v>86000</v>
      </c>
      <c r="F38" s="26">
        <v>141100</v>
      </c>
      <c r="G38" s="26">
        <v>134400</v>
      </c>
      <c r="H38" s="24" t="s">
        <v>83</v>
      </c>
      <c r="I38" s="24" t="s">
        <v>83</v>
      </c>
      <c r="J38" s="20" t="s">
        <v>17</v>
      </c>
      <c r="K38" s="20" t="s">
        <v>17</v>
      </c>
    </row>
    <row r="39" spans="1:11" x14ac:dyDescent="0.2">
      <c r="A39" s="8">
        <v>489909</v>
      </c>
      <c r="B39" s="28" t="s">
        <v>53</v>
      </c>
      <c r="C39" s="24">
        <v>24490</v>
      </c>
      <c r="D39" s="24">
        <v>1</v>
      </c>
      <c r="E39" s="26">
        <v>86000</v>
      </c>
      <c r="F39" s="26">
        <v>139700</v>
      </c>
      <c r="G39" s="26">
        <v>133100</v>
      </c>
      <c r="H39" s="24" t="s">
        <v>83</v>
      </c>
      <c r="I39" s="24" t="s">
        <v>83</v>
      </c>
      <c r="J39" s="20" t="s">
        <v>17</v>
      </c>
      <c r="K39" s="20" t="s">
        <v>17</v>
      </c>
    </row>
    <row r="40" spans="1:11" x14ac:dyDescent="0.2">
      <c r="A40" s="8">
        <v>489933</v>
      </c>
      <c r="B40" s="28" t="s">
        <v>54</v>
      </c>
      <c r="C40" s="24">
        <v>22158</v>
      </c>
      <c r="D40" s="24">
        <v>36329</v>
      </c>
      <c r="E40" s="26">
        <v>86000</v>
      </c>
      <c r="F40" s="26">
        <v>138200</v>
      </c>
      <c r="G40" s="26">
        <v>131600</v>
      </c>
      <c r="H40" s="24" t="s">
        <v>83</v>
      </c>
      <c r="I40" s="24" t="s">
        <v>83</v>
      </c>
      <c r="J40" s="20" t="s">
        <v>17</v>
      </c>
      <c r="K40" s="20" t="s">
        <v>17</v>
      </c>
    </row>
    <row r="41" spans="1:11" x14ac:dyDescent="0.2">
      <c r="A41" s="8">
        <v>537613</v>
      </c>
      <c r="B41" s="28" t="s">
        <v>20</v>
      </c>
      <c r="C41" s="24">
        <v>30229</v>
      </c>
      <c r="D41" s="24">
        <v>35267</v>
      </c>
      <c r="E41" s="26">
        <v>86000</v>
      </c>
      <c r="F41" s="26">
        <v>136800</v>
      </c>
      <c r="G41" s="26">
        <v>130300</v>
      </c>
      <c r="H41" s="24" t="s">
        <v>83</v>
      </c>
      <c r="I41" s="24" t="s">
        <v>83</v>
      </c>
      <c r="J41" s="20" t="s">
        <v>17</v>
      </c>
      <c r="K41" s="20" t="s">
        <v>17</v>
      </c>
    </row>
    <row r="42" spans="1:11" x14ac:dyDescent="0.2">
      <c r="A42" s="8">
        <v>538228</v>
      </c>
      <c r="B42" s="28" t="s">
        <v>55</v>
      </c>
      <c r="C42" s="24">
        <v>15818</v>
      </c>
      <c r="D42" s="24">
        <v>41629</v>
      </c>
      <c r="E42" s="26">
        <v>86000</v>
      </c>
      <c r="F42" s="26">
        <v>460800</v>
      </c>
      <c r="G42" s="26">
        <v>46100</v>
      </c>
      <c r="H42" s="24" t="s">
        <v>83</v>
      </c>
      <c r="I42" s="24" t="s">
        <v>83</v>
      </c>
      <c r="J42" s="20" t="s">
        <v>17</v>
      </c>
      <c r="K42" s="20" t="s">
        <v>17</v>
      </c>
    </row>
    <row r="43" spans="1:11" x14ac:dyDescent="0.2">
      <c r="A43" s="8">
        <v>545776</v>
      </c>
      <c r="B43" s="28" t="s">
        <v>56</v>
      </c>
      <c r="C43" s="24">
        <v>24090</v>
      </c>
      <c r="D43" s="24">
        <v>35762</v>
      </c>
      <c r="E43" s="26">
        <v>86000</v>
      </c>
      <c r="F43" s="26">
        <v>133900</v>
      </c>
      <c r="G43" s="26">
        <v>127600</v>
      </c>
      <c r="H43" s="24" t="s">
        <v>83</v>
      </c>
      <c r="I43" s="24" t="s">
        <v>83</v>
      </c>
      <c r="J43" s="20" t="s">
        <v>17</v>
      </c>
      <c r="K43" s="20" t="s">
        <v>17</v>
      </c>
    </row>
    <row r="44" spans="1:11" x14ac:dyDescent="0.2">
      <c r="A44" s="8">
        <v>565414</v>
      </c>
      <c r="B44" s="28" t="s">
        <v>57</v>
      </c>
      <c r="C44" s="24">
        <v>21758</v>
      </c>
      <c r="D44" s="24">
        <v>41474</v>
      </c>
      <c r="E44" s="26">
        <v>110000</v>
      </c>
      <c r="F44" s="26">
        <v>132500</v>
      </c>
      <c r="G44" s="26">
        <v>57600</v>
      </c>
      <c r="H44" s="24" t="s">
        <v>83</v>
      </c>
      <c r="I44" s="24" t="s">
        <v>83</v>
      </c>
      <c r="J44" s="20" t="s">
        <v>17</v>
      </c>
      <c r="K44" s="20" t="s">
        <v>17</v>
      </c>
    </row>
    <row r="45" spans="1:11" x14ac:dyDescent="0.2">
      <c r="A45" s="8">
        <v>570202</v>
      </c>
      <c r="B45" s="28" t="s">
        <v>58</v>
      </c>
      <c r="C45" s="24">
        <v>16239</v>
      </c>
      <c r="D45" s="24">
        <v>40073</v>
      </c>
      <c r="E45" s="26">
        <v>0</v>
      </c>
      <c r="F45" s="26">
        <v>90000</v>
      </c>
      <c r="G45" s="26">
        <v>85700</v>
      </c>
      <c r="H45" s="24" t="s">
        <v>83</v>
      </c>
      <c r="I45" s="24" t="s">
        <v>83</v>
      </c>
      <c r="J45" s="20">
        <v>0</v>
      </c>
      <c r="K45" s="20" t="s">
        <v>17</v>
      </c>
    </row>
    <row r="46" spans="1:11" x14ac:dyDescent="0.2">
      <c r="A46" s="8">
        <v>578408</v>
      </c>
      <c r="B46" s="28" t="s">
        <v>59</v>
      </c>
      <c r="C46" s="24">
        <v>17459</v>
      </c>
      <c r="D46" s="24">
        <v>40339</v>
      </c>
      <c r="E46" s="26">
        <v>0</v>
      </c>
      <c r="F46" s="26">
        <v>89000</v>
      </c>
      <c r="G46" s="26">
        <v>84800</v>
      </c>
      <c r="H46" s="24" t="s">
        <v>83</v>
      </c>
      <c r="I46" s="24" t="s">
        <v>83</v>
      </c>
      <c r="J46" s="20">
        <v>0</v>
      </c>
      <c r="K46" s="20" t="s">
        <v>17</v>
      </c>
    </row>
    <row r="47" spans="1:11" x14ac:dyDescent="0.2">
      <c r="A47" s="8">
        <v>579268</v>
      </c>
      <c r="B47" s="28" t="s">
        <v>60</v>
      </c>
      <c r="C47" s="24">
        <v>22081</v>
      </c>
      <c r="D47" s="24">
        <v>40774</v>
      </c>
      <c r="E47" s="26">
        <v>83000</v>
      </c>
      <c r="F47" s="26">
        <v>88000</v>
      </c>
      <c r="G47" s="26">
        <v>83800</v>
      </c>
      <c r="H47" s="24" t="s">
        <v>83</v>
      </c>
      <c r="I47" s="24" t="s">
        <v>83</v>
      </c>
      <c r="J47" s="20" t="s">
        <v>17</v>
      </c>
      <c r="K47" s="20" t="s">
        <v>17</v>
      </c>
    </row>
    <row r="48" spans="1:11" x14ac:dyDescent="0.2">
      <c r="A48" s="8">
        <v>123486</v>
      </c>
      <c r="B48" s="28" t="s">
        <v>61</v>
      </c>
      <c r="C48" s="24">
        <v>19725</v>
      </c>
      <c r="D48" s="24">
        <v>0</v>
      </c>
      <c r="E48" s="26">
        <v>0</v>
      </c>
      <c r="F48" s="26">
        <v>0</v>
      </c>
      <c r="G48" s="26">
        <v>0</v>
      </c>
      <c r="H48" s="24">
        <v>43466</v>
      </c>
      <c r="I48" s="25">
        <v>8990</v>
      </c>
      <c r="J48" s="20" t="s">
        <v>62</v>
      </c>
      <c r="K48" s="20" t="s">
        <v>62</v>
      </c>
    </row>
    <row r="49" spans="1:11" x14ac:dyDescent="0.2">
      <c r="A49" s="8">
        <v>123485</v>
      </c>
      <c r="B49" s="28" t="s">
        <v>63</v>
      </c>
      <c r="C49" s="24">
        <v>16254</v>
      </c>
      <c r="D49" s="24">
        <v>0</v>
      </c>
      <c r="E49" s="26">
        <v>0</v>
      </c>
      <c r="F49" s="26">
        <v>0</v>
      </c>
      <c r="G49" s="26">
        <v>0</v>
      </c>
      <c r="H49" s="24">
        <v>39995</v>
      </c>
      <c r="I49" s="25">
        <v>18047</v>
      </c>
      <c r="J49" s="20" t="s">
        <v>64</v>
      </c>
      <c r="K49" s="20" t="s">
        <v>64</v>
      </c>
    </row>
    <row r="50" spans="1:11" x14ac:dyDescent="0.2">
      <c r="A50" s="8">
        <v>123484</v>
      </c>
      <c r="B50" s="28" t="s">
        <v>65</v>
      </c>
      <c r="C50" s="24">
        <v>18203</v>
      </c>
      <c r="D50" s="24">
        <v>0</v>
      </c>
      <c r="E50" s="26">
        <v>0</v>
      </c>
      <c r="F50" s="26">
        <v>0</v>
      </c>
      <c r="G50" s="26">
        <v>0</v>
      </c>
      <c r="H50" s="24">
        <v>41944</v>
      </c>
      <c r="I50" s="25">
        <v>9625</v>
      </c>
      <c r="J50" s="20" t="s">
        <v>64</v>
      </c>
      <c r="K50" s="20" t="s">
        <v>64</v>
      </c>
    </row>
    <row r="51" spans="1:11" x14ac:dyDescent="0.2">
      <c r="A51" s="8">
        <v>123472</v>
      </c>
      <c r="B51" s="28" t="s">
        <v>66</v>
      </c>
      <c r="C51" s="24">
        <v>19725</v>
      </c>
      <c r="D51" s="24">
        <v>0</v>
      </c>
      <c r="E51" s="26">
        <v>0</v>
      </c>
      <c r="F51" s="26">
        <v>0</v>
      </c>
      <c r="G51" s="26">
        <v>0</v>
      </c>
      <c r="H51" s="24">
        <v>43466</v>
      </c>
      <c r="I51" s="25">
        <v>5840</v>
      </c>
      <c r="J51" s="20" t="s">
        <v>62</v>
      </c>
      <c r="K51" s="20" t="s">
        <v>62</v>
      </c>
    </row>
    <row r="52" spans="1:11" x14ac:dyDescent="0.2">
      <c r="A52" s="8">
        <v>123466</v>
      </c>
      <c r="B52" s="28" t="s">
        <v>67</v>
      </c>
      <c r="C52" s="24">
        <v>22098</v>
      </c>
      <c r="D52" s="24">
        <v>0</v>
      </c>
      <c r="E52" s="26">
        <v>0</v>
      </c>
      <c r="F52" s="26">
        <v>0</v>
      </c>
      <c r="G52" s="26">
        <v>0</v>
      </c>
      <c r="H52" s="24">
        <v>45839</v>
      </c>
      <c r="I52" s="25">
        <v>15804</v>
      </c>
      <c r="J52" s="20" t="s">
        <v>62</v>
      </c>
      <c r="K52" s="20" t="s">
        <v>62</v>
      </c>
    </row>
    <row r="53" spans="1:11" x14ac:dyDescent="0.2">
      <c r="A53" s="8">
        <v>123465</v>
      </c>
      <c r="B53" s="28" t="s">
        <v>68</v>
      </c>
      <c r="C53" s="24">
        <v>16803</v>
      </c>
      <c r="D53" s="24">
        <v>0</v>
      </c>
      <c r="E53" s="26">
        <v>0</v>
      </c>
      <c r="F53" s="26">
        <v>0</v>
      </c>
      <c r="G53" s="26">
        <v>0</v>
      </c>
      <c r="H53" s="24">
        <v>40544</v>
      </c>
      <c r="I53" s="25">
        <v>10349</v>
      </c>
      <c r="J53" s="20" t="s">
        <v>64</v>
      </c>
      <c r="K53" s="20" t="s">
        <v>64</v>
      </c>
    </row>
    <row r="54" spans="1:11" x14ac:dyDescent="0.2">
      <c r="A54" s="8">
        <v>123451</v>
      </c>
      <c r="B54" s="28" t="s">
        <v>69</v>
      </c>
      <c r="C54" s="24">
        <v>13789</v>
      </c>
      <c r="D54" s="24">
        <v>0</v>
      </c>
      <c r="E54" s="26" t="s">
        <v>83</v>
      </c>
      <c r="F54" s="26">
        <v>0</v>
      </c>
      <c r="G54" s="26">
        <v>0</v>
      </c>
      <c r="H54" s="24" t="s">
        <v>83</v>
      </c>
      <c r="I54" s="24" t="s">
        <v>83</v>
      </c>
      <c r="J54" s="20" t="s">
        <v>83</v>
      </c>
      <c r="K54" s="20" t="s">
        <v>64</v>
      </c>
    </row>
    <row r="55" spans="1:11" x14ac:dyDescent="0.2">
      <c r="A55" s="8">
        <v>579277</v>
      </c>
      <c r="B55" s="28" t="s">
        <v>86</v>
      </c>
      <c r="C55" s="24">
        <v>22084</v>
      </c>
      <c r="D55" s="24">
        <v>0</v>
      </c>
      <c r="E55" s="26">
        <v>85000</v>
      </c>
      <c r="F55" s="26" t="s">
        <v>83</v>
      </c>
      <c r="G55" s="26" t="s">
        <v>83</v>
      </c>
      <c r="H55" s="24" t="s">
        <v>83</v>
      </c>
      <c r="I55" s="24" t="s">
        <v>83</v>
      </c>
      <c r="J55" s="20" t="s">
        <v>17</v>
      </c>
      <c r="K55" s="20" t="s">
        <v>83</v>
      </c>
    </row>
    <row r="56" spans="1:11" x14ac:dyDescent="0.2">
      <c r="A56" s="8">
        <v>579271</v>
      </c>
      <c r="B56" s="28" t="s">
        <v>86</v>
      </c>
      <c r="C56" s="24">
        <v>22069</v>
      </c>
      <c r="D56" s="24">
        <v>0</v>
      </c>
      <c r="E56" s="26">
        <v>0</v>
      </c>
      <c r="F56" s="26" t="s">
        <v>83</v>
      </c>
      <c r="G56" s="26" t="s">
        <v>83</v>
      </c>
      <c r="H56" s="24" t="s">
        <v>83</v>
      </c>
      <c r="I56" s="24" t="s">
        <v>83</v>
      </c>
      <c r="J56" s="20">
        <v>0</v>
      </c>
      <c r="K56" s="20" t="s">
        <v>83</v>
      </c>
    </row>
    <row r="57" spans="1:11" x14ac:dyDescent="0.2">
      <c r="A57" s="8">
        <v>579274</v>
      </c>
      <c r="B57" s="28" t="s">
        <v>86</v>
      </c>
      <c r="C57" s="24">
        <v>20256</v>
      </c>
      <c r="D57" s="24">
        <v>0</v>
      </c>
      <c r="E57" s="26">
        <v>200000</v>
      </c>
      <c r="F57" s="26" t="s">
        <v>83</v>
      </c>
      <c r="G57" s="26" t="s">
        <v>83</v>
      </c>
      <c r="H57" s="24" t="s">
        <v>83</v>
      </c>
      <c r="I57" s="24" t="s">
        <v>83</v>
      </c>
      <c r="J57" s="20" t="s">
        <v>17</v>
      </c>
      <c r="K57" s="20" t="s">
        <v>83</v>
      </c>
    </row>
    <row r="58" spans="1:11" x14ac:dyDescent="0.2">
      <c r="A58" s="8">
        <v>579414</v>
      </c>
      <c r="B58" s="28" t="s">
        <v>86</v>
      </c>
      <c r="C58" s="24">
        <v>32874</v>
      </c>
      <c r="D58" s="24">
        <v>41974</v>
      </c>
      <c r="E58" s="26">
        <v>110000</v>
      </c>
      <c r="F58" s="26" t="s">
        <v>83</v>
      </c>
      <c r="G58" s="26" t="s">
        <v>83</v>
      </c>
      <c r="H58" s="24" t="s">
        <v>83</v>
      </c>
      <c r="I58" s="24" t="s">
        <v>83</v>
      </c>
      <c r="J58" s="20" t="s">
        <v>17</v>
      </c>
      <c r="K58" s="20" t="s">
        <v>83</v>
      </c>
    </row>
  </sheetData>
  <pageMargins left="0.7" right="0.7" top="0.75" bottom="0.75" header="0.3" footer="0.3"/>
  <pageSetup scale="70" orientation="portrait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 Data</vt:lpstr>
      <vt:lpstr>Employee Database</vt:lpstr>
      <vt:lpstr>Spec</vt:lpstr>
      <vt:lpstr>ValData</vt:lpstr>
      <vt:lpstr>Final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2020-10-02T00:29:03Z</cp:lastPrinted>
  <dcterms:created xsi:type="dcterms:W3CDTF">2020-10-01T18:14:34Z</dcterms:created>
  <dcterms:modified xsi:type="dcterms:W3CDTF">2020-10-02T00:31:08Z</dcterms:modified>
</cp:coreProperties>
</file>