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7\"/>
    </mc:Choice>
  </mc:AlternateContent>
  <xr:revisionPtr revIDLastSave="0" documentId="8_{13A94DEB-F62D-4A93-A57C-19488B4C6178}" xr6:coauthVersionLast="45" xr6:coauthVersionMax="45" xr10:uidLastSave="{00000000-0000-0000-0000-000000000000}"/>
  <bookViews>
    <workbookView xWindow="810" yWindow="-120" windowWidth="19800" windowHeight="11760" tabRatio="533" activeTab="1" xr2:uid="{B5AEA739-B251-4090-B3F6-F66F0135758A}"/>
  </bookViews>
  <sheets>
    <sheet name="Student Records" sheetId="3" r:id="rId1"/>
    <sheet name="Progress to Goa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2" l="1"/>
  <c r="E5" i="2"/>
  <c r="E4" i="2"/>
  <c r="E3" i="2"/>
  <c r="Z14" i="3"/>
  <c r="M14" i="3"/>
  <c r="D14" i="3"/>
  <c r="Z13" i="3"/>
  <c r="M13" i="3"/>
  <c r="D13" i="3"/>
  <c r="Z12" i="3"/>
  <c r="M12" i="3"/>
  <c r="D12" i="3" s="1"/>
  <c r="Z11" i="3"/>
  <c r="M11" i="3"/>
  <c r="D11" i="3" s="1"/>
  <c r="Z10" i="3"/>
  <c r="M10" i="3"/>
  <c r="D10" i="3" s="1"/>
  <c r="Z9" i="3"/>
  <c r="M9" i="3"/>
  <c r="D9" i="3" s="1"/>
  <c r="Z8" i="3"/>
  <c r="M8" i="3"/>
  <c r="D8" i="3" s="1"/>
  <c r="Z7" i="3"/>
  <c r="M7" i="3"/>
  <c r="D7" i="3"/>
  <c r="Z6" i="3"/>
  <c r="M6" i="3"/>
  <c r="D6" i="3" s="1"/>
  <c r="Z5" i="3"/>
  <c r="M5" i="3"/>
  <c r="D5" i="3"/>
  <c r="Z4" i="3"/>
  <c r="M4" i="3"/>
  <c r="D4" i="3" s="1"/>
  <c r="Z3" i="3"/>
  <c r="M3" i="3"/>
  <c r="D3" i="3"/>
  <c r="E8" i="2" l="1"/>
  <c r="E11" i="2" s="1"/>
</calcChain>
</file>

<file path=xl/sharedStrings.xml><?xml version="1.0" encoding="utf-8"?>
<sst xmlns="http://schemas.openxmlformats.org/spreadsheetml/2006/main" count="58" uniqueCount="43">
  <si>
    <t>Grade</t>
  </si>
  <si>
    <t>Percentage</t>
  </si>
  <si>
    <t>A</t>
  </si>
  <si>
    <t>B</t>
  </si>
  <si>
    <t>C</t>
  </si>
  <si>
    <t>F</t>
  </si>
  <si>
    <t>Total</t>
  </si>
  <si>
    <t>Quizzes</t>
  </si>
  <si>
    <t>Homework</t>
  </si>
  <si>
    <t>Name</t>
  </si>
  <si>
    <t>Points</t>
  </si>
  <si>
    <t>Final</t>
  </si>
  <si>
    <t>Mid-Term</t>
  </si>
  <si>
    <t>Klendshoj,Roxanne L</t>
  </si>
  <si>
    <t>Doll Woolley,Jeanne M</t>
  </si>
  <si>
    <t>Bartho,Jerome F</t>
  </si>
  <si>
    <t>Benson,Scott G</t>
  </si>
  <si>
    <t>Aho,Diane M</t>
  </si>
  <si>
    <t>Larson,DeeAnn S</t>
  </si>
  <si>
    <t>Nelson,Susann K</t>
  </si>
  <si>
    <t>Asche,Tracy A</t>
  </si>
  <si>
    <t>Carlson,Robert L</t>
  </si>
  <si>
    <t>Donovan,Richard G</t>
  </si>
  <si>
    <t>Shapiro,Susan R</t>
  </si>
  <si>
    <t>Johnson,Bruce D</t>
  </si>
  <si>
    <t>Email address</t>
  </si>
  <si>
    <t>aa@maryville.edu</t>
  </si>
  <si>
    <t>bb@maryville.edu</t>
  </si>
  <si>
    <t>cc@maryville.edu</t>
  </si>
  <si>
    <t>dd@maryville.edu</t>
  </si>
  <si>
    <t>ee@maryville.edu</t>
  </si>
  <si>
    <t>ff@maryville.edu</t>
  </si>
  <si>
    <t>gg@maryville.edu</t>
  </si>
  <si>
    <t>hh@maryville.edu</t>
  </si>
  <si>
    <t>ii@maryville.edu</t>
  </si>
  <si>
    <t>jj@maryville.edu</t>
  </si>
  <si>
    <t>kk@maryville.edu</t>
  </si>
  <si>
    <t>ll@maryville.edu</t>
  </si>
  <si>
    <t>Midterm</t>
  </si>
  <si>
    <t>Quiz</t>
  </si>
  <si>
    <t>Progress Toward the Goal</t>
  </si>
  <si>
    <t>Goal</t>
  </si>
  <si>
    <t>Input 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</si>
</sst>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3" fillId="0" borderId="0" xfId="3"/>
    <xf numFmtId="0" fontId="4" fillId="0" borderId="0" xfId="3" applyFont="1" applyAlignment="1">
      <alignment horizontal="center"/>
    </xf>
    <xf numFmtId="0" fontId="5" fillId="0" borderId="0" xfId="3" applyFont="1"/>
    <xf numFmtId="0" fontId="5" fillId="0" borderId="0" xfId="3" applyFont="1" applyAlignment="1">
      <alignment horizontal="center"/>
    </xf>
    <xf numFmtId="0" fontId="3" fillId="2" borderId="0" xfId="3" applyFill="1"/>
    <xf numFmtId="0" fontId="3" fillId="0" borderId="0" xfId="3" applyAlignment="1">
      <alignment horizontal="center"/>
    </xf>
    <xf numFmtId="0" fontId="3" fillId="2" borderId="0" xfId="3" applyFill="1" applyAlignment="1">
      <alignment horizontal="center"/>
    </xf>
    <xf numFmtId="0" fontId="7" fillId="2" borderId="0" xfId="5" applyFill="1" applyAlignment="1" applyProtection="1"/>
    <xf numFmtId="0" fontId="8" fillId="0" borderId="0" xfId="0" applyFont="1" applyAlignment="1"/>
    <xf numFmtId="0" fontId="9" fillId="0" borderId="0" xfId="0" applyFont="1"/>
    <xf numFmtId="0" fontId="10" fillId="0" borderId="0" xfId="0" applyFont="1" applyAlignment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9" fontId="11" fillId="0" borderId="3" xfId="1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4" fillId="0" borderId="1" xfId="3" applyFont="1" applyBorder="1" applyAlignment="1">
      <alignment horizontal="center"/>
    </xf>
  </cellXfs>
  <cellStyles count="6">
    <cellStyle name="Hyperlink 2" xfId="4" xr:uid="{F35BE208-0B4D-49AB-A06F-086F65CE3F1B}"/>
    <cellStyle name="Hyperlink 3" xfId="5" xr:uid="{8DA0D867-CA68-4073-89CE-452B77BDB71B}"/>
    <cellStyle name="Normal" xfId="0" builtinId="0"/>
    <cellStyle name="Normal 2" xfId="3" xr:uid="{B6ACDE1D-88EA-4030-9A5A-886A925EC99E}"/>
    <cellStyle name="Normal 4" xfId="2" xr:uid="{64D48C42-788A-41E7-AB49-98F6928DC64E}"/>
    <cellStyle name="Percent" xfId="1" builtinId="5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Test Graph for Student Progress</a:t>
            </a:r>
          </a:p>
        </c:rich>
      </c:tx>
      <c:overlay val="0"/>
      <c:spPr>
        <a:gradFill flip="none" rotWithShape="1"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lin ang="54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704288463642586"/>
          <c:y val="0.17970149253731343"/>
          <c:w val="0.56188727210255707"/>
          <c:h val="0.79008879664318743"/>
        </c:manualLayout>
      </c:layout>
      <c:barChart>
        <c:barDir val="col"/>
        <c:grouping val="clustered"/>
        <c:varyColors val="0"/>
        <c:ser>
          <c:idx val="0"/>
          <c:order val="0"/>
          <c:tx>
            <c:v>Test Graph for Student Progress</c:v>
          </c:tx>
          <c:spPr>
            <a:solidFill>
              <a:srgbClr val="00FF00"/>
            </a:solidFill>
            <a:ln>
              <a:solidFill>
                <a:schemeClr val="tx1">
                  <a:alpha val="6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'Progress to Goal'!$E$11</c:f>
              <c:numCache>
                <c:formatCode>0%</c:formatCode>
                <c:ptCount val="1"/>
                <c:pt idx="0">
                  <c:v>0.85607476635514024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DE-4254-8F29-1E5178F46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406103855"/>
        <c:axId val="520648191"/>
      </c:barChart>
      <c:catAx>
        <c:axId val="406103855"/>
        <c:scaling>
          <c:orientation val="minMax"/>
        </c:scaling>
        <c:delete val="1"/>
        <c:axPos val="b"/>
        <c:majorTickMark val="none"/>
        <c:minorTickMark val="none"/>
        <c:tickLblPos val="nextTo"/>
        <c:crossAx val="520648191"/>
        <c:crosses val="autoZero"/>
        <c:auto val="1"/>
        <c:lblAlgn val="ctr"/>
        <c:lblOffset val="100"/>
        <c:noMultiLvlLbl val="0"/>
      </c:catAx>
      <c:valAx>
        <c:axId val="520648191"/>
        <c:scaling>
          <c:orientation val="minMax"/>
          <c:max val="1"/>
          <c:min val="0"/>
        </c:scaling>
        <c:delete val="0"/>
        <c:axPos val="l"/>
        <c:title>
          <c:tx>
            <c:strRef>
              <c:f>'Progress to Goal'!$A$11</c:f>
              <c:strCache>
                <c:ptCount val="1"/>
                <c:pt idx="0">
                  <c:v>Percentage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103855"/>
        <c:crosses val="autoZero"/>
        <c:crossBetween val="between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1</xdr:row>
      <xdr:rowOff>66675</xdr:rowOff>
    </xdr:from>
    <xdr:to>
      <xdr:col>8</xdr:col>
      <xdr:colOff>428625</xdr:colOff>
      <xdr:row>22</xdr:row>
      <xdr:rowOff>19051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FF6744-D5E0-47B0-A58A-F86A1E5F7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g@maryville.edu" TargetMode="External"/><Relationship Id="rId13" Type="http://schemas.openxmlformats.org/officeDocument/2006/relationships/hyperlink" Target="mailto:ll@maryville.edu" TargetMode="External"/><Relationship Id="rId3" Type="http://schemas.openxmlformats.org/officeDocument/2006/relationships/hyperlink" Target="mailto:bb@maryville.edu" TargetMode="External"/><Relationship Id="rId7" Type="http://schemas.openxmlformats.org/officeDocument/2006/relationships/hyperlink" Target="mailto:ff@maryville.edu" TargetMode="External"/><Relationship Id="rId12" Type="http://schemas.openxmlformats.org/officeDocument/2006/relationships/hyperlink" Target="mailto:kk@maryville.edu" TargetMode="External"/><Relationship Id="rId2" Type="http://schemas.openxmlformats.org/officeDocument/2006/relationships/hyperlink" Target="mailto:aa@maryville.edu" TargetMode="External"/><Relationship Id="rId1" Type="http://schemas.openxmlformats.org/officeDocument/2006/relationships/hyperlink" Target="mailto:aa@maryville.edu" TargetMode="External"/><Relationship Id="rId6" Type="http://schemas.openxmlformats.org/officeDocument/2006/relationships/hyperlink" Target="mailto:ee@maryville.edu" TargetMode="External"/><Relationship Id="rId11" Type="http://schemas.openxmlformats.org/officeDocument/2006/relationships/hyperlink" Target="mailto:jj@maryville.edu" TargetMode="External"/><Relationship Id="rId5" Type="http://schemas.openxmlformats.org/officeDocument/2006/relationships/hyperlink" Target="mailto:dd@maryville.edu" TargetMode="External"/><Relationship Id="rId10" Type="http://schemas.openxmlformats.org/officeDocument/2006/relationships/hyperlink" Target="mailto:ii@maryville.edu" TargetMode="External"/><Relationship Id="rId4" Type="http://schemas.openxmlformats.org/officeDocument/2006/relationships/hyperlink" Target="mailto:cc@maryville.edu" TargetMode="External"/><Relationship Id="rId9" Type="http://schemas.openxmlformats.org/officeDocument/2006/relationships/hyperlink" Target="mailto:hh@maryville.edu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49A6-421F-4B72-B2B2-B8C64598F18D}">
  <sheetPr>
    <pageSetUpPr fitToPage="1"/>
  </sheetPr>
  <dimension ref="A1:Z16"/>
  <sheetViews>
    <sheetView workbookViewId="0">
      <selection activeCell="A16" sqref="A16"/>
    </sheetView>
  </sheetViews>
  <sheetFormatPr defaultColWidth="8.85546875" defaultRowHeight="12.75" x14ac:dyDescent="0.2"/>
  <cols>
    <col min="1" max="1" width="20.42578125" style="1" customWidth="1"/>
    <col min="2" max="2" width="9.42578125" style="1" customWidth="1"/>
    <col min="3" max="3" width="7.42578125" style="1" customWidth="1"/>
    <col min="4" max="6" width="8.85546875" style="1"/>
    <col min="7" max="7" width="1.140625" style="1" customWidth="1"/>
    <col min="8" max="12" width="5.7109375" style="1" customWidth="1"/>
    <col min="13" max="13" width="5" style="1" bestFit="1" customWidth="1"/>
    <col min="14" max="14" width="0.7109375" style="1" customWidth="1"/>
    <col min="15" max="25" width="5.7109375" style="1" customWidth="1"/>
    <col min="26" max="26" width="5.5703125" style="1" bestFit="1" customWidth="1"/>
    <col min="27" max="16384" width="8.85546875" style="1"/>
  </cols>
  <sheetData>
    <row r="1" spans="1:26" x14ac:dyDescent="0.2">
      <c r="C1" s="2" t="s">
        <v>11</v>
      </c>
      <c r="D1" s="2" t="s">
        <v>6</v>
      </c>
      <c r="G1" s="2"/>
      <c r="H1" s="17" t="s">
        <v>7</v>
      </c>
      <c r="I1" s="17"/>
      <c r="J1" s="17"/>
      <c r="K1" s="17"/>
      <c r="L1" s="17"/>
      <c r="M1" s="17"/>
      <c r="O1" s="17" t="s">
        <v>8</v>
      </c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">
      <c r="A2" s="3" t="s">
        <v>9</v>
      </c>
      <c r="B2" s="3" t="s">
        <v>25</v>
      </c>
      <c r="C2" s="4" t="s">
        <v>0</v>
      </c>
      <c r="D2" s="4" t="s">
        <v>10</v>
      </c>
      <c r="E2" s="4" t="s">
        <v>11</v>
      </c>
      <c r="F2" s="4" t="s">
        <v>12</v>
      </c>
      <c r="G2" s="4"/>
      <c r="H2" s="4">
        <v>1</v>
      </c>
      <c r="I2" s="4">
        <v>2</v>
      </c>
      <c r="J2" s="4">
        <v>3</v>
      </c>
      <c r="K2" s="4">
        <v>4</v>
      </c>
      <c r="L2" s="4">
        <v>5</v>
      </c>
      <c r="M2" s="4" t="s">
        <v>6</v>
      </c>
      <c r="O2" s="4">
        <v>1</v>
      </c>
      <c r="P2" s="4">
        <v>2</v>
      </c>
      <c r="Q2" s="4">
        <v>3</v>
      </c>
      <c r="R2" s="4">
        <v>4</v>
      </c>
      <c r="S2" s="4">
        <v>5</v>
      </c>
      <c r="T2" s="4">
        <v>6</v>
      </c>
      <c r="U2" s="4">
        <v>7</v>
      </c>
      <c r="V2" s="4">
        <v>8</v>
      </c>
      <c r="W2" s="4">
        <v>9</v>
      </c>
      <c r="X2" s="4">
        <v>10</v>
      </c>
      <c r="Y2" s="4">
        <v>11</v>
      </c>
      <c r="Z2" s="4" t="s">
        <v>6</v>
      </c>
    </row>
    <row r="3" spans="1:26" x14ac:dyDescent="0.2">
      <c r="A3" s="5" t="s">
        <v>13</v>
      </c>
      <c r="B3" s="8" t="s">
        <v>26</v>
      </c>
      <c r="C3" s="6" t="s">
        <v>2</v>
      </c>
      <c r="D3" s="6">
        <f t="shared" ref="D3:D14" si="0">SUM(E3:G3,M3,Z3)</f>
        <v>488</v>
      </c>
      <c r="E3" s="7">
        <v>195</v>
      </c>
      <c r="F3" s="7">
        <v>98</v>
      </c>
      <c r="G3" s="6"/>
      <c r="H3" s="7">
        <v>24</v>
      </c>
      <c r="I3" s="7">
        <v>23</v>
      </c>
      <c r="J3" s="7">
        <v>18</v>
      </c>
      <c r="K3" s="7">
        <v>23</v>
      </c>
      <c r="L3" s="7">
        <v>21</v>
      </c>
      <c r="M3" s="6">
        <f>SUM(H3:L3)</f>
        <v>109</v>
      </c>
      <c r="O3" s="7">
        <v>10</v>
      </c>
      <c r="P3" s="7">
        <v>9</v>
      </c>
      <c r="Q3" s="7">
        <v>7</v>
      </c>
      <c r="R3" s="7">
        <v>8</v>
      </c>
      <c r="S3" s="7">
        <v>6</v>
      </c>
      <c r="T3" s="7">
        <v>8</v>
      </c>
      <c r="U3" s="7">
        <v>7</v>
      </c>
      <c r="V3" s="7">
        <v>6</v>
      </c>
      <c r="W3" s="7">
        <v>8</v>
      </c>
      <c r="X3" s="7">
        <v>10</v>
      </c>
      <c r="Y3" s="7">
        <v>7</v>
      </c>
      <c r="Z3" s="6">
        <f>SUM(O3:Y3)</f>
        <v>86</v>
      </c>
    </row>
    <row r="4" spans="1:26" x14ac:dyDescent="0.2">
      <c r="A4" s="5" t="s">
        <v>14</v>
      </c>
      <c r="B4" s="8" t="s">
        <v>27</v>
      </c>
      <c r="C4" s="6" t="s">
        <v>3</v>
      </c>
      <c r="D4" s="6">
        <f t="shared" si="0"/>
        <v>439</v>
      </c>
      <c r="E4" s="7">
        <v>190</v>
      </c>
      <c r="F4" s="7">
        <v>96</v>
      </c>
      <c r="G4" s="6"/>
      <c r="H4" s="7">
        <v>23</v>
      </c>
      <c r="I4" s="7">
        <v>22</v>
      </c>
      <c r="J4" s="7">
        <v>17</v>
      </c>
      <c r="K4" s="7">
        <v>22</v>
      </c>
      <c r="L4" s="7">
        <v>20</v>
      </c>
      <c r="M4" s="6">
        <f t="shared" ref="M4:M14" si="1">SUM(H4:L4)</f>
        <v>104</v>
      </c>
      <c r="O4" s="7">
        <v>9</v>
      </c>
      <c r="P4" s="7">
        <v>8</v>
      </c>
      <c r="Q4" s="7">
        <v>0</v>
      </c>
      <c r="R4" s="7">
        <v>7</v>
      </c>
      <c r="S4" s="7">
        <v>0</v>
      </c>
      <c r="T4" s="7">
        <v>2</v>
      </c>
      <c r="U4" s="7">
        <v>5</v>
      </c>
      <c r="V4" s="7">
        <v>4</v>
      </c>
      <c r="W4" s="7">
        <v>6</v>
      </c>
      <c r="X4" s="7">
        <v>8</v>
      </c>
      <c r="Y4" s="7"/>
      <c r="Z4" s="6">
        <f t="shared" ref="Z4:Z14" si="2">SUM(O4:Y4)</f>
        <v>49</v>
      </c>
    </row>
    <row r="5" spans="1:26" x14ac:dyDescent="0.2">
      <c r="A5" s="5" t="s">
        <v>15</v>
      </c>
      <c r="B5" s="8" t="s">
        <v>28</v>
      </c>
      <c r="C5" s="6" t="s">
        <v>2</v>
      </c>
      <c r="D5" s="6">
        <f t="shared" si="0"/>
        <v>458</v>
      </c>
      <c r="E5" s="7">
        <v>185</v>
      </c>
      <c r="F5" s="7">
        <v>94</v>
      </c>
      <c r="G5" s="6"/>
      <c r="H5" s="7">
        <v>22</v>
      </c>
      <c r="I5" s="7">
        <v>25</v>
      </c>
      <c r="J5" s="7">
        <v>25</v>
      </c>
      <c r="K5" s="7">
        <v>25</v>
      </c>
      <c r="L5" s="7">
        <v>25</v>
      </c>
      <c r="M5" s="6">
        <f t="shared" si="1"/>
        <v>122</v>
      </c>
      <c r="O5" s="7">
        <v>8</v>
      </c>
      <c r="P5" s="7">
        <v>7</v>
      </c>
      <c r="Q5" s="7">
        <v>9</v>
      </c>
      <c r="R5" s="7">
        <v>7</v>
      </c>
      <c r="S5" s="7">
        <v>10</v>
      </c>
      <c r="T5" s="7">
        <v>7</v>
      </c>
      <c r="U5" s="7">
        <v>3</v>
      </c>
      <c r="V5" s="7">
        <v>2</v>
      </c>
      <c r="W5" s="7">
        <v>4</v>
      </c>
      <c r="X5" s="7"/>
      <c r="Y5" s="7"/>
      <c r="Z5" s="6">
        <f t="shared" si="2"/>
        <v>57</v>
      </c>
    </row>
    <row r="6" spans="1:26" x14ac:dyDescent="0.2">
      <c r="A6" s="5" t="s">
        <v>16</v>
      </c>
      <c r="B6" s="8" t="s">
        <v>29</v>
      </c>
      <c r="C6" s="6" t="s">
        <v>3</v>
      </c>
      <c r="D6" s="6">
        <f t="shared" si="0"/>
        <v>430</v>
      </c>
      <c r="E6" s="7">
        <v>180</v>
      </c>
      <c r="F6" s="7">
        <v>92</v>
      </c>
      <c r="G6" s="6"/>
      <c r="H6" s="7">
        <v>21</v>
      </c>
      <c r="I6" s="7">
        <v>20</v>
      </c>
      <c r="J6" s="7">
        <v>25</v>
      </c>
      <c r="K6" s="7">
        <v>20</v>
      </c>
      <c r="L6" s="7">
        <v>22</v>
      </c>
      <c r="M6" s="6">
        <f t="shared" si="1"/>
        <v>108</v>
      </c>
      <c r="O6" s="7">
        <v>7</v>
      </c>
      <c r="P6" s="7">
        <v>6</v>
      </c>
      <c r="Q6" s="7">
        <v>8</v>
      </c>
      <c r="R6" s="7">
        <v>10</v>
      </c>
      <c r="S6" s="7">
        <v>7</v>
      </c>
      <c r="T6" s="7">
        <v>9</v>
      </c>
      <c r="U6" s="7">
        <v>2</v>
      </c>
      <c r="V6" s="7">
        <v>1</v>
      </c>
      <c r="W6" s="7"/>
      <c r="X6" s="7"/>
      <c r="Y6" s="7"/>
      <c r="Z6" s="6">
        <f t="shared" si="2"/>
        <v>50</v>
      </c>
    </row>
    <row r="7" spans="1:26" x14ac:dyDescent="0.2">
      <c r="A7" s="5" t="s">
        <v>17</v>
      </c>
      <c r="B7" s="8" t="s">
        <v>30</v>
      </c>
      <c r="C7" s="6" t="s">
        <v>2</v>
      </c>
      <c r="D7" s="6">
        <f t="shared" si="0"/>
        <v>458</v>
      </c>
      <c r="E7" s="7">
        <v>198</v>
      </c>
      <c r="F7" s="7">
        <v>90</v>
      </c>
      <c r="G7" s="6"/>
      <c r="H7" s="7">
        <v>25</v>
      </c>
      <c r="I7" s="7">
        <v>25</v>
      </c>
      <c r="J7" s="7">
        <v>25</v>
      </c>
      <c r="K7" s="7">
        <v>25</v>
      </c>
      <c r="L7" s="7">
        <v>21</v>
      </c>
      <c r="M7" s="6">
        <f t="shared" si="1"/>
        <v>121</v>
      </c>
      <c r="O7" s="7">
        <v>6</v>
      </c>
      <c r="P7" s="7">
        <v>5</v>
      </c>
      <c r="Q7" s="7">
        <v>7</v>
      </c>
      <c r="R7" s="7">
        <v>9</v>
      </c>
      <c r="S7" s="7">
        <v>6</v>
      </c>
      <c r="T7" s="7">
        <v>8</v>
      </c>
      <c r="U7" s="7">
        <v>8</v>
      </c>
      <c r="V7" s="7"/>
      <c r="W7" s="7"/>
      <c r="X7" s="7"/>
      <c r="Y7" s="7"/>
      <c r="Z7" s="6">
        <f t="shared" si="2"/>
        <v>49</v>
      </c>
    </row>
    <row r="8" spans="1:26" x14ac:dyDescent="0.2">
      <c r="A8" s="5" t="s">
        <v>18</v>
      </c>
      <c r="B8" s="8" t="s">
        <v>31</v>
      </c>
      <c r="C8" s="6" t="s">
        <v>4</v>
      </c>
      <c r="D8" s="6">
        <f t="shared" si="0"/>
        <v>391</v>
      </c>
      <c r="E8" s="7">
        <v>170</v>
      </c>
      <c r="F8" s="7">
        <v>88</v>
      </c>
      <c r="G8" s="6"/>
      <c r="H8" s="7">
        <v>19</v>
      </c>
      <c r="I8" s="7">
        <v>18</v>
      </c>
      <c r="J8" s="7">
        <v>23</v>
      </c>
      <c r="K8" s="7">
        <v>18</v>
      </c>
      <c r="L8" s="7">
        <v>20</v>
      </c>
      <c r="M8" s="6">
        <f t="shared" si="1"/>
        <v>98</v>
      </c>
      <c r="O8" s="7">
        <v>5</v>
      </c>
      <c r="P8" s="7">
        <v>4</v>
      </c>
      <c r="Q8" s="7">
        <v>6</v>
      </c>
      <c r="R8" s="7">
        <v>8</v>
      </c>
      <c r="S8" s="7">
        <v>5</v>
      </c>
      <c r="T8" s="7">
        <v>7</v>
      </c>
      <c r="U8" s="7"/>
      <c r="V8" s="7"/>
      <c r="W8" s="7"/>
      <c r="X8" s="7"/>
      <c r="Y8" s="7"/>
      <c r="Z8" s="6">
        <f t="shared" si="2"/>
        <v>35</v>
      </c>
    </row>
    <row r="9" spans="1:26" x14ac:dyDescent="0.2">
      <c r="A9" s="5" t="s">
        <v>19</v>
      </c>
      <c r="B9" s="8" t="s">
        <v>32</v>
      </c>
      <c r="C9" s="6" t="s">
        <v>3</v>
      </c>
      <c r="D9" s="6">
        <f t="shared" si="0"/>
        <v>420</v>
      </c>
      <c r="E9" s="7">
        <v>200</v>
      </c>
      <c r="F9" s="7">
        <v>86</v>
      </c>
      <c r="G9" s="6"/>
      <c r="H9" s="7">
        <v>18</v>
      </c>
      <c r="I9" s="7">
        <v>17</v>
      </c>
      <c r="J9" s="7">
        <v>22</v>
      </c>
      <c r="K9" s="7">
        <v>17</v>
      </c>
      <c r="L9" s="7">
        <v>19</v>
      </c>
      <c r="M9" s="6">
        <f t="shared" si="1"/>
        <v>93</v>
      </c>
      <c r="O9" s="7">
        <v>10</v>
      </c>
      <c r="P9" s="7">
        <v>6</v>
      </c>
      <c r="Q9" s="7">
        <v>8</v>
      </c>
      <c r="R9" s="7">
        <v>10</v>
      </c>
      <c r="S9" s="7">
        <v>7</v>
      </c>
      <c r="T9" s="7"/>
      <c r="U9" s="7"/>
      <c r="V9" s="7"/>
      <c r="W9" s="7"/>
      <c r="X9" s="7"/>
      <c r="Y9" s="7"/>
      <c r="Z9" s="6">
        <f t="shared" si="2"/>
        <v>41</v>
      </c>
    </row>
    <row r="10" spans="1:26" x14ac:dyDescent="0.2">
      <c r="A10" s="5" t="s">
        <v>20</v>
      </c>
      <c r="B10" s="8" t="s">
        <v>33</v>
      </c>
      <c r="C10" s="6" t="s">
        <v>4</v>
      </c>
      <c r="D10" s="6">
        <f t="shared" si="0"/>
        <v>319</v>
      </c>
      <c r="E10" s="7">
        <v>160</v>
      </c>
      <c r="F10" s="7">
        <v>84</v>
      </c>
      <c r="G10" s="6"/>
      <c r="H10" s="7">
        <v>17</v>
      </c>
      <c r="I10" s="7">
        <v>16</v>
      </c>
      <c r="J10" s="7">
        <v>25</v>
      </c>
      <c r="K10" s="7"/>
      <c r="L10" s="7">
        <v>2</v>
      </c>
      <c r="M10" s="6">
        <f t="shared" si="1"/>
        <v>60</v>
      </c>
      <c r="O10" s="7">
        <v>3</v>
      </c>
      <c r="P10" s="7">
        <v>2</v>
      </c>
      <c r="Q10" s="7">
        <v>4</v>
      </c>
      <c r="R10" s="7">
        <v>6</v>
      </c>
      <c r="S10" s="7"/>
      <c r="T10" s="7"/>
      <c r="U10" s="7"/>
      <c r="V10" s="7"/>
      <c r="W10" s="7"/>
      <c r="X10" s="7"/>
      <c r="Y10" s="7"/>
      <c r="Z10" s="6">
        <f t="shared" si="2"/>
        <v>15</v>
      </c>
    </row>
    <row r="11" spans="1:26" x14ac:dyDescent="0.2">
      <c r="A11" s="5" t="s">
        <v>21</v>
      </c>
      <c r="B11" s="8" t="s">
        <v>34</v>
      </c>
      <c r="C11" s="6" t="s">
        <v>3</v>
      </c>
      <c r="D11" s="6">
        <f t="shared" si="0"/>
        <v>416</v>
      </c>
      <c r="E11" s="7">
        <v>200</v>
      </c>
      <c r="F11" s="7">
        <v>100</v>
      </c>
      <c r="G11" s="6"/>
      <c r="H11" s="7">
        <v>16</v>
      </c>
      <c r="I11" s="7">
        <v>15</v>
      </c>
      <c r="J11" s="7">
        <v>20</v>
      </c>
      <c r="K11" s="7">
        <v>25</v>
      </c>
      <c r="L11" s="7">
        <v>23</v>
      </c>
      <c r="M11" s="6">
        <f t="shared" si="1"/>
        <v>99</v>
      </c>
      <c r="O11" s="7">
        <v>10</v>
      </c>
      <c r="P11" s="7">
        <v>2</v>
      </c>
      <c r="Q11" s="7">
        <v>5</v>
      </c>
      <c r="R11" s="7"/>
      <c r="S11" s="7"/>
      <c r="T11" s="7"/>
      <c r="U11" s="7"/>
      <c r="V11" s="7"/>
      <c r="W11" s="7"/>
      <c r="X11" s="7"/>
      <c r="Y11" s="7"/>
      <c r="Z11" s="6">
        <f t="shared" si="2"/>
        <v>17</v>
      </c>
    </row>
    <row r="12" spans="1:26" x14ac:dyDescent="0.2">
      <c r="A12" s="5" t="s">
        <v>22</v>
      </c>
      <c r="B12" s="8" t="s">
        <v>35</v>
      </c>
      <c r="C12" s="6" t="s">
        <v>4</v>
      </c>
      <c r="D12" s="6">
        <f t="shared" si="0"/>
        <v>305</v>
      </c>
      <c r="E12" s="7">
        <v>180</v>
      </c>
      <c r="F12" s="7">
        <v>90</v>
      </c>
      <c r="G12" s="6"/>
      <c r="H12" s="7">
        <v>15</v>
      </c>
      <c r="I12" s="7"/>
      <c r="J12" s="7"/>
      <c r="K12" s="7"/>
      <c r="L12" s="7"/>
      <c r="M12" s="6">
        <f t="shared" si="1"/>
        <v>15</v>
      </c>
      <c r="O12" s="7">
        <v>10</v>
      </c>
      <c r="P12" s="7">
        <v>10</v>
      </c>
      <c r="Q12" s="7"/>
      <c r="R12" s="7"/>
      <c r="S12" s="7"/>
      <c r="T12" s="7"/>
      <c r="U12" s="7"/>
      <c r="V12" s="7"/>
      <c r="W12" s="7"/>
      <c r="X12" s="7"/>
      <c r="Y12" s="7"/>
      <c r="Z12" s="6">
        <f t="shared" si="2"/>
        <v>20</v>
      </c>
    </row>
    <row r="13" spans="1:26" x14ac:dyDescent="0.2">
      <c r="A13" s="5" t="s">
        <v>23</v>
      </c>
      <c r="B13" s="8" t="s">
        <v>36</v>
      </c>
      <c r="C13" s="6" t="s">
        <v>5</v>
      </c>
      <c r="D13" s="6">
        <f t="shared" si="0"/>
        <v>234</v>
      </c>
      <c r="E13" s="7">
        <v>145</v>
      </c>
      <c r="F13" s="7">
        <v>78</v>
      </c>
      <c r="G13" s="6"/>
      <c r="H13" s="7"/>
      <c r="I13" s="7"/>
      <c r="J13" s="7"/>
      <c r="K13" s="7"/>
      <c r="L13" s="7">
        <v>2</v>
      </c>
      <c r="M13" s="6">
        <f t="shared" si="1"/>
        <v>2</v>
      </c>
      <c r="O13" s="7">
        <v>9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6">
        <f t="shared" si="2"/>
        <v>9</v>
      </c>
    </row>
    <row r="14" spans="1:26" x14ac:dyDescent="0.2">
      <c r="A14" s="5" t="s">
        <v>24</v>
      </c>
      <c r="B14" s="8" t="s">
        <v>37</v>
      </c>
      <c r="C14" s="6" t="s">
        <v>3</v>
      </c>
      <c r="D14" s="6">
        <f t="shared" si="0"/>
        <v>447</v>
      </c>
      <c r="E14" s="7">
        <v>200</v>
      </c>
      <c r="F14" s="7">
        <v>100</v>
      </c>
      <c r="G14" s="6"/>
      <c r="H14" s="7">
        <v>13</v>
      </c>
      <c r="I14" s="7">
        <v>12</v>
      </c>
      <c r="J14" s="7">
        <v>17</v>
      </c>
      <c r="K14" s="7">
        <v>22</v>
      </c>
      <c r="L14" s="7">
        <v>20</v>
      </c>
      <c r="M14" s="6">
        <f t="shared" si="1"/>
        <v>84</v>
      </c>
      <c r="O14" s="7">
        <v>5</v>
      </c>
      <c r="P14" s="7">
        <v>4</v>
      </c>
      <c r="Q14" s="7">
        <v>6</v>
      </c>
      <c r="R14" s="7">
        <v>8</v>
      </c>
      <c r="S14" s="7">
        <v>5</v>
      </c>
      <c r="T14" s="7">
        <v>7</v>
      </c>
      <c r="U14" s="7">
        <v>5</v>
      </c>
      <c r="V14" s="7">
        <v>4</v>
      </c>
      <c r="W14" s="7">
        <v>6</v>
      </c>
      <c r="X14" s="7">
        <v>8</v>
      </c>
      <c r="Y14" s="7">
        <v>5</v>
      </c>
      <c r="Z14" s="6">
        <f t="shared" si="2"/>
        <v>63</v>
      </c>
    </row>
    <row r="15" spans="1:26" x14ac:dyDescent="0.2">
      <c r="C15" s="6"/>
      <c r="D15" s="6"/>
      <c r="E15" s="6"/>
      <c r="F15" s="6"/>
      <c r="G15" s="6"/>
    </row>
    <row r="16" spans="1:26" x14ac:dyDescent="0.2">
      <c r="C16" s="6"/>
      <c r="D16" s="6"/>
      <c r="E16" s="6"/>
      <c r="F16" s="6"/>
      <c r="G16" s="6"/>
    </row>
  </sheetData>
  <mergeCells count="2">
    <mergeCell ref="H1:M1"/>
    <mergeCell ref="O1:Z1"/>
  </mergeCells>
  <hyperlinks>
    <hyperlink ref="B3" r:id="rId1" xr:uid="{BDCA8EE5-7F04-485B-A4B5-D1766F9FFB9D}"/>
    <hyperlink ref="B4:B14" r:id="rId2" display="aa@maryville.edu" xr:uid="{EB4E1788-51ED-4AD7-8A1A-BC60F1F174E7}"/>
    <hyperlink ref="B4" r:id="rId3" xr:uid="{A98F0437-921A-4CAA-ACA1-29BA3C3D2946}"/>
    <hyperlink ref="B5" r:id="rId4" xr:uid="{4F936473-ADC5-49CF-88D1-F1793D14494B}"/>
    <hyperlink ref="B6" r:id="rId5" xr:uid="{F099C3C9-5331-46E9-97FA-7B4B5FC86032}"/>
    <hyperlink ref="B7" r:id="rId6" xr:uid="{967C8B91-DC44-4595-8FFD-E700CC323909}"/>
    <hyperlink ref="B8" r:id="rId7" xr:uid="{A95FAE87-E10D-46D8-94C2-8AAB8A81ADE4}"/>
    <hyperlink ref="B9" r:id="rId8" xr:uid="{A1C2BB13-93AE-46EE-8563-09678A24B61E}"/>
    <hyperlink ref="B10" r:id="rId9" xr:uid="{8E421722-9579-48DC-A448-4B4AC39C134C}"/>
    <hyperlink ref="B11" r:id="rId10" xr:uid="{414484D8-6504-4748-8007-64F504A37CBC}"/>
    <hyperlink ref="B12" r:id="rId11" xr:uid="{B8D3E44F-6B0F-4814-9C10-5999A0EA47D5}"/>
    <hyperlink ref="B13" r:id="rId12" xr:uid="{C31D0588-A04A-4FA3-9389-B9F229EC9800}"/>
    <hyperlink ref="B14" r:id="rId13" xr:uid="{9EA952B8-9872-4BF7-B691-5C22B1ED79EC}"/>
  </hyperlinks>
  <pageMargins left="0.75" right="0.75" top="1" bottom="1" header="0.5" footer="0.5"/>
  <pageSetup scale="74" orientation="landscape" r:id="rId1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6A5A-9AA0-4BC5-8977-1C52BF4C7D9E}">
  <sheetPr>
    <pageSetUpPr fitToPage="1"/>
  </sheetPr>
  <dimension ref="A1:E14"/>
  <sheetViews>
    <sheetView tabSelected="1" workbookViewId="0">
      <selection activeCell="E14" sqref="E14"/>
    </sheetView>
  </sheetViews>
  <sheetFormatPr defaultRowHeight="15" x14ac:dyDescent="0.25"/>
  <cols>
    <col min="4" max="4" width="2.85546875" customWidth="1"/>
    <col min="5" max="5" width="20" customWidth="1"/>
    <col min="6" max="6" width="6.42578125" customWidth="1"/>
  </cols>
  <sheetData>
    <row r="1" spans="1:5" ht="21" x14ac:dyDescent="0.35">
      <c r="A1" s="11" t="s">
        <v>40</v>
      </c>
      <c r="B1" s="9"/>
      <c r="C1" s="9"/>
      <c r="D1" s="9"/>
      <c r="E1" s="9"/>
    </row>
    <row r="3" spans="1:5" ht="15.75" x14ac:dyDescent="0.25">
      <c r="A3" s="10" t="s">
        <v>11</v>
      </c>
      <c r="E3" s="12">
        <f>VLOOKUP($E$14,'Student Records'!$A$3:$Z$14,5,FALSE)</f>
        <v>198</v>
      </c>
    </row>
    <row r="4" spans="1:5" ht="15.75" x14ac:dyDescent="0.25">
      <c r="A4" s="10" t="s">
        <v>38</v>
      </c>
      <c r="E4" s="12">
        <f>VLOOKUP($E$14,'Student Records'!$A$3:$Z$14,6,FALSE)</f>
        <v>90</v>
      </c>
    </row>
    <row r="5" spans="1:5" ht="15.75" x14ac:dyDescent="0.25">
      <c r="A5" s="10" t="s">
        <v>39</v>
      </c>
      <c r="E5" s="12">
        <f>VLOOKUP($E$14,'Student Records'!$A$3:$Z$14,13,FALSE)</f>
        <v>121</v>
      </c>
    </row>
    <row r="6" spans="1:5" ht="15.75" x14ac:dyDescent="0.25">
      <c r="A6" s="10" t="s">
        <v>8</v>
      </c>
      <c r="E6" s="12">
        <f>VLOOKUP($E$14,'Student Records'!$A$3:$Z$14,26,FALSE)</f>
        <v>49</v>
      </c>
    </row>
    <row r="7" spans="1:5" x14ac:dyDescent="0.25">
      <c r="E7" s="13"/>
    </row>
    <row r="8" spans="1:5" ht="15.75" x14ac:dyDescent="0.25">
      <c r="A8" s="10" t="s">
        <v>6</v>
      </c>
      <c r="E8" s="12">
        <f>SUM(E3:E6)</f>
        <v>458</v>
      </c>
    </row>
    <row r="9" spans="1:5" x14ac:dyDescent="0.25">
      <c r="E9" s="13"/>
    </row>
    <row r="10" spans="1:5" ht="16.5" thickBot="1" x14ac:dyDescent="0.3">
      <c r="A10" s="10" t="s">
        <v>41</v>
      </c>
      <c r="E10" s="14">
        <v>535</v>
      </c>
    </row>
    <row r="11" spans="1:5" ht="16.5" thickBot="1" x14ac:dyDescent="0.3">
      <c r="A11" s="10" t="s">
        <v>1</v>
      </c>
      <c r="E11" s="15">
        <f>E8/E10</f>
        <v>0.85607476635514024</v>
      </c>
    </row>
    <row r="12" spans="1:5" x14ac:dyDescent="0.25">
      <c r="E12" s="13"/>
    </row>
    <row r="13" spans="1:5" x14ac:dyDescent="0.25">
      <c r="E13" s="13"/>
    </row>
    <row r="14" spans="1:5" ht="15.75" x14ac:dyDescent="0.25">
      <c r="A14" s="10" t="s">
        <v>42</v>
      </c>
      <c r="E14" s="16" t="s">
        <v>17</v>
      </c>
    </row>
  </sheetData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F44F43-B3CB-4CCF-B4A0-E46BB19EB8CA}">
          <x14:formula1>
            <xm:f>'Student Records'!$A$3:$A$14</xm:f>
          </x14:formula1>
          <xm:sqref>E14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01F967DF7FB4BBA051E41DA97D626" ma:contentTypeVersion="4" ma:contentTypeDescription="Create a new document." ma:contentTypeScope="" ma:versionID="2a8b39993528b9872c247ccf180a8608">
  <xsd:schema xmlns:xsd="http://www.w3.org/2001/XMLSchema" xmlns:xs="http://www.w3.org/2001/XMLSchema" xmlns:p="http://schemas.microsoft.com/office/2006/metadata/properties" xmlns:ns3="7fdb2c6f-0963-46e0-a262-e1354afe4723" targetNamespace="http://schemas.microsoft.com/office/2006/metadata/properties" ma:root="true" ma:fieldsID="9cfdb0ac0c88465590451199655ddf2d" ns3:_="">
    <xsd:import namespace="7fdb2c6f-0963-46e0-a262-e1354afe47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b2c6f-0963-46e0-a262-e1354afe47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56EEFB-8785-49C2-B628-CFB08B64A4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b2c6f-0963-46e0-a262-e1354afe47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5D5215-B60A-4F0D-9CF3-FEBA437790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256AE2-FAD5-4543-A80A-21B55C9926B3}">
  <ds:schemaRefs>
    <ds:schemaRef ds:uri="7fdb2c6f-0963-46e0-a262-e1354afe4723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Records</vt:lpstr>
      <vt:lpstr>Progress to Goal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2020-10-07T20:54:28Z</cp:lastPrinted>
  <dcterms:created xsi:type="dcterms:W3CDTF">2020-10-03T22:46:47Z</dcterms:created>
  <dcterms:modified xsi:type="dcterms:W3CDTF">2020-10-07T21:02:43Z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0x0101004C001F967DF7FB4BBA051E41DA97D626</vt:lpwstr>
  </property>
</Properties>
</file>