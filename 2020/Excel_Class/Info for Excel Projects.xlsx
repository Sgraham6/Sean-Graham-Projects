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1328"/>
  <workbookPr codeName="ThisWorkbook" defaultThemeVersion="124226"/>
  <mc:AlternateContent xmlns:mc="http://schemas.openxmlformats.org/markup-compatibility/2006">
    <mc:Choice Requires="x15">
      <x15ac:absPath xmlns:x15ac="http://schemas.microsoft.com/office/spreadsheetml/2010/11/ac" url="C:\Users\xm1jk7r\Documents\Guodong on C\Excel\DSCI 501\"/>
    </mc:Choice>
  </mc:AlternateContent>
  <xr:revisionPtr revIDLastSave="0" documentId="8_{BD2ABFA1-720D-430A-9091-F40A3C3DE195}" xr6:coauthVersionLast="41" xr6:coauthVersionMax="41" xr10:uidLastSave="{00000000-0000-0000-0000-000000000000}"/>
  <bookViews>
    <workbookView xWindow="-20568" yWindow="204" windowWidth="19548" windowHeight="11556" tabRatio="882" firstSheet="11" activeTab="12" xr2:uid="{00000000-000D-0000-FFFF-FFFF00000000}"/>
  </bookViews>
  <sheets>
    <sheet name="Qx" sheetId="6" r:id="rId1"/>
    <sheet name="CF" sheetId="4" r:id="rId2"/>
    <sheet name="EeData" sheetId="17" r:id="rId3"/>
    <sheet name="Records" sheetId="25" r:id="rId4"/>
    <sheet name="Student Records" sheetId="28" r:id="rId5"/>
    <sheet name="Tax Rates" sheetId="26" r:id="rId6"/>
    <sheet name="Student Record" sheetId="16" state="hidden" r:id="rId7"/>
    <sheet name="Claim Data" sheetId="18" r:id="rId8"/>
    <sheet name="Simulated Loss" sheetId="19" r:id="rId9"/>
    <sheet name="Weight" sheetId="20" r:id="rId10"/>
    <sheet name="Yield Curve" sheetId="8" r:id="rId11"/>
    <sheet name="Employee Database 0" sheetId="15" r:id="rId12"/>
    <sheet name="Employee Database" sheetId="31" r:id="rId13"/>
    <sheet name="Client Data" sheetId="30" r:id="rId14"/>
    <sheet name="Input Notes" sheetId="21" r:id="rId15"/>
    <sheet name="User" sheetId="1" r:id="rId16"/>
    <sheet name="Qx Database" sheetId="2" r:id="rId17"/>
    <sheet name="RV Data" sheetId="3" r:id="rId18"/>
    <sheet name="Table fo life a" sheetId="5" r:id="rId19"/>
    <sheet name="MsgBox" sheetId="24" r:id="rId20"/>
    <sheet name="ProVal1" sheetId="13" r:id="rId21"/>
    <sheet name="ProValM" sheetId="22" r:id="rId22"/>
    <sheet name="ProVal0" sheetId="14" r:id="rId23"/>
    <sheet name="Funded Status" sheetId="29" r:id="rId24"/>
    <sheet name="Record" sheetId="23" r:id="rId25"/>
  </sheets>
  <externalReferences>
    <externalReference r:id="rId26"/>
    <externalReference r:id="rId27"/>
    <externalReference r:id="rId28"/>
    <externalReference r:id="rId29"/>
    <externalReference r:id="rId30"/>
    <externalReference r:id="rId31"/>
  </externalReferences>
  <definedNames>
    <definedName name="AssetM">[1]Table!$J$3:$K$13</definedName>
    <definedName name="Benjamin">OFFSET('[2]Weight Watch'!$B$9,'[2]Weight Watch'!$I$3-9,2,'[2]Weight Watch'!$I$2,1)</definedName>
    <definedName name="Client">[1]X!$C$9</definedName>
    <definedName name="DateF">OFFSET('[2]Weight Watch'!$B$9,'[2]Weight Watch'!$I$3-9,0,'[2]Weight Watch'!$I$2,1)</definedName>
    <definedName name="DefaultB">[1]X!$F$5</definedName>
    <definedName name="Difference">OFFSET([3]Salman!$G$9,0,0,[3]Salman!$B$4,1)</definedName>
    <definedName name="Eric">OFFSET('[2]Weight Watch'!$B$9,'[2]Weight Watch'!$I$3-9,4,'[2]Weight Watch'!$I$2,1)</definedName>
    <definedName name="FanF">OFFSET('[2]Weight Watch'!$B$9,'[2]Weight Watch'!$I$3-9,3,'[2]Weight Watch'!$I$2,1)</definedName>
    <definedName name="Footer">[1]X!$C$10</definedName>
    <definedName name="George">OFFSET('[2]Weight Watch'!$B$9,'[2]Weight Watch'!$I$3-9,3,'[2]Weight Watch'!$I$2,1)</definedName>
    <definedName name="LiF">OFFSET('[2]Weight Watch'!$B$9,'[2]Weight Watch'!$I$3-9,2,'[2]Weight Watch'!$I$2,1)</definedName>
    <definedName name="MeasDate">OFFSET('[2]Weight Watch'!$B$9,'[2]Weight Watch'!$I$3-9,0,'[2]Weight Watch'!$I$2,1)</definedName>
    <definedName name="MetMRV">[4]Table!$C$21:$D$31</definedName>
    <definedName name="_xlnm.Print_Area" localSheetId="7">'Claim Data'!$B$1:$H$283</definedName>
    <definedName name="_xlnm.Print_Area" localSheetId="8">'Simulated Loss'!$A$1:$G$29</definedName>
    <definedName name="Rate">OFFSET([5]Rate!$C$4,0,0,COUNT([5]Rate!$C:$C))</definedName>
    <definedName name="Version">[1]X!$A$2</definedName>
    <definedName name="WangF">OFFSET('[2]Weight Watch'!$B$9,'[2]Weight Watch'!$I$3-9,4,'[2]Weight Watch'!$I$2,1)</definedName>
    <definedName name="Year">OFFSET([5]Rate!$B$4,0,0,COUNT([5]Rate!$B:$B))</definedName>
    <definedName name="Year158">'[6]FAS 158 Input'!$H$4</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M4" i="20" l="1"/>
  <c r="M5" i="20"/>
  <c r="M6" i="20"/>
  <c r="M7" i="20"/>
  <c r="M8" i="20"/>
  <c r="M9" i="20"/>
  <c r="M10" i="20"/>
  <c r="M11" i="20"/>
  <c r="M12" i="20"/>
  <c r="M13" i="20"/>
  <c r="M14" i="20"/>
  <c r="M15" i="20"/>
  <c r="M16" i="20"/>
  <c r="M17" i="20"/>
  <c r="M18" i="20"/>
  <c r="M19" i="20"/>
  <c r="M20" i="20"/>
  <c r="M21" i="20"/>
  <c r="M22" i="20"/>
  <c r="M23" i="20"/>
  <c r="M24" i="20"/>
  <c r="M25" i="20"/>
  <c r="M26" i="20"/>
  <c r="M27" i="20"/>
  <c r="M3" i="20"/>
  <c r="Z14" i="28"/>
  <c r="M14" i="28"/>
  <c r="D14" i="28"/>
  <c r="Z13" i="28"/>
  <c r="M13" i="28"/>
  <c r="D13" i="28"/>
  <c r="Z12" i="28"/>
  <c r="M12" i="28"/>
  <c r="D12" i="28"/>
  <c r="Z11" i="28"/>
  <c r="M11" i="28"/>
  <c r="D11" i="28"/>
  <c r="Z10" i="28"/>
  <c r="M10" i="28"/>
  <c r="D10" i="28"/>
  <c r="Z9" i="28"/>
  <c r="M9" i="28"/>
  <c r="D9" i="28"/>
  <c r="Z8" i="28"/>
  <c r="M8" i="28"/>
  <c r="D8" i="28"/>
  <c r="Z7" i="28"/>
  <c r="M7" i="28"/>
  <c r="D7" i="28"/>
  <c r="Z6" i="28"/>
  <c r="M6" i="28"/>
  <c r="D6" i="28"/>
  <c r="Z5" i="28"/>
  <c r="M5" i="28"/>
  <c r="D5" i="28"/>
  <c r="Z4" i="28"/>
  <c r="M4" i="28"/>
  <c r="D4" i="28"/>
  <c r="Z3" i="28"/>
  <c r="M3" i="28"/>
  <c r="D3" i="28"/>
  <c r="J10" i="26"/>
  <c r="H10" i="26"/>
  <c r="F10" i="26"/>
  <c r="D10" i="26"/>
  <c r="J9" i="26"/>
  <c r="H9" i="26"/>
  <c r="F9" i="26"/>
  <c r="D9" i="26"/>
  <c r="J8" i="26"/>
  <c r="H8" i="26"/>
  <c r="F8" i="26"/>
  <c r="D8" i="26"/>
  <c r="J7" i="26"/>
  <c r="H7" i="26"/>
  <c r="F7" i="26"/>
  <c r="D7" i="26"/>
  <c r="J6" i="26"/>
  <c r="H6" i="26"/>
  <c r="F6" i="26"/>
  <c r="D6" i="26"/>
  <c r="J5" i="26"/>
  <c r="H5" i="26"/>
  <c r="F5" i="26"/>
  <c r="D5" i="26"/>
  <c r="K14" i="23"/>
  <c r="E14" i="23"/>
  <c r="K13" i="23"/>
  <c r="E13" i="23"/>
  <c r="K12" i="23"/>
  <c r="E12" i="23"/>
  <c r="K11" i="23"/>
  <c r="E11" i="23"/>
  <c r="K10" i="23"/>
  <c r="E10" i="23"/>
  <c r="K9" i="23"/>
  <c r="E9" i="23"/>
  <c r="K8" i="23"/>
  <c r="E8" i="23"/>
  <c r="K7" i="23"/>
  <c r="E7" i="23"/>
  <c r="K6" i="23"/>
  <c r="E6" i="23"/>
  <c r="B6" i="23"/>
  <c r="B7" i="23"/>
  <c r="B8" i="23"/>
  <c r="B9" i="23"/>
  <c r="B10" i="23"/>
  <c r="B11" i="23"/>
  <c r="B12" i="23"/>
  <c r="B13" i="23"/>
  <c r="B14" i="23"/>
  <c r="K5" i="23"/>
  <c r="E5" i="23"/>
  <c r="G2" i="23"/>
  <c r="C219" i="22"/>
  <c r="D25" i="21"/>
  <c r="A4" i="20"/>
  <c r="A5" i="20"/>
  <c r="A6" i="20"/>
  <c r="A7" i="20"/>
  <c r="A8" i="20"/>
  <c r="A9" i="20"/>
  <c r="A10" i="20"/>
  <c r="A11" i="20"/>
  <c r="A12" i="20"/>
  <c r="A13" i="20"/>
  <c r="A14" i="20"/>
  <c r="A15" i="20"/>
  <c r="A16" i="20"/>
  <c r="A17" i="20"/>
  <c r="A18" i="20"/>
  <c r="A19" i="20"/>
  <c r="A20" i="20"/>
  <c r="A21" i="20"/>
  <c r="A22" i="20"/>
  <c r="A23" i="20"/>
  <c r="A24" i="20"/>
  <c r="A25" i="20"/>
  <c r="A26" i="20"/>
  <c r="A27" i="20"/>
  <c r="A28" i="20"/>
  <c r="A29" i="20"/>
  <c r="A30" i="20"/>
  <c r="A31" i="20"/>
  <c r="A32" i="20"/>
  <c r="A33" i="20"/>
  <c r="A34" i="20"/>
  <c r="A35" i="20"/>
  <c r="A36" i="20"/>
  <c r="A37" i="20"/>
  <c r="A38" i="20"/>
  <c r="A39" i="20"/>
  <c r="A40" i="20"/>
  <c r="A41" i="20"/>
  <c r="A42" i="20"/>
  <c r="A43" i="20"/>
  <c r="A44" i="20"/>
  <c r="A45" i="20"/>
  <c r="A46" i="20"/>
  <c r="A47" i="20"/>
  <c r="A48" i="20"/>
  <c r="A49" i="20"/>
  <c r="A50" i="20"/>
  <c r="A51" i="20"/>
  <c r="A52" i="20"/>
  <c r="A53" i="20"/>
  <c r="A54" i="20"/>
  <c r="A55" i="20"/>
  <c r="A56" i="20"/>
  <c r="A57" i="20"/>
  <c r="A58" i="20"/>
  <c r="A59" i="20"/>
  <c r="A60" i="20"/>
  <c r="A61" i="20"/>
  <c r="A62" i="20"/>
  <c r="A63" i="20"/>
  <c r="A64" i="20"/>
  <c r="A65" i="20"/>
  <c r="A66" i="20"/>
  <c r="A67" i="20"/>
  <c r="A68" i="20"/>
  <c r="A283" i="18"/>
  <c r="B282" i="18"/>
  <c r="B281" i="18"/>
  <c r="B280" i="18"/>
  <c r="B279" i="18"/>
  <c r="B278" i="18"/>
  <c r="B277" i="18"/>
  <c r="B276" i="18"/>
  <c r="B275" i="18"/>
  <c r="B274" i="18"/>
  <c r="B273" i="18"/>
  <c r="B272" i="18"/>
  <c r="B271" i="18"/>
  <c r="B270" i="18"/>
  <c r="B269" i="18"/>
  <c r="B268" i="18"/>
  <c r="B267" i="18"/>
  <c r="C268" i="18"/>
  <c r="B266" i="18"/>
  <c r="B265" i="18"/>
  <c r="B264" i="18"/>
  <c r="B263" i="18"/>
  <c r="B262" i="18"/>
  <c r="B261" i="18"/>
  <c r="B260" i="18"/>
  <c r="B259" i="18"/>
  <c r="B258" i="18"/>
  <c r="B257" i="18"/>
  <c r="B256" i="18"/>
  <c r="B255" i="18"/>
  <c r="B254" i="18"/>
  <c r="B253" i="18"/>
  <c r="B252" i="18"/>
  <c r="B251" i="18"/>
  <c r="B250" i="18"/>
  <c r="B249" i="18"/>
  <c r="B248" i="18"/>
  <c r="B247" i="18"/>
  <c r="B246" i="18"/>
  <c r="B245" i="18"/>
  <c r="B244" i="18"/>
  <c r="B243" i="18"/>
  <c r="B242" i="18"/>
  <c r="B241" i="18"/>
  <c r="B240" i="18"/>
  <c r="B239" i="18"/>
  <c r="B238" i="18"/>
  <c r="B237" i="18"/>
  <c r="B236" i="18"/>
  <c r="B235" i="18"/>
  <c r="B234" i="18"/>
  <c r="B233" i="18"/>
  <c r="B232" i="18"/>
  <c r="B231" i="18"/>
  <c r="B230" i="18"/>
  <c r="B229" i="18"/>
  <c r="B228" i="18"/>
  <c r="B227" i="18"/>
  <c r="C228" i="18"/>
  <c r="B226" i="18"/>
  <c r="B225" i="18"/>
  <c r="B224" i="18"/>
  <c r="B223" i="18"/>
  <c r="B222" i="18"/>
  <c r="B221" i="18"/>
  <c r="B220" i="18"/>
  <c r="B219" i="18"/>
  <c r="B218" i="18"/>
  <c r="B217" i="18"/>
  <c r="B216" i="18"/>
  <c r="B215" i="18"/>
  <c r="B214" i="18"/>
  <c r="B213" i="18"/>
  <c r="B212" i="18"/>
  <c r="B211" i="18"/>
  <c r="B210" i="18"/>
  <c r="B209" i="18"/>
  <c r="B208" i="18"/>
  <c r="B207" i="18"/>
  <c r="B206" i="18"/>
  <c r="B205" i="18"/>
  <c r="B204" i="18"/>
  <c r="B203" i="18"/>
  <c r="B202" i="18"/>
  <c r="B201" i="18"/>
  <c r="B200" i="18"/>
  <c r="B199" i="18"/>
  <c r="B198" i="18"/>
  <c r="B197" i="18"/>
  <c r="B196" i="18"/>
  <c r="B195" i="18"/>
  <c r="B194" i="18"/>
  <c r="B193" i="18"/>
  <c r="B192" i="18"/>
  <c r="B191" i="18"/>
  <c r="C192" i="18"/>
  <c r="B190" i="18"/>
  <c r="B189" i="18"/>
  <c r="B188" i="18"/>
  <c r="B187" i="18"/>
  <c r="B186" i="18"/>
  <c r="B185" i="18"/>
  <c r="B184" i="18"/>
  <c r="B183" i="18"/>
  <c r="B182" i="18"/>
  <c r="B181" i="18"/>
  <c r="B180" i="18"/>
  <c r="B179" i="18"/>
  <c r="B178" i="18"/>
  <c r="B177" i="18"/>
  <c r="B176" i="18"/>
  <c r="B175" i="18"/>
  <c r="B174" i="18"/>
  <c r="B173" i="18"/>
  <c r="B172" i="18"/>
  <c r="B171" i="18"/>
  <c r="B170" i="18"/>
  <c r="B169" i="18"/>
  <c r="B168" i="18"/>
  <c r="B167" i="18"/>
  <c r="B166" i="18"/>
  <c r="B165" i="18"/>
  <c r="B164" i="18"/>
  <c r="B163" i="18"/>
  <c r="B162" i="18"/>
  <c r="B161" i="18"/>
  <c r="B160" i="18"/>
  <c r="B159" i="18"/>
  <c r="B158" i="18"/>
  <c r="B157" i="18"/>
  <c r="B156" i="18"/>
  <c r="B155" i="18"/>
  <c r="B154" i="18"/>
  <c r="B153" i="18"/>
  <c r="B152" i="18"/>
  <c r="B151" i="18"/>
  <c r="B150" i="18"/>
  <c r="B149" i="18"/>
  <c r="B148" i="18"/>
  <c r="B147" i="18"/>
  <c r="B146" i="18"/>
  <c r="C147" i="18"/>
  <c r="C148" i="18"/>
  <c r="C149" i="18"/>
  <c r="C150" i="18"/>
  <c r="C151" i="18"/>
  <c r="C152" i="18"/>
  <c r="C153" i="18"/>
  <c r="C154" i="18"/>
  <c r="B145" i="18"/>
  <c r="B144" i="18"/>
  <c r="B143" i="18"/>
  <c r="B142" i="18"/>
  <c r="B141" i="18"/>
  <c r="B140" i="18"/>
  <c r="B139" i="18"/>
  <c r="B138" i="18"/>
  <c r="B137" i="18"/>
  <c r="B136" i="18"/>
  <c r="B135" i="18"/>
  <c r="B134" i="18"/>
  <c r="B133" i="18"/>
  <c r="B132" i="18"/>
  <c r="B131" i="18"/>
  <c r="B130" i="18"/>
  <c r="B129" i="18"/>
  <c r="C130" i="18"/>
  <c r="C131" i="18"/>
  <c r="C132" i="18"/>
  <c r="C133" i="18"/>
  <c r="C134" i="18"/>
  <c r="C135" i="18"/>
  <c r="C136" i="18"/>
  <c r="C137" i="18"/>
  <c r="C138" i="18"/>
  <c r="C139" i="18"/>
  <c r="C140" i="18"/>
  <c r="C141" i="18"/>
  <c r="C142" i="18"/>
  <c r="C143" i="18"/>
  <c r="C144" i="18"/>
  <c r="C145" i="18"/>
  <c r="C146" i="18"/>
  <c r="B128" i="18"/>
  <c r="B127" i="18"/>
  <c r="B126" i="18"/>
  <c r="B125" i="18"/>
  <c r="B124" i="18"/>
  <c r="B123" i="18"/>
  <c r="B122" i="18"/>
  <c r="B121" i="18"/>
  <c r="B120" i="18"/>
  <c r="B119" i="18"/>
  <c r="B118" i="18"/>
  <c r="B117" i="18"/>
  <c r="B116" i="18"/>
  <c r="B115" i="18"/>
  <c r="B114" i="18"/>
  <c r="B113" i="18"/>
  <c r="B112" i="18"/>
  <c r="B111" i="18"/>
  <c r="B110" i="18"/>
  <c r="B109" i="18"/>
  <c r="B108" i="18"/>
  <c r="B107" i="18"/>
  <c r="B106" i="18"/>
  <c r="B105" i="18"/>
  <c r="B104" i="18"/>
  <c r="B103" i="18"/>
  <c r="B102" i="18"/>
  <c r="B101" i="18"/>
  <c r="B100" i="18"/>
  <c r="B99" i="18"/>
  <c r="B98" i="18"/>
  <c r="B97" i="18"/>
  <c r="B96" i="18"/>
  <c r="B95" i="18"/>
  <c r="B94" i="18"/>
  <c r="B93" i="18"/>
  <c r="B92" i="18"/>
  <c r="B91" i="18"/>
  <c r="B90" i="18"/>
  <c r="B89" i="18"/>
  <c r="B88" i="18"/>
  <c r="B87" i="18"/>
  <c r="B86" i="18"/>
  <c r="B85" i="18"/>
  <c r="B84" i="18"/>
  <c r="B83" i="18"/>
  <c r="B82" i="18"/>
  <c r="B81" i="18"/>
  <c r="B80" i="18"/>
  <c r="B79" i="18"/>
  <c r="B78" i="18"/>
  <c r="B77" i="18"/>
  <c r="B76" i="18"/>
  <c r="B75" i="18"/>
  <c r="B74" i="18"/>
  <c r="B73" i="18"/>
  <c r="B72" i="18"/>
  <c r="B71" i="18"/>
  <c r="B70" i="18"/>
  <c r="B69" i="18"/>
  <c r="B68" i="18"/>
  <c r="B67" i="18"/>
  <c r="B66" i="18"/>
  <c r="B65" i="18"/>
  <c r="B64" i="18"/>
  <c r="B63" i="18"/>
  <c r="B62" i="18"/>
  <c r="B61" i="18"/>
  <c r="B60" i="18"/>
  <c r="B59" i="18"/>
  <c r="B58" i="18"/>
  <c r="B57" i="18"/>
  <c r="B56" i="18"/>
  <c r="B55" i="18"/>
  <c r="B54" i="18"/>
  <c r="B53" i="18"/>
  <c r="B52" i="18"/>
  <c r="B51" i="18"/>
  <c r="B50" i="18"/>
  <c r="B49" i="18"/>
  <c r="B48" i="18"/>
  <c r="B47" i="18"/>
  <c r="B46" i="18"/>
  <c r="B45" i="18"/>
  <c r="B44" i="18"/>
  <c r="B43" i="18"/>
  <c r="B42" i="18"/>
  <c r="B41" i="18"/>
  <c r="B40" i="18"/>
  <c r="B39" i="18"/>
  <c r="B38" i="18"/>
  <c r="B37" i="18"/>
  <c r="B36" i="18"/>
  <c r="B35" i="18"/>
  <c r="B34" i="18"/>
  <c r="B33" i="18"/>
  <c r="B32" i="18"/>
  <c r="B31" i="18"/>
  <c r="B30" i="18"/>
  <c r="B29" i="18"/>
  <c r="B28" i="18"/>
  <c r="B27" i="18"/>
  <c r="B26" i="18"/>
  <c r="B25" i="18"/>
  <c r="B24" i="18"/>
  <c r="B23" i="18"/>
  <c r="B22" i="18"/>
  <c r="B21" i="18"/>
  <c r="B20" i="18"/>
  <c r="B19" i="18"/>
  <c r="B18" i="18"/>
  <c r="B17" i="18"/>
  <c r="B16" i="18"/>
  <c r="B15" i="18"/>
  <c r="B14" i="18"/>
  <c r="B13" i="18"/>
  <c r="B12" i="18"/>
  <c r="B11" i="18"/>
  <c r="B10" i="18"/>
  <c r="B9" i="18"/>
  <c r="B8" i="18"/>
  <c r="B7" i="18"/>
  <c r="B6" i="18"/>
  <c r="B5" i="18"/>
  <c r="B4" i="18"/>
  <c r="G4" i="18"/>
  <c r="G5" i="18"/>
  <c r="G6" i="18"/>
  <c r="G7" i="18"/>
  <c r="G8" i="18"/>
  <c r="G9" i="18"/>
  <c r="G10" i="18"/>
  <c r="G11" i="18"/>
  <c r="G12" i="18"/>
  <c r="G13" i="18"/>
  <c r="G14" i="18"/>
  <c r="G15" i="18"/>
  <c r="G16" i="18"/>
  <c r="G17" i="18"/>
  <c r="G18" i="18"/>
  <c r="G19" i="18"/>
  <c r="G20" i="18"/>
  <c r="G21" i="18"/>
  <c r="G22" i="18"/>
  <c r="G23" i="18"/>
  <c r="G24" i="18"/>
  <c r="G25" i="18"/>
  <c r="G26" i="18"/>
  <c r="G27" i="18"/>
  <c r="C112" i="18"/>
  <c r="C178" i="18"/>
  <c r="C238" i="18"/>
  <c r="C262" i="18"/>
  <c r="C22" i="18"/>
  <c r="C23" i="18"/>
  <c r="C113" i="18"/>
  <c r="C4" i="18"/>
  <c r="C5" i="18"/>
  <c r="C24" i="18"/>
  <c r="C25" i="18"/>
  <c r="C26" i="18"/>
  <c r="C27" i="18"/>
  <c r="C28" i="18"/>
  <c r="C29" i="18"/>
  <c r="C30" i="18"/>
  <c r="C31" i="18"/>
  <c r="C32" i="18"/>
  <c r="C33" i="18"/>
  <c r="C34" i="18"/>
  <c r="C35" i="18"/>
  <c r="C36" i="18"/>
  <c r="C37" i="18"/>
  <c r="C38" i="18"/>
  <c r="C39" i="18"/>
  <c r="C40" i="18"/>
  <c r="C41" i="18"/>
  <c r="C42" i="18"/>
  <c r="C43" i="18"/>
  <c r="C44" i="18"/>
  <c r="C45" i="18"/>
  <c r="C46" i="18"/>
  <c r="C47" i="18"/>
  <c r="C48" i="18"/>
  <c r="C49" i="18"/>
  <c r="C50" i="18"/>
  <c r="C51" i="18"/>
  <c r="C52" i="18"/>
  <c r="C53" i="18"/>
  <c r="C54" i="18"/>
  <c r="C55" i="18"/>
  <c r="C56" i="18"/>
  <c r="C57" i="18"/>
  <c r="C58" i="18"/>
  <c r="C76" i="18"/>
  <c r="C94" i="18"/>
  <c r="C114" i="18"/>
  <c r="C59" i="18"/>
  <c r="C60" i="18"/>
  <c r="C61" i="18"/>
  <c r="C62" i="18"/>
  <c r="C63" i="18"/>
  <c r="C64" i="18"/>
  <c r="C65" i="18"/>
  <c r="C66" i="18"/>
  <c r="C67" i="18"/>
  <c r="C68" i="18"/>
  <c r="C69" i="18"/>
  <c r="C70" i="18"/>
  <c r="C71" i="18"/>
  <c r="C72" i="18"/>
  <c r="C73" i="18"/>
  <c r="C74" i="18"/>
  <c r="C75" i="18"/>
  <c r="C77" i="18"/>
  <c r="C78" i="18"/>
  <c r="C79" i="18"/>
  <c r="C80" i="18"/>
  <c r="C81" i="18"/>
  <c r="C82" i="18"/>
  <c r="C83" i="18"/>
  <c r="C84" i="18"/>
  <c r="C85" i="18"/>
  <c r="C86" i="18"/>
  <c r="C87" i="18"/>
  <c r="C88" i="18"/>
  <c r="C89" i="18"/>
  <c r="C90" i="18"/>
  <c r="C91" i="18"/>
  <c r="C92" i="18"/>
  <c r="C93" i="18"/>
  <c r="C95" i="18"/>
  <c r="C96" i="18"/>
  <c r="C97" i="18"/>
  <c r="C98" i="18"/>
  <c r="C99" i="18"/>
  <c r="C100" i="18"/>
  <c r="C101" i="18"/>
  <c r="C102" i="18"/>
  <c r="C103" i="18"/>
  <c r="C104" i="18"/>
  <c r="C105" i="18"/>
  <c r="C106" i="18"/>
  <c r="C107" i="18"/>
  <c r="C108" i="18"/>
  <c r="C109" i="18"/>
  <c r="C110" i="18"/>
  <c r="C111" i="18"/>
  <c r="C115" i="18"/>
  <c r="C116" i="18"/>
  <c r="C117" i="18"/>
  <c r="C118" i="18"/>
  <c r="C119" i="18"/>
  <c r="C120" i="18"/>
  <c r="C121" i="18"/>
  <c r="C122" i="18"/>
  <c r="C123" i="18"/>
  <c r="C124" i="18"/>
  <c r="C125" i="18"/>
  <c r="C126" i="18"/>
  <c r="C127" i="18"/>
  <c r="C128" i="18"/>
  <c r="C129" i="18"/>
  <c r="C155" i="18"/>
  <c r="C156" i="18"/>
  <c r="C157" i="18"/>
  <c r="C158" i="18"/>
  <c r="C159" i="18"/>
  <c r="C160" i="18"/>
  <c r="C161" i="18"/>
  <c r="C162" i="18"/>
  <c r="C163" i="18"/>
  <c r="C164" i="18"/>
  <c r="C165" i="18"/>
  <c r="C166" i="18"/>
  <c r="C167" i="18"/>
  <c r="C168" i="18"/>
  <c r="C169" i="18"/>
  <c r="C170" i="18"/>
  <c r="C171" i="18"/>
  <c r="C172" i="18"/>
  <c r="C173" i="18"/>
  <c r="C174" i="18"/>
  <c r="C175" i="18"/>
  <c r="C176" i="18"/>
  <c r="C177" i="18"/>
  <c r="C179" i="18"/>
  <c r="C180" i="18"/>
  <c r="C181" i="18"/>
  <c r="C182" i="18"/>
  <c r="C183" i="18"/>
  <c r="C184" i="18"/>
  <c r="C185" i="18"/>
  <c r="C186" i="18"/>
  <c r="C187" i="18"/>
  <c r="C188" i="18"/>
  <c r="C189" i="18"/>
  <c r="C190" i="18"/>
  <c r="C191" i="18"/>
  <c r="C193" i="18"/>
  <c r="C194" i="18"/>
  <c r="C195" i="18"/>
  <c r="C196" i="18"/>
  <c r="C197" i="18"/>
  <c r="C198" i="18"/>
  <c r="C199" i="18"/>
  <c r="C200" i="18"/>
  <c r="C201" i="18"/>
  <c r="C202" i="18"/>
  <c r="C203" i="18"/>
  <c r="C204" i="18"/>
  <c r="C280" i="18"/>
  <c r="C282" i="18"/>
  <c r="C205" i="18"/>
  <c r="C206" i="18"/>
  <c r="C207" i="18"/>
  <c r="C208" i="18"/>
  <c r="C209" i="18"/>
  <c r="C210" i="18"/>
  <c r="C211" i="18"/>
  <c r="C212" i="18"/>
  <c r="C213" i="18"/>
  <c r="C214" i="18"/>
  <c r="C215" i="18"/>
  <c r="C216" i="18"/>
  <c r="C217" i="18"/>
  <c r="C218" i="18"/>
  <c r="C219" i="18"/>
  <c r="C220" i="18"/>
  <c r="C221" i="18"/>
  <c r="C222" i="18"/>
  <c r="C223" i="18"/>
  <c r="C224" i="18"/>
  <c r="C225" i="18"/>
  <c r="C226" i="18"/>
  <c r="C227" i="18"/>
  <c r="C229" i="18"/>
  <c r="C230" i="18"/>
  <c r="C231" i="18"/>
  <c r="C232" i="18"/>
  <c r="C233" i="18"/>
  <c r="C234" i="18"/>
  <c r="C235" i="18"/>
  <c r="C236" i="18"/>
  <c r="C237" i="18"/>
  <c r="C239" i="18"/>
  <c r="C240" i="18"/>
  <c r="C241" i="18"/>
  <c r="C242" i="18"/>
  <c r="C243" i="18"/>
  <c r="C244" i="18"/>
  <c r="C245" i="18"/>
  <c r="C246" i="18"/>
  <c r="C247" i="18"/>
  <c r="C248" i="18"/>
  <c r="C249" i="18"/>
  <c r="C250" i="18"/>
  <c r="C251" i="18"/>
  <c r="C252" i="18"/>
  <c r="C253" i="18"/>
  <c r="C254" i="18"/>
  <c r="C255" i="18"/>
  <c r="C256" i="18"/>
  <c r="C257" i="18"/>
  <c r="C258" i="18"/>
  <c r="C259" i="18"/>
  <c r="C260" i="18"/>
  <c r="C261" i="18"/>
  <c r="C263" i="18"/>
  <c r="C264" i="18"/>
  <c r="C265" i="18"/>
  <c r="C266" i="18"/>
  <c r="C267" i="18"/>
  <c r="C269" i="18"/>
  <c r="C270" i="18"/>
  <c r="C271" i="18"/>
  <c r="C272" i="18"/>
  <c r="C273" i="18"/>
  <c r="C274" i="18"/>
  <c r="C275" i="18"/>
  <c r="C276" i="18"/>
  <c r="C277" i="18"/>
  <c r="C278" i="18"/>
  <c r="C279" i="18"/>
  <c r="C281" i="18"/>
  <c r="C6" i="18"/>
  <c r="C7" i="18"/>
  <c r="C8" i="18"/>
  <c r="C9" i="18"/>
  <c r="C10" i="18"/>
  <c r="C11" i="18"/>
  <c r="C12" i="18"/>
  <c r="C13" i="18"/>
  <c r="C14" i="18"/>
  <c r="C15" i="18"/>
  <c r="C16" i="18"/>
  <c r="C17" i="18"/>
  <c r="C18" i="18"/>
  <c r="C19" i="18"/>
  <c r="C20" i="18"/>
  <c r="C21" i="18"/>
  <c r="AC3" i="18"/>
  <c r="AC4" i="18"/>
  <c r="AC5" i="18"/>
  <c r="AG3" i="18"/>
  <c r="AE3" i="18"/>
  <c r="AF3" i="18"/>
  <c r="AD3" i="18"/>
  <c r="Z17" i="16"/>
  <c r="M17" i="16"/>
  <c r="Z16" i="16"/>
  <c r="M16" i="16"/>
  <c r="Z15" i="16"/>
  <c r="M15" i="16"/>
  <c r="D15" i="16"/>
  <c r="Z14" i="16"/>
  <c r="M14" i="16"/>
  <c r="Z13" i="16"/>
  <c r="M13" i="16"/>
  <c r="D13" i="16"/>
  <c r="C13" i="16"/>
  <c r="Z12" i="16"/>
  <c r="M12" i="16"/>
  <c r="Z11" i="16"/>
  <c r="M11" i="16"/>
  <c r="D11" i="16"/>
  <c r="C11" i="16"/>
  <c r="Z10" i="16"/>
  <c r="M10" i="16"/>
  <c r="Z9" i="16"/>
  <c r="M9" i="16"/>
  <c r="Z8" i="16"/>
  <c r="M8" i="16"/>
  <c r="Z7" i="16"/>
  <c r="M7" i="16"/>
  <c r="D7" i="16"/>
  <c r="Z6" i="16"/>
  <c r="M6" i="16"/>
  <c r="B7" i="4"/>
  <c r="B8" i="4"/>
  <c r="B9" i="4"/>
  <c r="B10" i="4"/>
  <c r="B11" i="4"/>
  <c r="B12" i="4"/>
  <c r="B13" i="4"/>
  <c r="B14" i="4"/>
  <c r="B15" i="4"/>
  <c r="B16" i="4"/>
  <c r="B17" i="4"/>
  <c r="B18" i="4"/>
  <c r="B19" i="4"/>
  <c r="B20" i="4"/>
  <c r="B21" i="4"/>
  <c r="B22" i="4"/>
  <c r="B23" i="4"/>
  <c r="B24" i="4"/>
  <c r="B25" i="4"/>
  <c r="B26" i="4"/>
  <c r="B27" i="4"/>
  <c r="B28" i="4"/>
  <c r="B29" i="4"/>
  <c r="B30" i="4"/>
  <c r="B31" i="4"/>
  <c r="B32" i="4"/>
  <c r="B33" i="4"/>
  <c r="B34" i="4"/>
  <c r="B35" i="4"/>
  <c r="B36" i="4"/>
  <c r="B37" i="4"/>
  <c r="B38" i="4"/>
  <c r="B39" i="4"/>
  <c r="B40" i="4"/>
  <c r="B41" i="4"/>
  <c r="B42" i="4"/>
  <c r="B43" i="4"/>
  <c r="B44" i="4"/>
  <c r="B45" i="4"/>
  <c r="B46" i="4"/>
  <c r="B47" i="4"/>
  <c r="B48" i="4"/>
  <c r="B49" i="4"/>
  <c r="B50" i="4"/>
  <c r="B51" i="4"/>
  <c r="B52" i="4"/>
  <c r="B53" i="4"/>
  <c r="B54" i="4"/>
  <c r="B55" i="4"/>
  <c r="B56" i="4"/>
  <c r="B57" i="4"/>
  <c r="B58" i="4"/>
  <c r="B59" i="4"/>
  <c r="B60" i="4"/>
  <c r="B61" i="4"/>
  <c r="B62" i="4"/>
  <c r="B63" i="4"/>
  <c r="B64" i="4"/>
  <c r="B65" i="4"/>
  <c r="B66" i="4"/>
  <c r="B67" i="4"/>
  <c r="B68" i="4"/>
  <c r="B69" i="4"/>
  <c r="B70" i="4"/>
  <c r="B71" i="4"/>
  <c r="B72" i="4"/>
  <c r="B73" i="4"/>
  <c r="B74" i="4"/>
  <c r="B75" i="4"/>
  <c r="B76" i="4"/>
  <c r="B77" i="4"/>
  <c r="B78" i="4"/>
  <c r="B79" i="4"/>
  <c r="B80" i="4"/>
  <c r="B81" i="4"/>
  <c r="B82" i="4"/>
  <c r="B83" i="4"/>
  <c r="B84" i="4"/>
  <c r="B85" i="4"/>
  <c r="B86" i="4"/>
  <c r="B87" i="4"/>
  <c r="B88" i="4"/>
  <c r="B89" i="4"/>
  <c r="B90" i="4"/>
  <c r="B91" i="4"/>
  <c r="B92" i="4"/>
  <c r="B93" i="4"/>
  <c r="B94" i="4"/>
  <c r="B95" i="4"/>
  <c r="B96" i="4"/>
  <c r="B97" i="4"/>
  <c r="B98" i="4"/>
  <c r="B99" i="4"/>
  <c r="B100" i="4"/>
  <c r="B101" i="4"/>
  <c r="B102" i="4"/>
  <c r="B103" i="4"/>
  <c r="B104" i="4"/>
  <c r="B105" i="4"/>
  <c r="B106" i="4"/>
  <c r="B107" i="4"/>
  <c r="B108" i="4"/>
  <c r="B109" i="4"/>
  <c r="B110" i="4"/>
  <c r="B111" i="4"/>
  <c r="B112" i="4"/>
  <c r="B113" i="4"/>
  <c r="B114" i="4"/>
  <c r="B115" i="4"/>
  <c r="B116" i="4"/>
  <c r="B117" i="4"/>
  <c r="B118" i="4"/>
  <c r="B119" i="4"/>
  <c r="B120" i="4"/>
  <c r="B121" i="4"/>
  <c r="B122" i="4"/>
  <c r="B123" i="4"/>
  <c r="B124" i="4"/>
  <c r="B125" i="4"/>
  <c r="B5" i="6"/>
  <c r="B6" i="6"/>
  <c r="B7" i="6"/>
  <c r="B8" i="6"/>
  <c r="B9" i="6"/>
  <c r="B10" i="6"/>
  <c r="B11" i="6"/>
  <c r="B12" i="6"/>
  <c r="B13" i="6"/>
  <c r="B14" i="6"/>
  <c r="B15" i="6"/>
  <c r="B16" i="6"/>
  <c r="B17" i="6"/>
  <c r="B18" i="6"/>
  <c r="B19" i="6"/>
  <c r="B20" i="6"/>
  <c r="B21" i="6"/>
  <c r="B22" i="6"/>
  <c r="B23" i="6"/>
  <c r="B24" i="6"/>
  <c r="B25" i="6"/>
  <c r="B26" i="6"/>
  <c r="B27" i="6"/>
  <c r="B28" i="6"/>
  <c r="B29" i="6"/>
  <c r="B30" i="6"/>
  <c r="B31" i="6"/>
  <c r="B32" i="6"/>
  <c r="B33" i="6"/>
  <c r="B34" i="6"/>
  <c r="B35" i="6"/>
  <c r="B36" i="6"/>
  <c r="B37" i="6"/>
  <c r="B38" i="6"/>
  <c r="B39" i="6"/>
  <c r="B40" i="6"/>
  <c r="B41" i="6"/>
  <c r="B42" i="6"/>
  <c r="B43" i="6"/>
  <c r="B44" i="6"/>
  <c r="B45" i="6"/>
  <c r="B46" i="6"/>
  <c r="B47" i="6"/>
  <c r="B48" i="6"/>
  <c r="B49" i="6"/>
  <c r="B50" i="6"/>
  <c r="B51" i="6"/>
  <c r="B52" i="6"/>
  <c r="B53" i="6"/>
  <c r="B54" i="6"/>
  <c r="B55" i="6"/>
  <c r="B56" i="6"/>
  <c r="B57" i="6"/>
  <c r="B58" i="6"/>
  <c r="B59" i="6"/>
  <c r="B60" i="6"/>
  <c r="B61" i="6"/>
  <c r="B62" i="6"/>
  <c r="B63" i="6"/>
  <c r="B64" i="6"/>
  <c r="B65" i="6"/>
  <c r="B66" i="6"/>
  <c r="B67" i="6"/>
  <c r="B68" i="6"/>
  <c r="B69" i="6"/>
  <c r="B70" i="6"/>
  <c r="B71" i="6"/>
  <c r="B72" i="6"/>
  <c r="B73" i="6"/>
  <c r="B74" i="6"/>
  <c r="B75" i="6"/>
  <c r="B76" i="6"/>
  <c r="B77" i="6"/>
  <c r="B78" i="6"/>
  <c r="B79" i="6"/>
  <c r="B80" i="6"/>
  <c r="B81" i="6"/>
  <c r="B82" i="6"/>
  <c r="B83" i="6"/>
  <c r="B84" i="6"/>
  <c r="B85" i="6"/>
  <c r="B86" i="6"/>
  <c r="B87" i="6"/>
  <c r="B88" i="6"/>
  <c r="B89" i="6"/>
  <c r="B90" i="6"/>
  <c r="B91" i="6"/>
  <c r="B92" i="6"/>
  <c r="B93" i="6"/>
  <c r="B94" i="6"/>
  <c r="B95" i="6"/>
  <c r="B96" i="6"/>
  <c r="B97" i="6"/>
  <c r="B98" i="6"/>
  <c r="B99" i="6"/>
  <c r="B100" i="6"/>
  <c r="B101" i="6"/>
  <c r="B102" i="6"/>
  <c r="B103" i="6"/>
  <c r="B104" i="6"/>
  <c r="B105" i="6"/>
  <c r="B106" i="6"/>
  <c r="B107" i="6"/>
  <c r="B108" i="6"/>
  <c r="B109" i="6"/>
  <c r="B110" i="6"/>
  <c r="B111" i="6"/>
  <c r="B112" i="6"/>
  <c r="B113" i="6"/>
  <c r="B114" i="6"/>
  <c r="B115" i="6"/>
  <c r="B116" i="6"/>
  <c r="B117" i="6"/>
  <c r="B118" i="6"/>
  <c r="B119" i="6"/>
  <c r="A4" i="1"/>
  <c r="A5" i="1"/>
  <c r="A6" i="1"/>
  <c r="A7" i="1"/>
  <c r="A8" i="1"/>
  <c r="A9" i="1"/>
  <c r="A10" i="1"/>
  <c r="A11" i="1"/>
  <c r="A12" i="1"/>
  <c r="A13" i="1"/>
  <c r="A14" i="1"/>
  <c r="A15" i="1"/>
  <c r="A16" i="1"/>
  <c r="A17" i="1"/>
  <c r="A18" i="1"/>
  <c r="A19" i="1"/>
  <c r="A20" i="1"/>
  <c r="A21" i="1"/>
  <c r="A22" i="1"/>
  <c r="A23" i="1"/>
  <c r="A24" i="1"/>
  <c r="A25" i="1"/>
  <c r="A26" i="1"/>
  <c r="A27" i="1"/>
  <c r="A28" i="1"/>
  <c r="A29" i="1"/>
  <c r="A30" i="1"/>
  <c r="A31" i="1"/>
  <c r="A32" i="1"/>
  <c r="A33" i="1"/>
  <c r="A34" i="1"/>
  <c r="A35" i="1"/>
  <c r="A36" i="1"/>
  <c r="A37" i="1"/>
  <c r="A38" i="1"/>
  <c r="A39" i="1"/>
  <c r="A40" i="1"/>
  <c r="A41" i="1"/>
  <c r="A42" i="1"/>
  <c r="A43" i="1"/>
  <c r="A44" i="1"/>
  <c r="A45" i="1"/>
  <c r="A46" i="1"/>
  <c r="A47" i="1"/>
  <c r="A48" i="1"/>
  <c r="A49" i="1"/>
  <c r="A50" i="1"/>
  <c r="A51" i="1"/>
  <c r="A52" i="1"/>
  <c r="A53" i="1"/>
  <c r="A54" i="1"/>
  <c r="A55" i="1"/>
  <c r="A56" i="1"/>
  <c r="A57" i="1"/>
  <c r="A58" i="1"/>
  <c r="A59" i="1"/>
  <c r="A60" i="1"/>
  <c r="A61" i="1"/>
  <c r="A62" i="1"/>
  <c r="A63" i="1"/>
  <c r="A64" i="1"/>
  <c r="A65" i="1"/>
  <c r="A66" i="1"/>
  <c r="A67" i="1"/>
  <c r="A68" i="1"/>
  <c r="A69" i="1"/>
  <c r="A70" i="1"/>
  <c r="A71" i="1"/>
  <c r="A72" i="1"/>
  <c r="A73" i="1"/>
  <c r="A74" i="1"/>
  <c r="A75" i="1"/>
  <c r="A76" i="1"/>
  <c r="A77" i="1"/>
  <c r="A78" i="1"/>
  <c r="A79" i="1"/>
  <c r="A80" i="1"/>
  <c r="A81" i="1"/>
  <c r="A82" i="1"/>
  <c r="A83" i="1"/>
  <c r="A84" i="1"/>
  <c r="A85" i="1"/>
  <c r="A86" i="1"/>
  <c r="A87" i="1"/>
  <c r="A88" i="1"/>
  <c r="A89" i="1"/>
  <c r="A90" i="1"/>
  <c r="A91" i="1"/>
  <c r="A92" i="1"/>
  <c r="A93" i="1"/>
  <c r="A94" i="1"/>
  <c r="A95" i="1"/>
  <c r="A96" i="1"/>
  <c r="A97" i="1"/>
  <c r="A98" i="1"/>
  <c r="A99" i="1"/>
  <c r="A100" i="1"/>
  <c r="A101" i="1"/>
  <c r="A102" i="1"/>
  <c r="A103" i="1"/>
  <c r="A104" i="1"/>
  <c r="A105" i="1"/>
  <c r="D17" i="16"/>
  <c r="C17" i="16"/>
  <c r="D6" i="16"/>
  <c r="C6" i="16"/>
  <c r="D8" i="16"/>
  <c r="C8" i="16"/>
  <c r="D10" i="16"/>
  <c r="C10" i="16"/>
  <c r="D12" i="16"/>
  <c r="C12" i="16"/>
  <c r="D14" i="16"/>
  <c r="D9" i="16"/>
  <c r="C9" i="16"/>
  <c r="D16" i="16"/>
  <c r="C16" i="16"/>
  <c r="C15" i="16"/>
  <c r="C7" i="16"/>
  <c r="C14" i="16"/>
  <c r="F6" i="23" l="1"/>
  <c r="L6" i="23" s="1"/>
  <c r="G5" i="23"/>
  <c r="I5" i="23" s="1"/>
  <c r="G12" i="23"/>
  <c r="I12" i="23" s="1"/>
  <c r="F9" i="23"/>
  <c r="L9" i="23" s="1"/>
  <c r="G13" i="23"/>
  <c r="I13" i="23" s="1"/>
  <c r="G11" i="23"/>
  <c r="I11" i="23" s="1"/>
  <c r="F11" i="23"/>
  <c r="L11" i="23" s="1"/>
  <c r="F12" i="23"/>
  <c r="L12" i="23" s="1"/>
  <c r="F7" i="23"/>
  <c r="L7" i="23" s="1"/>
  <c r="G14" i="23"/>
  <c r="I14" i="23" s="1"/>
  <c r="F10" i="23"/>
  <c r="L10" i="23" s="1"/>
  <c r="G8" i="23"/>
  <c r="N8" i="23" s="1"/>
  <c r="O8" i="23" s="1"/>
  <c r="G9" i="23"/>
  <c r="I9" i="23" s="1"/>
  <c r="G6" i="23"/>
  <c r="I6" i="23" s="1"/>
  <c r="F14" i="23"/>
  <c r="L14" i="23" s="1"/>
  <c r="F13" i="23"/>
  <c r="L13" i="23" s="1"/>
  <c r="G7" i="23"/>
  <c r="N7" i="23" s="1"/>
  <c r="O7" i="23" s="1"/>
  <c r="F8" i="23"/>
  <c r="L8" i="23" s="1"/>
  <c r="F5" i="23"/>
  <c r="L5" i="23" s="1"/>
  <c r="G10" i="23"/>
  <c r="N10" i="23" s="1"/>
  <c r="O10" i="23" s="1"/>
  <c r="M6" i="23" l="1"/>
  <c r="H6" i="23"/>
  <c r="M12" i="23"/>
  <c r="N12" i="23"/>
  <c r="O12" i="23" s="1"/>
  <c r="N5" i="23"/>
  <c r="O5" i="23" s="1"/>
  <c r="N13" i="23"/>
  <c r="O13" i="23" s="1"/>
  <c r="H7" i="23"/>
  <c r="M14" i="23"/>
  <c r="M11" i="23"/>
  <c r="I7" i="23"/>
  <c r="H11" i="23"/>
  <c r="N6" i="23"/>
  <c r="O6" i="23" s="1"/>
  <c r="M10" i="23"/>
  <c r="H10" i="23"/>
  <c r="N14" i="23"/>
  <c r="O14" i="23" s="1"/>
  <c r="I8" i="23"/>
  <c r="I10" i="23"/>
  <c r="H14" i="23"/>
  <c r="M5" i="23"/>
  <c r="M7" i="23"/>
  <c r="M9" i="23"/>
  <c r="H8" i="23"/>
  <c r="H5" i="23"/>
  <c r="N9" i="23"/>
  <c r="O9" i="23" s="1"/>
  <c r="N11" i="23"/>
  <c r="O11" i="23" s="1"/>
  <c r="M8" i="23"/>
  <c r="H13" i="23"/>
  <c r="M13" i="23"/>
  <c r="H9" i="23"/>
  <c r="H12" i="23"/>
</calcChain>
</file>

<file path=xl/sharedStrings.xml><?xml version="1.0" encoding="utf-8"?>
<sst xmlns="http://schemas.openxmlformats.org/spreadsheetml/2006/main" count="2045" uniqueCount="952">
  <si>
    <t>Special Mortality Table</t>
  </si>
  <si>
    <t>Age</t>
  </si>
  <si>
    <t>Table 14</t>
  </si>
  <si>
    <t>Table 15</t>
  </si>
  <si>
    <t>Standard Mortality Tables</t>
  </si>
  <si>
    <t>INDEX</t>
  </si>
  <si>
    <t>51 GAM</t>
  </si>
  <si>
    <t>71 GAM</t>
  </si>
  <si>
    <t>83 GAM</t>
  </si>
  <si>
    <t>UP84</t>
  </si>
  <si>
    <t>83 GATT</t>
  </si>
  <si>
    <t>UP94</t>
  </si>
  <si>
    <t>94 GAR</t>
  </si>
  <si>
    <t>94 GAM</t>
  </si>
  <si>
    <t>AGE</t>
  </si>
  <si>
    <t>M</t>
  </si>
  <si>
    <t>F</t>
  </si>
  <si>
    <t>Mortality Table</t>
  </si>
  <si>
    <t>qx</t>
  </si>
  <si>
    <t>Input Information</t>
  </si>
  <si>
    <t>Starting Age</t>
  </si>
  <si>
    <t>Age Increament</t>
  </si>
  <si>
    <t>Starting Interest Rate</t>
  </si>
  <si>
    <t>Interest Increment</t>
  </si>
  <si>
    <t>Life Only Annuity Table</t>
  </si>
  <si>
    <t>Interest</t>
  </si>
  <si>
    <t>Year</t>
  </si>
  <si>
    <t>Benefit</t>
  </si>
  <si>
    <t>Current Year Information</t>
  </si>
  <si>
    <t>Prior Year Information</t>
  </si>
  <si>
    <t>ID #</t>
  </si>
  <si>
    <t>Name</t>
  </si>
  <si>
    <t>Status</t>
  </si>
  <si>
    <t>Sex</t>
  </si>
  <si>
    <t>Sp Sex</t>
  </si>
  <si>
    <t>DOB</t>
  </si>
  <si>
    <t>DOR</t>
  </si>
  <si>
    <t>Sp DOB</t>
  </si>
  <si>
    <t>DoChange</t>
  </si>
  <si>
    <t>Ch Ben</t>
  </si>
  <si>
    <t>Option</t>
  </si>
  <si>
    <t>Certain</t>
  </si>
  <si>
    <t>JS %</t>
  </si>
  <si>
    <t>John</t>
  </si>
  <si>
    <t>R</t>
  </si>
  <si>
    <t>Joe</t>
  </si>
  <si>
    <t>Steve</t>
  </si>
  <si>
    <t>Lisa</t>
  </si>
  <si>
    <t>I</t>
  </si>
  <si>
    <t>Chris</t>
  </si>
  <si>
    <t>Johnson</t>
  </si>
  <si>
    <t>Smith</t>
  </si>
  <si>
    <t>Linda</t>
  </si>
  <si>
    <t>Marcy</t>
  </si>
  <si>
    <t>Tracy</t>
  </si>
  <si>
    <t>Full Yield Curve</t>
  </si>
  <si>
    <t>Spot Rate</t>
  </si>
  <si>
    <t>After Year 30, the rate is assumed to be the same as Year 30</t>
  </si>
  <si>
    <t>Cashflows</t>
  </si>
  <si>
    <t>Variables</t>
  </si>
  <si>
    <t xml:space="preserve"> Total Salary</t>
  </si>
  <si>
    <t xml:space="preserve"> Average Service</t>
  </si>
  <si>
    <t xml:space="preserve"> Active % Male</t>
  </si>
  <si>
    <t xml:space="preserve"> Avg Exp Future Service</t>
  </si>
  <si>
    <t xml:space="preserve"> Total Exp Future Service</t>
  </si>
  <si>
    <t xml:space="preserve"> Valuation Number</t>
  </si>
  <si>
    <t xml:space="preserve"> Valuation Salary</t>
  </si>
  <si>
    <t xml:space="preserve"> Number Inactive</t>
  </si>
  <si>
    <t xml:space="preserve"> Number Inactive (Retired)</t>
  </si>
  <si>
    <t xml:space="preserve"> Number Inactive (Vested)</t>
  </si>
  <si>
    <t xml:space="preserve"> Number Inactive (Vested valued through active)</t>
  </si>
  <si>
    <t xml:space="preserve"> Number Inactive (Survivor)</t>
  </si>
  <si>
    <t xml:space="preserve"> Number Inactive (Disabled)</t>
  </si>
  <si>
    <t xml:space="preserve"> Inactive Average Age</t>
  </si>
  <si>
    <t xml:space="preserve"> Inactive Average Age (Retired)</t>
  </si>
  <si>
    <t xml:space="preserve"> Inactive Average Age (Vested)</t>
  </si>
  <si>
    <t xml:space="preserve"> Inactive Average Age (Vested valued through active)</t>
  </si>
  <si>
    <t xml:space="preserve"> Inactive Average Age (Survivor)</t>
  </si>
  <si>
    <t xml:space="preserve"> Inactive Average Age (Disabled)</t>
  </si>
  <si>
    <t xml:space="preserve"> Inactive % Male</t>
  </si>
  <si>
    <t xml:space="preserve"> Inactive % Male (Retired)</t>
  </si>
  <si>
    <t xml:space="preserve"> Inactive % Male (Vested)</t>
  </si>
  <si>
    <t xml:space="preserve"> Inactive % Male (Vested valued through active)</t>
  </si>
  <si>
    <t xml:space="preserve"> Inactive % Male (Survivor)</t>
  </si>
  <si>
    <t xml:space="preserve"> Inactive % Male (Disabled)</t>
  </si>
  <si>
    <t xml:space="preserve"> Annuities in Receipt</t>
  </si>
  <si>
    <t xml:space="preserve"> Annuities in Receipt (Retired)</t>
  </si>
  <si>
    <t xml:space="preserve"> Annuities in Receipt (Vested)</t>
  </si>
  <si>
    <t xml:space="preserve"> Annuities in Receipt (Vested valued through active)</t>
  </si>
  <si>
    <t xml:space="preserve"> Annuities in Receipt (Survivor)</t>
  </si>
  <si>
    <t xml:space="preserve"> Annuities in Receipt (Disabled)</t>
  </si>
  <si>
    <t xml:space="preserve"> Annuities Deferred</t>
  </si>
  <si>
    <t xml:space="preserve"> Annuities Deferred (Retired)</t>
  </si>
  <si>
    <t xml:space="preserve"> Annuities Deferred (Vested)</t>
  </si>
  <si>
    <t xml:space="preserve"> Annuities Deferred (Vested valued through active)</t>
  </si>
  <si>
    <t xml:space="preserve"> Annuities Deferred (Survivor)</t>
  </si>
  <si>
    <t xml:space="preserve"> Annuities Deferred (Disabled)</t>
  </si>
  <si>
    <t xml:space="preserve"> Annuities Inforce</t>
  </si>
  <si>
    <t xml:space="preserve"> Annuities Inforce (Retired)</t>
  </si>
  <si>
    <t xml:space="preserve"> Annuities Inforce (Vested)</t>
  </si>
  <si>
    <t xml:space="preserve"> Annuities Inforce (Vested valued through active)</t>
  </si>
  <si>
    <t xml:space="preserve"> Annuities Inforce (Survivor)</t>
  </si>
  <si>
    <t xml:space="preserve"> Annuities Inforce (Disabled)</t>
  </si>
  <si>
    <t xml:space="preserve"> Insurance Inforce</t>
  </si>
  <si>
    <t xml:space="preserve"> Insurance Inforce (Retired)</t>
  </si>
  <si>
    <t xml:space="preserve"> Insurance Inforce (Vested)</t>
  </si>
  <si>
    <t xml:space="preserve"> Insurance Inforce (Vested valued through active)</t>
  </si>
  <si>
    <t xml:space="preserve"> Insurance Inforce (Survivor)</t>
  </si>
  <si>
    <t xml:space="preserve"> Insurance Inforce (Disabled)</t>
  </si>
  <si>
    <t xml:space="preserve"> Lump Sums Inforce</t>
  </si>
  <si>
    <t xml:space="preserve"> Lump Sums Inforce (Retired)</t>
  </si>
  <si>
    <t xml:space="preserve"> Lump Sums Inforce (Vested)</t>
  </si>
  <si>
    <t xml:space="preserve"> Lump Sums Inforce (Vested valued through active)</t>
  </si>
  <si>
    <t xml:space="preserve"> Lump Sums Inforce (Survivor)</t>
  </si>
  <si>
    <t xml:space="preserve"> Lump Sums Inforce (Disabled)</t>
  </si>
  <si>
    <t xml:space="preserve"> Avg Active Life Expectancy</t>
  </si>
  <si>
    <t xml:space="preserve"> Avg Inactive Life Expectancy</t>
  </si>
  <si>
    <t xml:space="preserve"> Avg Total Life Expectancy</t>
  </si>
  <si>
    <t xml:space="preserve"> Total Active Life Expectancy</t>
  </si>
  <si>
    <t xml:space="preserve"> Total Inactive Life Expectancy</t>
  </si>
  <si>
    <t xml:space="preserve"> Total Life Expectancy</t>
  </si>
  <si>
    <t xml:space="preserve"> PV of Future Benefits</t>
  </si>
  <si>
    <t xml:space="preserve"> PV of Future Benefits (Active)</t>
  </si>
  <si>
    <t xml:space="preserve"> PV of Future Benefits (Inactive)</t>
  </si>
  <si>
    <t xml:space="preserve"> Entry Age Normal % Salary Liab</t>
  </si>
  <si>
    <t xml:space="preserve"> Entry Age Normal % Salary Liab (Active)</t>
  </si>
  <si>
    <t xml:space="preserve"> Entry Age Normal % Salary Liab (Inactive)</t>
  </si>
  <si>
    <t xml:space="preserve"> Entry Age Normal % Salary Normal Cost</t>
  </si>
  <si>
    <t xml:space="preserve"> Entry Age Normal Level $ Liab</t>
  </si>
  <si>
    <t xml:space="preserve"> Entry Age Normal Level $ Liab (Active)</t>
  </si>
  <si>
    <t xml:space="preserve"> Entry Age Normal Level $ Liab (Inactive)</t>
  </si>
  <si>
    <t xml:space="preserve"> Entry Age Normal Level $ Normal Cost</t>
  </si>
  <si>
    <t xml:space="preserve"> Projected Unit Credit Liab</t>
  </si>
  <si>
    <t xml:space="preserve"> Projected Unit Credit Liab (Active)</t>
  </si>
  <si>
    <t xml:space="preserve"> Projected Unit Credit Liab (Inactive)</t>
  </si>
  <si>
    <t xml:space="preserve"> Projected Unit Credit Normal Cost</t>
  </si>
  <si>
    <t xml:space="preserve"> Pure Unit Credit Liab</t>
  </si>
  <si>
    <t xml:space="preserve"> Pure Unit Credit Liab (Active)</t>
  </si>
  <si>
    <t xml:space="preserve"> Pure Unit Credit Liab (Inactive)</t>
  </si>
  <si>
    <t xml:space="preserve"> Pure Unit Credit Normal Cost</t>
  </si>
  <si>
    <t xml:space="preserve"> Funding Expected Bft Pymts</t>
  </si>
  <si>
    <t xml:space="preserve"> Funding Exp Bft Pymts (Active)</t>
  </si>
  <si>
    <t xml:space="preserve"> Funding Exp Bft Pymts (Inactive)</t>
  </si>
  <si>
    <t xml:space="preserve"> Term Cost</t>
  </si>
  <si>
    <t xml:space="preserve"> PV of Future Salaries</t>
  </si>
  <si>
    <t xml:space="preserve"> PV of Future Working Lifetimes</t>
  </si>
  <si>
    <t xml:space="preserve"> PV of Future Employee Conts.</t>
  </si>
  <si>
    <t xml:space="preserve"> B.O.Y. EBO</t>
  </si>
  <si>
    <t xml:space="preserve"> B.O.Y. EBO (Active)</t>
  </si>
  <si>
    <t xml:space="preserve"> B.O.Y. EBO (Inactive)</t>
  </si>
  <si>
    <t xml:space="preserve"> B.O.Y. EBO (Inactive) (Retired)</t>
  </si>
  <si>
    <t xml:space="preserve"> B.O.Y. EBO (Inactive) (Vested)</t>
  </si>
  <si>
    <t xml:space="preserve"> B.O.Y. EBO (Inactive) (Vested valued through active)</t>
  </si>
  <si>
    <t xml:space="preserve"> B.O.Y. EBO (Inactive) (Survivor)</t>
  </si>
  <si>
    <t xml:space="preserve"> B.O.Y. EBO (Inactive) (Disabled)</t>
  </si>
  <si>
    <t xml:space="preserve"> B.O.Y. PBO</t>
  </si>
  <si>
    <t xml:space="preserve"> B.O.Y. PBO (Active)</t>
  </si>
  <si>
    <t xml:space="preserve"> B.O.Y. PBO (Inactive)</t>
  </si>
  <si>
    <t xml:space="preserve"> B.O.Y. PBO (Inactive) (Retired)</t>
  </si>
  <si>
    <t xml:space="preserve"> B.O.Y. PBO (Inactive) (Vested)</t>
  </si>
  <si>
    <t xml:space="preserve"> B.O.Y. PBO (Inactive) (Vested valued through active)</t>
  </si>
  <si>
    <t xml:space="preserve"> B.O.Y. PBO (Inactive) (Survivor)</t>
  </si>
  <si>
    <t xml:space="preserve"> B.O.Y. PBO (Inactive) (Disabled)</t>
  </si>
  <si>
    <t xml:space="preserve"> B.O.Y. PBO Normal Cost</t>
  </si>
  <si>
    <t xml:space="preserve"> B.O.Y. ABO</t>
  </si>
  <si>
    <t xml:space="preserve"> B.O.Y. ABO (Vested Active)</t>
  </si>
  <si>
    <t xml:space="preserve"> B.O.Y. ABO (Active)</t>
  </si>
  <si>
    <t xml:space="preserve"> B.O.Y. ABO (Inactive)</t>
  </si>
  <si>
    <t xml:space="preserve"> B.O.Y. ABO (Inactive) (Retired)</t>
  </si>
  <si>
    <t xml:space="preserve"> B.O.Y. ABO (Inactive) (Vested)</t>
  </si>
  <si>
    <t xml:space="preserve"> B.O.Y. ABO (Inactive) (Vested valued through active)</t>
  </si>
  <si>
    <t xml:space="preserve"> B.O.Y. ABO (Inactive) (Survivor)</t>
  </si>
  <si>
    <t xml:space="preserve"> B.O.Y. ABO (Inactive) (Disabled)</t>
  </si>
  <si>
    <t xml:space="preserve"> B.O.Y. ABO Normal Cost</t>
  </si>
  <si>
    <t xml:space="preserve"> Acctg Expected Bft Pymts</t>
  </si>
  <si>
    <t xml:space="preserve"> Acctg Exp Bft Pymts (Active)</t>
  </si>
  <si>
    <t xml:space="preserve"> Acctg Exp Bft Pymts (Inactive)</t>
  </si>
  <si>
    <t xml:space="preserve"> Acctg Exp Bft Pymts (Inactive) (Retired)</t>
  </si>
  <si>
    <t xml:space="preserve"> Acctg Exp Bft Pymts (Inactive) (Vested)</t>
  </si>
  <si>
    <t xml:space="preserve"> Acctg Exp Bft Pymts (Inactive) (Vested valued through active)</t>
  </si>
  <si>
    <t xml:space="preserve"> Acctg Exp Bft Pymts (Inactive) (Survivor)</t>
  </si>
  <si>
    <t xml:space="preserve"> Acctg Exp Bft Pymts (Inactive) (Disabled)</t>
  </si>
  <si>
    <t>Input item</t>
  </si>
  <si>
    <t xml:space="preserve"> Valuation Name</t>
  </si>
  <si>
    <t xml:space="preserve"> Valuation Date</t>
  </si>
  <si>
    <t xml:space="preserve"> Plan Definition</t>
  </si>
  <si>
    <t xml:space="preserve"> Census Specifications</t>
  </si>
  <si>
    <t xml:space="preserve"> Database File</t>
  </si>
  <si>
    <t xml:space="preserve"> Scaling Factors</t>
  </si>
  <si>
    <t xml:space="preserve"> &lt;none&gt;</t>
  </si>
  <si>
    <t xml:space="preserve"> Funding Run Date</t>
  </si>
  <si>
    <t xml:space="preserve"> Funding Run Version</t>
  </si>
  <si>
    <t xml:space="preserve"> Funding Assumptions</t>
  </si>
  <si>
    <t xml:space="preserve"> Funding Salary Scale</t>
  </si>
  <si>
    <t xml:space="preserve"> &lt;not run&gt;</t>
  </si>
  <si>
    <t xml:space="preserve"> Accounting Run Date</t>
  </si>
  <si>
    <t xml:space="preserve"> Accounting Run Version</t>
  </si>
  <si>
    <t xml:space="preserve"> Accounting Assumptions</t>
  </si>
  <si>
    <t>Output Style: &lt;undefined&gt;</t>
  </si>
  <si>
    <t xml:space="preserve"> Accounting Interest Rate</t>
  </si>
  <si>
    <t xml:space="preserve"> Accounting Salary Scale</t>
  </si>
  <si>
    <t>Employee Database</t>
  </si>
  <si>
    <t>Date of Birth</t>
  </si>
  <si>
    <t>Date of Hire</t>
  </si>
  <si>
    <t xml:space="preserve">Age </t>
  </si>
  <si>
    <t xml:space="preserve">Service </t>
  </si>
  <si>
    <t>Average Salary</t>
  </si>
  <si>
    <t>Klendshoj,Roxanne L</t>
  </si>
  <si>
    <t>Doll Woolley,Jeanne M</t>
  </si>
  <si>
    <t>Bartho,Jerome F</t>
  </si>
  <si>
    <t>Benson,Scott G</t>
  </si>
  <si>
    <t>Aho,Diane M</t>
  </si>
  <si>
    <t>Larson,DeeAnn S</t>
  </si>
  <si>
    <t>Nelson,Susann K</t>
  </si>
  <si>
    <t>Asche,Tracy A</t>
  </si>
  <si>
    <t>Carlson,Robert L</t>
  </si>
  <si>
    <t>Donovan,Richard G</t>
  </si>
  <si>
    <t>Shapiro,Susan R</t>
  </si>
  <si>
    <t>Johnson,Bruce D</t>
  </si>
  <si>
    <t>Maryville University</t>
  </si>
  <si>
    <t>Final</t>
  </si>
  <si>
    <t>Total</t>
  </si>
  <si>
    <t>Quizzes</t>
  </si>
  <si>
    <t>Homework</t>
  </si>
  <si>
    <t>Email address</t>
  </si>
  <si>
    <t>Grade</t>
  </si>
  <si>
    <t>Points</t>
  </si>
  <si>
    <t>Mid-Term</t>
  </si>
  <si>
    <t>Credit</t>
  </si>
  <si>
    <t>aa@maryville.edu</t>
  </si>
  <si>
    <t>bb@maryville.edu</t>
  </si>
  <si>
    <t>cc@maryville.edu</t>
  </si>
  <si>
    <t>dd@maryville.edu</t>
  </si>
  <si>
    <t>ee@maryville.edu</t>
  </si>
  <si>
    <t>ff@maryville.edu</t>
  </si>
  <si>
    <t>gg@maryville.edu</t>
  </si>
  <si>
    <t>hh@maryville.edu</t>
  </si>
  <si>
    <t>ii@maryville.edu</t>
  </si>
  <si>
    <t>jj@maryville.edu</t>
  </si>
  <si>
    <t>kk@maryville.edu</t>
  </si>
  <si>
    <t>ll@maryville.edu</t>
  </si>
  <si>
    <t>Grade Matching Table</t>
  </si>
  <si>
    <t>C</t>
  </si>
  <si>
    <t>B</t>
  </si>
  <si>
    <t>A</t>
  </si>
  <si>
    <t>Company Code</t>
  </si>
  <si>
    <t>Current Salary</t>
  </si>
  <si>
    <t>Prior Salary</t>
  </si>
  <si>
    <t>Status Code</t>
  </si>
  <si>
    <t>Prior Status</t>
  </si>
  <si>
    <t>V</t>
  </si>
  <si>
    <t>T</t>
  </si>
  <si>
    <t>CLAIM DATA in '000</t>
  </si>
  <si>
    <t>MEMBERSHIP DATA</t>
  </si>
  <si>
    <t>Data as of date</t>
  </si>
  <si>
    <t>Date Calculation for various titles</t>
  </si>
  <si>
    <r>
      <t xml:space="preserve">INCURRED </t>
    </r>
    <r>
      <rPr>
        <b/>
        <u/>
        <sz val="9"/>
        <rFont val="Arial"/>
        <family val="2"/>
      </rPr>
      <t>MONTH</t>
    </r>
  </si>
  <si>
    <t>PAID MONTH</t>
  </si>
  <si>
    <r>
      <t xml:space="preserve">PAID CLAIM </t>
    </r>
    <r>
      <rPr>
        <b/>
        <u/>
        <sz val="9"/>
        <rFont val="Arial"/>
        <family val="2"/>
      </rPr>
      <t>AMOUNT</t>
    </r>
  </si>
  <si>
    <t>INVENTORY</t>
  </si>
  <si>
    <t>INCURRED MONTH</t>
  </si>
  <si>
    <t>MEMBERSHIP</t>
  </si>
  <si>
    <t>Earliest</t>
  </si>
  <si>
    <t>Latest</t>
  </si>
  <si>
    <t xml:space="preserve">12 Mo </t>
  </si>
  <si>
    <t>Simulated excess of mean loss  values</t>
  </si>
  <si>
    <t>Simulation</t>
  </si>
  <si>
    <t>Mortality</t>
  </si>
  <si>
    <t>Longevity</t>
  </si>
  <si>
    <t>Interest rate</t>
  </si>
  <si>
    <t>Currency FX</t>
  </si>
  <si>
    <t>Equity</t>
  </si>
  <si>
    <t>Weights</t>
  </si>
  <si>
    <t>Date</t>
  </si>
  <si>
    <t>Benjamin</t>
  </si>
  <si>
    <t>George</t>
  </si>
  <si>
    <t>Eric</t>
  </si>
  <si>
    <t>Course ACSC 201 and 301</t>
  </si>
  <si>
    <t>Output Style: &lt;undefined&gt;                                                                      Printed: April 7, 2014  12:31 PM</t>
  </si>
  <si>
    <t>2014 ASC 715/960 4) Assump Change - '14 Mortality, DR 4.38%</t>
  </si>
  <si>
    <t>2014 ASC 715/960 3) Assump Change - '14 Mortality</t>
  </si>
  <si>
    <t>2014 ASC 715/960 2) Baseline (New AE)</t>
  </si>
  <si>
    <t>2014 ASC 715/960 1) Baseline (Old AE)</t>
  </si>
  <si>
    <t xml:space="preserve"> Number of Total Actives</t>
  </si>
  <si>
    <t xml:space="preserve"> Active Average Age</t>
  </si>
  <si>
    <t xml:space="preserve"> Weighted Average Retirement Age</t>
  </si>
  <si>
    <t xml:space="preserve"> Funding Not-at-Risk Liab</t>
  </si>
  <si>
    <t xml:space="preserve"> Funding Not-at-Risk Liab (Vested Active)</t>
  </si>
  <si>
    <t xml:space="preserve"> Funding Not-at-Risk Liab (Vested Active) from Retirement</t>
  </si>
  <si>
    <t xml:space="preserve"> Funding Not-at-Risk Liab (Vested Active) from Termination</t>
  </si>
  <si>
    <t xml:space="preserve"> Funding Not-at-Risk Liab (Vested Active) from Death</t>
  </si>
  <si>
    <t xml:space="preserve"> Funding Not-at-Risk Liab (Vested Active) from Disability</t>
  </si>
  <si>
    <t xml:space="preserve"> Funding Not-at-Risk Liab (Vested Active) from Employee Contributions</t>
  </si>
  <si>
    <t xml:space="preserve"> Funding Not-at-Risk Liab (Vested Active) from In-Service</t>
  </si>
  <si>
    <t xml:space="preserve"> Funding Not-at-Risk Liab (Active)</t>
  </si>
  <si>
    <t xml:space="preserve"> Funding Not-at-Risk Liab (Active) from Retirement</t>
  </si>
  <si>
    <t xml:space="preserve"> Funding Not-at-Risk Liab (Active) from Termination</t>
  </si>
  <si>
    <t xml:space="preserve"> Funding Not-at-Risk Liab (Active) from Death</t>
  </si>
  <si>
    <t xml:space="preserve"> Funding Not-at-Risk Liab (Active) from Disability</t>
  </si>
  <si>
    <t xml:space="preserve"> Funding Not-at-Risk Liab (Active) from Employee Contributions</t>
  </si>
  <si>
    <t xml:space="preserve"> Funding Not-at-Risk Liab (Active) from In-Service</t>
  </si>
  <si>
    <t xml:space="preserve"> Funding Not-at-Risk Liab (Inactive)</t>
  </si>
  <si>
    <t xml:space="preserve"> Funding Not-at-Risk Liab (Inactive) (Retired)</t>
  </si>
  <si>
    <t xml:space="preserve"> Funding Not-at-Risk Liab (Inactive) (Vested)</t>
  </si>
  <si>
    <t xml:space="preserve"> Funding Not-at-Risk Liab (Inactive) (Vested valued through active)</t>
  </si>
  <si>
    <t xml:space="preserve"> Funding Not-at-Risk Liab (Inactive) (Survivor)</t>
  </si>
  <si>
    <t xml:space="preserve"> Funding Not-at-Risk Liab (Inactive) (Disabled)</t>
  </si>
  <si>
    <t xml:space="preserve"> Funding Not-at-Risk Normal Cost</t>
  </si>
  <si>
    <t xml:space="preserve"> Funding Not-at-Risk Normal Cost from Retirement</t>
  </si>
  <si>
    <t xml:space="preserve"> Funding Not-at-Risk Normal Cost from Termination</t>
  </si>
  <si>
    <t xml:space="preserve"> Funding Not-at-Risk Normal Cost from Death</t>
  </si>
  <si>
    <t xml:space="preserve"> Funding Not-at-Risk Normal Cost from Disability</t>
  </si>
  <si>
    <t xml:space="preserve"> Funding Not-at-Risk Normal Cost from Employee Contributions</t>
  </si>
  <si>
    <t xml:space="preserve"> Funding Not-at-Risk Normal Cost from In-Service</t>
  </si>
  <si>
    <t xml:space="preserve"> Funding At-Risk Liab</t>
  </si>
  <si>
    <t xml:space="preserve"> Funding At-Risk Liab (Vested Active)</t>
  </si>
  <si>
    <t xml:space="preserve"> Funding At-Risk Liab (Vested Active) from Retirement</t>
  </si>
  <si>
    <t xml:space="preserve"> Funding At-Risk Liab (Vested Active) from Termination</t>
  </si>
  <si>
    <t xml:space="preserve"> Funding At-Risk Liab (Vested Active) from Death</t>
  </si>
  <si>
    <t xml:space="preserve"> Funding At-Risk Liab (Vested Active) from Disability</t>
  </si>
  <si>
    <t xml:space="preserve"> Funding At-Risk Liab (Vested Active) from Employee Contributions</t>
  </si>
  <si>
    <t xml:space="preserve"> Funding At-Risk Liab (Vested Active) from In-Service</t>
  </si>
  <si>
    <t xml:space="preserve"> Funding At-Risk Liab (Active)</t>
  </si>
  <si>
    <t xml:space="preserve"> Funding At-Risk Liab (Active) from Retirement</t>
  </si>
  <si>
    <t xml:space="preserve"> Funding At-Risk Liab (Active) from Termination</t>
  </si>
  <si>
    <t xml:space="preserve"> Funding At-Risk Liab (Active) from Death</t>
  </si>
  <si>
    <t xml:space="preserve"> Funding At-Risk Liab (Active) from Disability</t>
  </si>
  <si>
    <t xml:space="preserve"> Funding At-Risk Liab (Active) from Employee Contributions</t>
  </si>
  <si>
    <t xml:space="preserve"> Funding At-Risk Liab (Active) from In-Service</t>
  </si>
  <si>
    <t xml:space="preserve"> Funding At-Risk Liab (Inactive)</t>
  </si>
  <si>
    <t xml:space="preserve"> Funding At-Risk Liab (Inactive) (Retired)</t>
  </si>
  <si>
    <t xml:space="preserve"> Funding At-Risk Liab (Inactive) (Vested)</t>
  </si>
  <si>
    <t xml:space="preserve"> Funding At-Risk Liab (Inactive) (Vested valued through active)</t>
  </si>
  <si>
    <t xml:space="preserve"> Funding At-Risk Liab (Inactive) (Survivor)</t>
  </si>
  <si>
    <t xml:space="preserve"> Funding At-Risk Liab (Inactive) (Disabled)</t>
  </si>
  <si>
    <t xml:space="preserve"> Funding At-Risk Normal Cost</t>
  </si>
  <si>
    <t xml:space="preserve"> Funding At-Risk Normal Cost from Retirement</t>
  </si>
  <si>
    <t xml:space="preserve"> Funding At-Risk Normal Cost from Termination</t>
  </si>
  <si>
    <t xml:space="preserve"> Funding At-Risk Normal Cost from Death</t>
  </si>
  <si>
    <t xml:space="preserve"> Funding At-Risk Normal Cost from Disability</t>
  </si>
  <si>
    <t xml:space="preserve"> Funding At-Risk Normal Cost from Employee Contributions</t>
  </si>
  <si>
    <t xml:space="preserve"> Funding At-Risk Normal Cost from In-Service</t>
  </si>
  <si>
    <t xml:space="preserve"> Max Tax PUC Not-at-Risk Liab</t>
  </si>
  <si>
    <t xml:space="preserve"> Max Tax PUC Not-at-Risk Liab (Active)</t>
  </si>
  <si>
    <t xml:space="preserve"> Max Tax PUC Not-at-Risk Liab (Active) from Retirement</t>
  </si>
  <si>
    <t xml:space="preserve"> Max Tax PUC Not-at-Risk Liab (Active) from Termination</t>
  </si>
  <si>
    <t xml:space="preserve"> Max Tax PUC Not-at-Risk Liab (Active) from Death</t>
  </si>
  <si>
    <t xml:space="preserve"> Max Tax PUC Not-at-Risk Liab (Active) from Disability</t>
  </si>
  <si>
    <t xml:space="preserve"> Max Tax PUC Not-at-Risk Liab (Active) from Employee Contributions</t>
  </si>
  <si>
    <t xml:space="preserve"> Max Tax PUC Not-at-Risk Liab (Active) from In-Service</t>
  </si>
  <si>
    <t xml:space="preserve"> Max Tax Not-at-Risk Liab (Inactive)</t>
  </si>
  <si>
    <t xml:space="preserve"> Max Tax Not-at-Risk Liab (Inactive) (Retired)</t>
  </si>
  <si>
    <t xml:space="preserve"> Max Tax Not-at-Risk Liab (Inactive) (Vested)</t>
  </si>
  <si>
    <t xml:space="preserve"> Max Tax Not-at-Risk Liab (Inactive) (Vested valued through active)</t>
  </si>
  <si>
    <t xml:space="preserve"> Max Tax Not-at-Risk Liab (Inactive) (Survivor)</t>
  </si>
  <si>
    <t xml:space="preserve"> Max Tax Not-at-Risk Liab (Inactive) (Disabled)</t>
  </si>
  <si>
    <t xml:space="preserve"> Max Tax PUC Not-at-Risk Normal Cost</t>
  </si>
  <si>
    <t xml:space="preserve"> Max Tax PUC Not-at-Risk Normal Cost from Retirement</t>
  </si>
  <si>
    <t xml:space="preserve"> Max Tax PUC Not-at-Risk Normal Cost from Termination</t>
  </si>
  <si>
    <t xml:space="preserve"> Max Tax PUC Not-at-Risk Normal Cost from Death</t>
  </si>
  <si>
    <t xml:space="preserve"> Max Tax PUC Not-at-Risk Normal Cost from Disability</t>
  </si>
  <si>
    <t xml:space="preserve"> Max Tax PUC Not-at-Risk Normal Cost from Employee Contributions</t>
  </si>
  <si>
    <t xml:space="preserve"> Max Tax PUC Not-at-Risk Normal Cost from In-Service</t>
  </si>
  <si>
    <t xml:space="preserve"> Max Tax PUC At-Risk Liab</t>
  </si>
  <si>
    <t xml:space="preserve"> Max Tax PUC At-Risk Liab (Active)</t>
  </si>
  <si>
    <t xml:space="preserve"> Max Tax PUC At-Risk Liab (Active) from Retirement</t>
  </si>
  <si>
    <t xml:space="preserve"> Max Tax PUC At-Risk Liab (Active) from Termination</t>
  </si>
  <si>
    <t xml:space="preserve"> Max Tax PUC At-Risk Liab (Active) from Death</t>
  </si>
  <si>
    <t xml:space="preserve"> Max Tax PUC At-Risk Liab (Active) from Disability</t>
  </si>
  <si>
    <t xml:space="preserve"> Max Tax PUC At-Risk Liab (Active) from Employee Contributions</t>
  </si>
  <si>
    <t xml:space="preserve"> Max Tax PUC At-Risk Liab (Active) from In-Service</t>
  </si>
  <si>
    <t xml:space="preserve"> Max Tax At-Risk Liab (Inactive)</t>
  </si>
  <si>
    <t xml:space="preserve"> Max Tax At-Risk Liab (Inactive) (Retired)</t>
  </si>
  <si>
    <t xml:space="preserve"> Max Tax At-Risk Liab (Inactive) (Vested)</t>
  </si>
  <si>
    <t xml:space="preserve"> Max Tax At-Risk Liab (Inactive) (Vested valued through active)</t>
  </si>
  <si>
    <t xml:space="preserve"> Max Tax At-Risk Liab (Inactive) (Survivor)</t>
  </si>
  <si>
    <t xml:space="preserve"> Max Tax At-Risk Liab (Inactive) (Disabled)</t>
  </si>
  <si>
    <t xml:space="preserve"> Max Tax PUC At-Risk Normal Cost</t>
  </si>
  <si>
    <t xml:space="preserve"> Max Tax PUC At-Risk Normal Cost from Retirement</t>
  </si>
  <si>
    <t xml:space="preserve"> Max Tax PUC At-Risk Normal Cost from Termination</t>
  </si>
  <si>
    <t xml:space="preserve"> Max Tax PUC At-Risk Normal Cost from Death</t>
  </si>
  <si>
    <t xml:space="preserve"> Max Tax PUC At-Risk Normal Cost from Disability</t>
  </si>
  <si>
    <t xml:space="preserve"> Max Tax PUC At-Risk Normal Cost from Employee Contributions</t>
  </si>
  <si>
    <t xml:space="preserve"> Max Tax PUC At-Risk Normal Cost from In-Service</t>
  </si>
  <si>
    <t xml:space="preserve"> Max Tax UC Not-at-Risk Liab</t>
  </si>
  <si>
    <t xml:space="preserve"> Max Tax UC Not-at-Risk Liab (Active)</t>
  </si>
  <si>
    <t xml:space="preserve"> Max Tax UC Not-at-Risk Liab (Active) from Retirement</t>
  </si>
  <si>
    <t xml:space="preserve"> Max Tax UC Not-at-Risk Liab (Active) from Termination</t>
  </si>
  <si>
    <t xml:space="preserve"> Max Tax UC Not-at-Risk Liab (Active) from Death</t>
  </si>
  <si>
    <t xml:space="preserve"> Max Tax UC Not-at-Risk Liab (Active) from Disability</t>
  </si>
  <si>
    <t xml:space="preserve"> Max Tax UC Not-at-Risk Liab (Active) from Employee Contributions</t>
  </si>
  <si>
    <t xml:space="preserve"> Max Tax UC Not-at-Risk Liab (Active) from In-Service</t>
  </si>
  <si>
    <t xml:space="preserve"> Max Tax UC Not-at-Risk Normal Cost</t>
  </si>
  <si>
    <t xml:space="preserve"> Max Tax UC Not-at-Risk Normal Cost from Retirement</t>
  </si>
  <si>
    <t xml:space="preserve"> Max Tax UC Not-at-Risk Normal Cost from Termination</t>
  </si>
  <si>
    <t xml:space="preserve"> Max Tax UC Not-at-Risk Normal Cost from Death</t>
  </si>
  <si>
    <t xml:space="preserve"> Max Tax UC Not-at-Risk Normal Cost from Disability</t>
  </si>
  <si>
    <t xml:space="preserve"> Max Tax UC Not-at-Risk Normal Cost from Employee Contributions</t>
  </si>
  <si>
    <t xml:space="preserve"> Max Tax UC Not-at-Risk Normal Cost from In-Service</t>
  </si>
  <si>
    <t xml:space="preserve"> Max Tax UC At-Risk Liab</t>
  </si>
  <si>
    <t xml:space="preserve"> Max Tax UC At-Risk Liab (Active)</t>
  </si>
  <si>
    <t xml:space="preserve"> Max Tax UC At-Risk Liab (Active) from Retirement</t>
  </si>
  <si>
    <t xml:space="preserve"> Max Tax UC At-Risk Liab (Active) from Termination</t>
  </si>
  <si>
    <t xml:space="preserve"> Max Tax UC At-Risk Liab (Active) from Death</t>
  </si>
  <si>
    <t xml:space="preserve"> Max Tax UC At-Risk Liab (Active) from Disability</t>
  </si>
  <si>
    <t xml:space="preserve"> Max Tax UC At-Risk Liab (Active) from Employee Contributions</t>
  </si>
  <si>
    <t xml:space="preserve"> Max Tax UC At-Risk Liab (Active) from In-Service</t>
  </si>
  <si>
    <t xml:space="preserve"> Max Tax UC At-Risk Normal Cost</t>
  </si>
  <si>
    <t xml:space="preserve"> Max Tax UC At-Risk Normal Cost from Retirement</t>
  </si>
  <si>
    <t xml:space="preserve"> Max Tax UC At-Risk Normal Cost from Termination</t>
  </si>
  <si>
    <t xml:space="preserve"> Max Tax UC At-Risk Normal Cost from Death</t>
  </si>
  <si>
    <t xml:space="preserve"> Max Tax UC At-Risk Normal Cost from Disability</t>
  </si>
  <si>
    <t xml:space="preserve"> Max Tax UC At-Risk Normal Cost from Employee Contributions</t>
  </si>
  <si>
    <t xml:space="preserve"> Max Tax UC At-Risk Normal Cost from In-Service</t>
  </si>
  <si>
    <t xml:space="preserve"> PBGC Not-at-Risk Liab (Vested)</t>
  </si>
  <si>
    <t xml:space="preserve"> PBGC Not-at-Risk Liab (Vested Active)</t>
  </si>
  <si>
    <t xml:space="preserve"> PBGC Not-at-Risk Liab (Vested Active) from Retirement</t>
  </si>
  <si>
    <t xml:space="preserve"> PBGC Not-at-Risk Liab (Vested Active) from Termination</t>
  </si>
  <si>
    <t xml:space="preserve"> PBGC Not-at-Risk Liab (Vested Active) from Death</t>
  </si>
  <si>
    <t xml:space="preserve"> PBGC Not-at-Risk Liab (Vested Active) from Disability</t>
  </si>
  <si>
    <t xml:space="preserve"> PBGC Not-at-Risk Liab (Vested Active) from Employee Contributions</t>
  </si>
  <si>
    <t xml:space="preserve"> PBGC Not-at-Risk Liab (Vested Active) from In-Service</t>
  </si>
  <si>
    <t xml:space="preserve"> PBGC Not-at-Risk Liab (Inactive)</t>
  </si>
  <si>
    <t xml:space="preserve"> PBGC Not-at-Risk Liab (Inactive) (Retired)</t>
  </si>
  <si>
    <t xml:space="preserve"> PBGC Not-at-Risk Liab (Inactive) (Vested)</t>
  </si>
  <si>
    <t xml:space="preserve"> PBGC Not-at-Risk Liab (Inactive) (Vested valued through active)</t>
  </si>
  <si>
    <t xml:space="preserve"> PBGC Not-at-Risk Liab (Inactive) (Survivor)</t>
  </si>
  <si>
    <t xml:space="preserve"> PBGC Not-at-Risk Liab (Inactive) (Disabled)</t>
  </si>
  <si>
    <t xml:space="preserve"> PBGC At-Risk Liab (Vested)</t>
  </si>
  <si>
    <t xml:space="preserve"> PBGC At-Risk Liab (Vested Active)</t>
  </si>
  <si>
    <t xml:space="preserve"> PBGC At-Risk Liab (Vested Active) from Retirement</t>
  </si>
  <si>
    <t xml:space="preserve"> PBGC At-Risk Liab (Vested Active) from Termination</t>
  </si>
  <si>
    <t xml:space="preserve"> PBGC At-Risk Liab (Vested Active) from Death</t>
  </si>
  <si>
    <t xml:space="preserve"> PBGC At-Risk Liab (Vested Active) from Disability</t>
  </si>
  <si>
    <t xml:space="preserve"> PBGC At-Risk Liab (Vested Active) from Employee Contributions</t>
  </si>
  <si>
    <t xml:space="preserve"> PBGC At-Risk Liab (Vested Active) from In-Service</t>
  </si>
  <si>
    <t xml:space="preserve"> PBGC At-Risk Liab (Inactive)</t>
  </si>
  <si>
    <t xml:space="preserve"> PBGC At-Risk Liab (Inactive) (Retired)</t>
  </si>
  <si>
    <t xml:space="preserve"> PBGC At-Risk Liab (Inactive) (Vested)</t>
  </si>
  <si>
    <t xml:space="preserve"> PBGC At-Risk Liab (Inactive) (Vested valued through active)</t>
  </si>
  <si>
    <t xml:space="preserve"> PBGC At-Risk Liab (Inactive) (Survivor)</t>
  </si>
  <si>
    <t xml:space="preserve"> PBGC At-Risk Liab (Inactive) (Disabled)</t>
  </si>
  <si>
    <t xml:space="preserve"> Not-at-Risk Effective Interest Rate</t>
  </si>
  <si>
    <t xml:space="preserve"> Not-at-Risk Avg Benefit Timing (Active)</t>
  </si>
  <si>
    <t xml:space="preserve"> Not-at-Risk Avg Benefit Timing (Inactive)</t>
  </si>
  <si>
    <t xml:space="preserve"> B.O.Y. EBO (Active) from Retirement</t>
  </si>
  <si>
    <t xml:space="preserve"> B.O.Y. EBO (Active) from Termination</t>
  </si>
  <si>
    <t xml:space="preserve"> B.O.Y. EBO (Active) from Death</t>
  </si>
  <si>
    <t xml:space="preserve"> B.O.Y. EBO (Active) from Disability</t>
  </si>
  <si>
    <t xml:space="preserve"> B.O.Y. EBO (Active) from Employee Contributions</t>
  </si>
  <si>
    <t xml:space="preserve"> B.O.Y. EBO (Active) from In-Service</t>
  </si>
  <si>
    <t xml:space="preserve"> B.O.Y. PBO (Active) from Retirement</t>
  </si>
  <si>
    <t xml:space="preserve"> B.O.Y. PBO (Active) from Termination</t>
  </si>
  <si>
    <t xml:space="preserve"> B.O.Y. PBO (Active) from Death</t>
  </si>
  <si>
    <t xml:space="preserve"> B.O.Y. PBO (Active) from Disability</t>
  </si>
  <si>
    <t xml:space="preserve"> B.O.Y. PBO (Active) from Employee Contributions</t>
  </si>
  <si>
    <t xml:space="preserve"> B.O.Y. PBO (Active) from In-Service</t>
  </si>
  <si>
    <t xml:space="preserve"> B.O.Y. PBO Normal Cost from Retirement</t>
  </si>
  <si>
    <t xml:space="preserve"> B.O.Y. PBO Normal Cost from Termination</t>
  </si>
  <si>
    <t xml:space="preserve"> B.O.Y. PBO Normal Cost from Death</t>
  </si>
  <si>
    <t xml:space="preserve"> B.O.Y. PBO Normal Cost from Disability</t>
  </si>
  <si>
    <t xml:space="preserve"> B.O.Y. PBO Normal Cost from Employee Contributions</t>
  </si>
  <si>
    <t xml:space="preserve"> B.O.Y. PBO Normal Cost from In-Service</t>
  </si>
  <si>
    <t xml:space="preserve"> B.O.Y. ABO (Vested Active) from Retirement</t>
  </si>
  <si>
    <t xml:space="preserve"> B.O.Y. ABO (Vested Active) from Termination</t>
  </si>
  <si>
    <t xml:space="preserve"> B.O.Y. ABO (Vested Active) from Death</t>
  </si>
  <si>
    <t xml:space="preserve"> B.O.Y. ABO (Vested Active) from Disability</t>
  </si>
  <si>
    <t xml:space="preserve"> B.O.Y. ABO (Vested Active) from Employee Contributions</t>
  </si>
  <si>
    <t xml:space="preserve"> B.O.Y. ABO (Vested Active) from In-Service</t>
  </si>
  <si>
    <t xml:space="preserve"> B.O.Y. ABO (Active) from Retirement</t>
  </si>
  <si>
    <t xml:space="preserve"> B.O.Y. ABO (Active) from Termination</t>
  </si>
  <si>
    <t xml:space="preserve"> B.O.Y. ABO (Active) from Death</t>
  </si>
  <si>
    <t xml:space="preserve"> B.O.Y. ABO (Active) from Disability</t>
  </si>
  <si>
    <t xml:space="preserve"> B.O.Y. ABO (Active) from Employee Contributions</t>
  </si>
  <si>
    <t xml:space="preserve"> B.O.Y. ABO (Active) from In-Service</t>
  </si>
  <si>
    <t xml:space="preserve"> B.O.Y. ABO Normal Cost from Retirement</t>
  </si>
  <si>
    <t xml:space="preserve"> B.O.Y. ABO Normal Cost from Termination</t>
  </si>
  <si>
    <t xml:space="preserve"> B.O.Y. ABO Normal Cost from Death</t>
  </si>
  <si>
    <t xml:space="preserve"> B.O.Y. ABO Normal Cost from Disability</t>
  </si>
  <si>
    <t xml:space="preserve"> B.O.Y. ABO Normal Cost from Employee Contributions</t>
  </si>
  <si>
    <t xml:space="preserve"> B.O.Y. ABO Normal Cost from In-Service</t>
  </si>
  <si>
    <t xml:space="preserve"> ASC 960</t>
  </si>
  <si>
    <t xml:space="preserve"> ASC 960 (Vested Active)</t>
  </si>
  <si>
    <t xml:space="preserve"> ASC 960 (Vested Active) from Retirement</t>
  </si>
  <si>
    <t xml:space="preserve"> ASC 960 (Vested Active) from Termination</t>
  </si>
  <si>
    <t xml:space="preserve"> ASC 960 (Vested Active) from Death</t>
  </si>
  <si>
    <t xml:space="preserve"> ASC 960 (Vested Active) from Disability</t>
  </si>
  <si>
    <t xml:space="preserve"> ASC 960 (Vested Active) from Employee Contributions</t>
  </si>
  <si>
    <t xml:space="preserve"> ASC 960 (Vested Active) from In-Service</t>
  </si>
  <si>
    <t xml:space="preserve"> ASC 960 (Active)</t>
  </si>
  <si>
    <t xml:space="preserve"> ASC 960 (Active) from Retirement</t>
  </si>
  <si>
    <t xml:space="preserve"> ASC 960 (Active) from Termination</t>
  </si>
  <si>
    <t xml:space="preserve"> ASC 960 (Active) from Death</t>
  </si>
  <si>
    <t xml:space="preserve"> ASC 960 (Active) from Disability</t>
  </si>
  <si>
    <t xml:space="preserve"> ASC 960 (Active) from Employee Contributions</t>
  </si>
  <si>
    <t xml:space="preserve"> ASC 960 (Active) from In-Service</t>
  </si>
  <si>
    <t xml:space="preserve"> ASC 960 (Inactive)</t>
  </si>
  <si>
    <t xml:space="preserve"> ASC 960 (Inactive) (Retired)</t>
  </si>
  <si>
    <t xml:space="preserve"> ASC 960 (Inactive) (Vested)</t>
  </si>
  <si>
    <t xml:space="preserve"> ASC 960 (Inactive) (Vested valued through active)</t>
  </si>
  <si>
    <t xml:space="preserve"> ASC 960 (Inactive) (Survivor)</t>
  </si>
  <si>
    <t xml:space="preserve"> ASC 960 (Inactive) (Disabled)</t>
  </si>
  <si>
    <t xml:space="preserve"> ASC 960 Normal Cost</t>
  </si>
  <si>
    <t xml:space="preserve"> ASC 960 Normal Cost from Retirement</t>
  </si>
  <si>
    <t xml:space="preserve"> ASC 960 Normal Cost from Termination</t>
  </si>
  <si>
    <t xml:space="preserve"> ASC 960 Normal Cost from Death</t>
  </si>
  <si>
    <t xml:space="preserve"> ASC 960 Normal Cost from Disability</t>
  </si>
  <si>
    <t xml:space="preserve"> ASC 960 Normal Cost from Employee Contributions</t>
  </si>
  <si>
    <t xml:space="preserve"> ASC 960 Normal Cost from In-Service</t>
  </si>
  <si>
    <t xml:space="preserve"> Acctg Exp Bft Pymts (Active) from Retirement</t>
  </si>
  <si>
    <t xml:space="preserve"> Acctg Exp Bft Pymts (Active) from Termination</t>
  </si>
  <si>
    <t xml:space="preserve"> Acctg Exp Bft Pymts (Active) from Death</t>
  </si>
  <si>
    <t xml:space="preserve"> Acctg Exp Bft Pymts (Active) from Disability</t>
  </si>
  <si>
    <t xml:space="preserve"> Acctg Exp Bft Pymts (Active) from Employee Contributions</t>
  </si>
  <si>
    <t xml:space="preserve"> Acctg Exp Bft Pymts (Active) from In-Service</t>
  </si>
  <si>
    <t xml:space="preserve"> Accounting Effective Discount Rate</t>
  </si>
  <si>
    <t xml:space="preserve"> Accounting Avg Benefit Timing (Active)</t>
  </si>
  <si>
    <t xml:space="preserve"> Accounting Avg Benefit Timing (Inactive)</t>
  </si>
  <si>
    <t xml:space="preserve"> 2014 Data</t>
  </si>
  <si>
    <t xml:space="preserve"> 3.05 Mar 20, 2014</t>
  </si>
  <si>
    <t xml:space="preserve"> PPA Funding Interest Rate</t>
  </si>
  <si>
    <t xml:space="preserve"> Segment rates (0.0443, 0.0562, 0.0622)</t>
  </si>
  <si>
    <t xml:space="preserve"> PPA Max Tax Interest Rate</t>
  </si>
  <si>
    <t xml:space="preserve"> Segment rates (0.0137, 0.0405, 0.0506)</t>
  </si>
  <si>
    <t xml:space="preserve"> Actuarial Liab. Int. Rate</t>
  </si>
  <si>
    <t xml:space="preserve"> PPA PBGC Interest Rate</t>
  </si>
  <si>
    <t xml:space="preserve"> April 3, 2014  1:23 PM</t>
  </si>
  <si>
    <t xml:space="preserve"> ABO Discount Rate</t>
  </si>
  <si>
    <t xml:space="preserve"> ASC 960 Discount Rate</t>
  </si>
  <si>
    <t>Project: 1/1/2014 Valuation (Mode: U.S. Qualified Pension)</t>
  </si>
  <si>
    <t>Folder:   C:\Review\ProVal</t>
  </si>
  <si>
    <t>Project:  1/1/2014 Valuation                                                                        Version:  3.05 Nov 22, 2013</t>
  </si>
  <si>
    <t>Output Style: &lt;undefined&gt;                                                             Printed: May 29, 2014  6:41 PM  (UTC -5:00)</t>
  </si>
  <si>
    <t>2014 NonBargained X) 2014 Mort &amp; Updated CFs</t>
  </si>
  <si>
    <t>2014 Nonbargained CAS 0) Baseline with 2013 Mortality</t>
  </si>
  <si>
    <t>2014 Nonbargained CAS 2) Update to Certain Factors</t>
  </si>
  <si>
    <t>2014 Nonbargained CAS 1) Baseline</t>
  </si>
  <si>
    <t>2014 NonBargained 3) Update Certain Factors</t>
  </si>
  <si>
    <t>2014 NonBargained 2) 2014 IRS mort,MAP-21(4.43,5.6 2,6.22), DR 4.25%</t>
  </si>
  <si>
    <t>2014 NonBargained 1) 2014 IRS mort</t>
  </si>
  <si>
    <t>2014 NonBargained 0) Baseline</t>
  </si>
  <si>
    <t xml:space="preserve"> PV of Future Benefits (Active) from Retirement</t>
  </si>
  <si>
    <t xml:space="preserve"> PV of Future Benefits (Active) from Termination</t>
  </si>
  <si>
    <t xml:space="preserve"> PV of Future Benefits (Active) from Death</t>
  </si>
  <si>
    <t xml:space="preserve"> PV of Future Benefits (Active) from Disability</t>
  </si>
  <si>
    <t xml:space="preserve"> PV of Future Benefits (Active) from Employee Contributions</t>
  </si>
  <si>
    <t xml:space="preserve"> PV of Future Benefits (Active) from In-Service</t>
  </si>
  <si>
    <t xml:space="preserve"> PV of Future Benefits (Inactive) (Retired)</t>
  </si>
  <si>
    <t xml:space="preserve"> PV of Future Benefits (Inactive) (Vested)</t>
  </si>
  <si>
    <t xml:space="preserve"> PV of Future Benefits (Inactive) (Vested valued through active)</t>
  </si>
  <si>
    <t xml:space="preserve"> PV of Future Benefits (Inactive) (Survivor)</t>
  </si>
  <si>
    <t xml:space="preserve"> PV of Future Benefits (Inactive) (Disabled)</t>
  </si>
  <si>
    <t xml:space="preserve"> Entry Age Normal % Salary Liab (Active) from Retirement</t>
  </si>
  <si>
    <t xml:space="preserve"> Entry Age Normal % Salary Liab (Active) from Termination</t>
  </si>
  <si>
    <t xml:space="preserve"> Entry Age Normal % Salary Liab (Active) from Death</t>
  </si>
  <si>
    <t xml:space="preserve"> Entry Age Normal % Salary Liab (Active) from Disability</t>
  </si>
  <si>
    <t xml:space="preserve"> Entry Age Normal % Salary Liab (Active) from Employee Contributions</t>
  </si>
  <si>
    <t xml:space="preserve"> Entry Age Normal % Salary Liab (Active) from In-Service</t>
  </si>
  <si>
    <t xml:space="preserve"> Entry Age Normal % Salary Liab (Inactive) (Retired)</t>
  </si>
  <si>
    <t xml:space="preserve"> Entry Age Normal % Salary Liab (Inactive) (Vested)</t>
  </si>
  <si>
    <t xml:space="preserve"> Entry Age Normal % Salary Liab (Inactive) (Vested valued through active)</t>
  </si>
  <si>
    <t xml:space="preserve"> Entry Age Normal % Salary Liab (Inactive) (Survivor)</t>
  </si>
  <si>
    <t xml:space="preserve"> Entry Age Normal % Salary Liab (Inactive) (Disabled)</t>
  </si>
  <si>
    <t xml:space="preserve"> Entry Age Normal % Salary Normal Cost from Retirement</t>
  </si>
  <si>
    <t xml:space="preserve"> Entry Age Normal % Salary Normal Cost from Termination</t>
  </si>
  <si>
    <t xml:space="preserve"> Entry Age Normal % Salary Normal Cost from Death</t>
  </si>
  <si>
    <t xml:space="preserve"> Entry Age Normal % Salary Normal Cost from Disability</t>
  </si>
  <si>
    <t xml:space="preserve"> Entry Age Normal % Salary Normal Cost from Employee Contributions</t>
  </si>
  <si>
    <t xml:space="preserve"> Entry Age Normal % Salary Normal Cost from In-Service</t>
  </si>
  <si>
    <t xml:space="preserve"> Entry Age Normal Level $ Liab (Active) from Retirement</t>
  </si>
  <si>
    <t xml:space="preserve"> Entry Age Normal Level $ Liab (Active) from Termination</t>
  </si>
  <si>
    <t xml:space="preserve"> Entry Age Normal Level $ Liab (Active) from Death</t>
  </si>
  <si>
    <t xml:space="preserve"> Entry Age Normal Level $ Liab (Active) from Disability</t>
  </si>
  <si>
    <t xml:space="preserve"> Entry Age Normal Level $ Liab (Active) from Employee Contributions</t>
  </si>
  <si>
    <t xml:space="preserve"> Entry Age Normal Level $ Liab (Active) from In-Service</t>
  </si>
  <si>
    <t xml:space="preserve"> Entry Age Normal Level $ Liab (Inactive) (Retired)</t>
  </si>
  <si>
    <t xml:space="preserve"> Entry Age Normal Level $ Liab (Inactive) (Vested)</t>
  </si>
  <si>
    <t xml:space="preserve"> Entry Age Normal Level $ Liab (Inactive) (Vested valued through active)</t>
  </si>
  <si>
    <t xml:space="preserve"> Entry Age Normal Level $ Liab (Inactive) (Survivor)</t>
  </si>
  <si>
    <t xml:space="preserve"> Entry Age Normal Level $ Liab (Inactive) (Disabled)</t>
  </si>
  <si>
    <t xml:space="preserve"> Entry Age Normal Level $ Normal Cost from Retirement</t>
  </si>
  <si>
    <t xml:space="preserve"> Entry Age Normal Level $ Normal Cost from Termination</t>
  </si>
  <si>
    <t xml:space="preserve"> Entry Age Normal Level $ Normal Cost from Death</t>
  </si>
  <si>
    <t xml:space="preserve"> Entry Age Normal Level $ Normal Cost from Disability</t>
  </si>
  <si>
    <t xml:space="preserve"> Entry Age Normal Level $ Normal Cost from Employee Contributions</t>
  </si>
  <si>
    <t xml:space="preserve"> Entry Age Normal Level $ Normal Cost from In-Service</t>
  </si>
  <si>
    <t xml:space="preserve"> Projected Unit Credit Liab (Active) from Retirement</t>
  </si>
  <si>
    <t xml:space="preserve"> Projected Unit Credit Liab (Active) from Termination</t>
  </si>
  <si>
    <t xml:space="preserve"> Projected Unit Credit Liab (Active) from Death</t>
  </si>
  <si>
    <t xml:space="preserve"> Projected Unit Credit Liab (Active) from Disability</t>
  </si>
  <si>
    <t xml:space="preserve"> Projected Unit Credit Liab (Active) from Employee Contributions</t>
  </si>
  <si>
    <t xml:space="preserve"> Projected Unit Credit Liab (Active) from In-Service</t>
  </si>
  <si>
    <t xml:space="preserve"> Projected Unit Credit Liab (Inactive) (Retired)</t>
  </si>
  <si>
    <t xml:space="preserve"> Projected Unit Credit Liab (Inactive) (Vested)</t>
  </si>
  <si>
    <t xml:space="preserve"> Projected Unit Credit Liab (Inactive) (Vested valued through active)</t>
  </si>
  <si>
    <t xml:space="preserve"> Projected Unit Credit Liab (Inactive) (Survivor)</t>
  </si>
  <si>
    <t xml:space="preserve"> Projected Unit Credit Liab (Inactive) (Disabled)</t>
  </si>
  <si>
    <t xml:space="preserve"> Projected Unit Credit Normal Cost from Retirement</t>
  </si>
  <si>
    <t xml:space="preserve"> Projected Unit Credit Normal Cost from Termination</t>
  </si>
  <si>
    <t xml:space="preserve"> Projected Unit Credit Normal Cost from Death</t>
  </si>
  <si>
    <t xml:space="preserve"> Projected Unit Credit Normal Cost from Disability</t>
  </si>
  <si>
    <t xml:space="preserve"> Projected Unit Credit Normal Cost from Employee Contributions</t>
  </si>
  <si>
    <t xml:space="preserve"> Projected Unit Credit Normal Cost from In-Service</t>
  </si>
  <si>
    <t xml:space="preserve"> Pure Unit Credit Liab (Active) from Retirement</t>
  </si>
  <si>
    <t xml:space="preserve"> Pure Unit Credit Liab (Active) from Termination</t>
  </si>
  <si>
    <t xml:space="preserve"> Pure Unit Credit Liab (Active) from Death</t>
  </si>
  <si>
    <t xml:space="preserve"> Pure Unit Credit Liab (Active) from Disability</t>
  </si>
  <si>
    <t xml:space="preserve"> Pure Unit Credit Liab (Active) from Employee Contributions</t>
  </si>
  <si>
    <t xml:space="preserve"> Pure Unit Credit Liab (Active) from In-Service</t>
  </si>
  <si>
    <t xml:space="preserve"> Pure Unit Credit Liab (Inactive) (Retired)</t>
  </si>
  <si>
    <t xml:space="preserve"> Pure Unit Credit Liab (Inactive) (Vested)</t>
  </si>
  <si>
    <t xml:space="preserve"> Pure Unit Credit Liab (Inactive) (Vested valued through active)</t>
  </si>
  <si>
    <t xml:space="preserve"> Pure Unit Credit Liab (Inactive) (Survivor)</t>
  </si>
  <si>
    <t xml:space="preserve"> Pure Unit Credit Liab (Inactive) (Disabled)</t>
  </si>
  <si>
    <t xml:space="preserve"> Pure Unit Credit Normal Cost from Retirement</t>
  </si>
  <si>
    <t xml:space="preserve"> Pure Unit Credit Normal Cost from Termination</t>
  </si>
  <si>
    <t xml:space="preserve"> Pure Unit Credit Normal Cost from Death</t>
  </si>
  <si>
    <t xml:space="preserve"> Pure Unit Credit Normal Cost from Disability</t>
  </si>
  <si>
    <t xml:space="preserve"> Pure Unit Credit Normal Cost from Employee Contributions</t>
  </si>
  <si>
    <t xml:space="preserve"> Pure Unit Credit Normal Cost from In-Service</t>
  </si>
  <si>
    <t xml:space="preserve"> Funding Exp Bft Pymts (Active) from Retirement</t>
  </si>
  <si>
    <t xml:space="preserve"> Funding Exp Bft Pymts (Active) from Termination</t>
  </si>
  <si>
    <t xml:space="preserve"> Funding Exp Bft Pymts (Active) from Death</t>
  </si>
  <si>
    <t xml:space="preserve"> Funding Exp Bft Pymts (Active) from Disability</t>
  </si>
  <si>
    <t xml:space="preserve"> Funding Exp Bft Pymts (Active) from Employee Contributions</t>
  </si>
  <si>
    <t xml:space="preserve"> Funding Exp Bft Pymts (Active) from In-Service</t>
  </si>
  <si>
    <t xml:space="preserve"> Funding Exp Bft Pymts (Inactive) (Retired)</t>
  </si>
  <si>
    <t xml:space="preserve"> Funding Exp Bft Pymts (Inactive) (Vested)</t>
  </si>
  <si>
    <t xml:space="preserve"> Funding Exp Bft Pymts (Inactive) (Vested valued through active)</t>
  </si>
  <si>
    <t xml:space="preserve"> Funding Exp Bft Pymts (Inactive) (Survivor)</t>
  </si>
  <si>
    <t xml:space="preserve"> Funding Exp Bft Pymts (Inactive) (Disabled)</t>
  </si>
  <si>
    <t xml:space="preserve"> Term Cost from Retirement</t>
  </si>
  <si>
    <t xml:space="preserve"> Term Cost from Termination</t>
  </si>
  <si>
    <t xml:space="preserve"> Term Cost from Death</t>
  </si>
  <si>
    <t xml:space="preserve"> Term Cost from Disability</t>
  </si>
  <si>
    <t xml:space="preserve"> Term Cost from Employee Contributions</t>
  </si>
  <si>
    <t xml:space="preserve"> Term Cost from In-Service</t>
  </si>
  <si>
    <t xml:space="preserve"> PV of Future Employee Conts. from Retirement</t>
  </si>
  <si>
    <t xml:space="preserve"> PV of Future Employee Conts. from Termination</t>
  </si>
  <si>
    <t xml:space="preserve"> PV of Future Employee Conts. from Death</t>
  </si>
  <si>
    <t xml:space="preserve"> PV of Future Employee Conts. from Disability</t>
  </si>
  <si>
    <t xml:space="preserve"> PV of Future Employee Conts. from Employee Contributions</t>
  </si>
  <si>
    <t xml:space="preserve"> PV of Future Employee Conts. from In-Service</t>
  </si>
  <si>
    <t xml:space="preserve"> May 28, 2014  9:10 AM</t>
  </si>
  <si>
    <t xml:space="preserve"> May 9, 2014  9:17 AM</t>
  </si>
  <si>
    <t xml:space="preserve"> May 9, 2014  8:45 AM</t>
  </si>
  <si>
    <t xml:space="preserve"> April 16, 2014  4:18 PM</t>
  </si>
  <si>
    <t xml:space="preserve"> April 16, 2014  4:17 PM</t>
  </si>
  <si>
    <t xml:space="preserve"> 3.06 May 15, 2014</t>
  </si>
  <si>
    <t xml:space="preserve"> 3.06 Apr 23, 2014</t>
  </si>
  <si>
    <t xml:space="preserve"> 3.05 Nov 22, 2013</t>
  </si>
  <si>
    <t xml:space="preserve"> Segment rates (0.0494, 0.0615, 0.0676)</t>
  </si>
  <si>
    <t xml:space="preserve"> Segment rates (0.065, 0.065, 0.065)</t>
  </si>
  <si>
    <t xml:space="preserve"> Segment rates (0.0175, 0.0462, 0.0572)</t>
  </si>
  <si>
    <t xml:space="preserve"> April 16, 2014  5:29 PM</t>
  </si>
  <si>
    <t>Project:  1/1/2014 Valuation                                                                          Version:  3.06 May 15, 2014</t>
  </si>
  <si>
    <t xml:space="preserve">Valuation Output                                                                                        </t>
  </si>
  <si>
    <t xml:space="preserve">Valuation Output                                                                                         </t>
  </si>
  <si>
    <t>Other</t>
  </si>
  <si>
    <t>Other Method</t>
  </si>
  <si>
    <t>Pension Equity Plan</t>
  </si>
  <si>
    <t>Reg 1.412(c)(2)-1(b)(7) &amp; RP 2000-40 Sec 4.17, Phase-in</t>
  </si>
  <si>
    <t>Average Value</t>
  </si>
  <si>
    <t>Combined CB/PEP and Other Plan</t>
  </si>
  <si>
    <t>Rev Proc 2000-40 Sec 4.16, Phase-in</t>
  </si>
  <si>
    <t>Smoothed Value</t>
  </si>
  <si>
    <t>Combined Pay &amp; Non Pay Plan</t>
  </si>
  <si>
    <t>Rev Proc 2000-40 Sec 4.15</t>
  </si>
  <si>
    <t>Combined FAP and CAP Plan</t>
  </si>
  <si>
    <t>Adjust AV toward MV by fixed %</t>
  </si>
  <si>
    <t>Expected AV2</t>
  </si>
  <si>
    <t>Non-Pay related</t>
  </si>
  <si>
    <t>Recognize G/L as equal payments</t>
  </si>
  <si>
    <t>Expected AV1</t>
  </si>
  <si>
    <t>Cash Balance Plan</t>
  </si>
  <si>
    <t>Reg 1.412(c)(2)-1(b)(7) &amp; RP 2000-40 Sec 4.12, Phase-in</t>
  </si>
  <si>
    <t>Career Average Plan</t>
  </si>
  <si>
    <t>Reg 1.412(c)(2)-1(b)(7) &amp; RP 2000-40 Sec 4.11</t>
  </si>
  <si>
    <t>Final Average Pay Plan</t>
  </si>
  <si>
    <t>Reg 1.412(c)(2)-1(c) &amp; RP 2000-40 Sec 4.10</t>
  </si>
  <si>
    <t>Market Value</t>
  </si>
  <si>
    <t>Code</t>
  </si>
  <si>
    <t>Description</t>
  </si>
  <si>
    <t>Plan Type</t>
  </si>
  <si>
    <t>Asset Valuation Method</t>
  </si>
  <si>
    <t>Other Spread Gain Method</t>
  </si>
  <si>
    <t>Oth Agg</t>
  </si>
  <si>
    <t>Attained Age Normal</t>
  </si>
  <si>
    <t>AAN</t>
  </si>
  <si>
    <t>Frozen Initial Liability</t>
  </si>
  <si>
    <t>FIL</t>
  </si>
  <si>
    <t>Aggregate</t>
  </si>
  <si>
    <t>Agg</t>
  </si>
  <si>
    <t>Individual Aggregate</t>
  </si>
  <si>
    <t>Ind Agg</t>
  </si>
  <si>
    <t>Other Immediate Gain Method</t>
  </si>
  <si>
    <t>Oth Imm</t>
  </si>
  <si>
    <t>Individual Level Premium</t>
  </si>
  <si>
    <t>ILP</t>
  </si>
  <si>
    <t>Combined Salaried &amp; Hourly Plan</t>
  </si>
  <si>
    <t>Entry Age Normal</t>
  </si>
  <si>
    <t>EAN</t>
  </si>
  <si>
    <t>Hourly Plan</t>
  </si>
  <si>
    <t>Traditional Unit Credit</t>
  </si>
  <si>
    <t>TUC</t>
  </si>
  <si>
    <t>Salaried Plan</t>
  </si>
  <si>
    <t>Projected Unit Credit</t>
  </si>
  <si>
    <t>PUC</t>
  </si>
  <si>
    <t>Payroll Type</t>
  </si>
  <si>
    <t>Funding Method</t>
  </si>
  <si>
    <t>Benefit Payments</t>
  </si>
  <si>
    <t>Scenario 1</t>
  </si>
  <si>
    <t>Scenario 2</t>
  </si>
  <si>
    <t>2014 Salary</t>
  </si>
  <si>
    <t>2013 Salary</t>
  </si>
  <si>
    <t>2012 Salary</t>
  </si>
  <si>
    <t>Employee Data Provided for the 2015 valuation</t>
  </si>
  <si>
    <t>Klendshoj, Saleh</t>
  </si>
  <si>
    <t>Doll Woolley, Yazeed</t>
  </si>
  <si>
    <t>Bartho, George</t>
  </si>
  <si>
    <t>Benson, Jessika</t>
  </si>
  <si>
    <t>Aho, Blake</t>
  </si>
  <si>
    <t>Larson, Brian</t>
  </si>
  <si>
    <t>Nelson, Yuyang</t>
  </si>
  <si>
    <t>Asche, Ryan</t>
  </si>
  <si>
    <t>Carlson, Jeremy</t>
  </si>
  <si>
    <t>Donovan, Adrienne</t>
  </si>
  <si>
    <t>Shapiro, Amanda</t>
  </si>
  <si>
    <t>Johnson, Aaron</t>
  </si>
  <si>
    <t>Souers, Celina</t>
  </si>
  <si>
    <t>Butina, Natalie</t>
  </si>
  <si>
    <t>Tiedens, Bret</t>
  </si>
  <si>
    <t>Olson, Nicholas</t>
  </si>
  <si>
    <t>Richman, Michelle</t>
  </si>
  <si>
    <t>Al Jaloud, Steve</t>
  </si>
  <si>
    <t>Aljebreen, Patric</t>
  </si>
  <si>
    <t>Baker, Eric</t>
  </si>
  <si>
    <t>Bossler, Bill</t>
  </si>
  <si>
    <t>Brinkley, Roxanne L</t>
  </si>
  <si>
    <t>Brinkley, Jeanne M</t>
  </si>
  <si>
    <t>Chen, Jerome F</t>
  </si>
  <si>
    <t>Cress, Scott G</t>
  </si>
  <si>
    <t>Dehn, Diane M</t>
  </si>
  <si>
    <t>Duvall, DeeAnn S</t>
  </si>
  <si>
    <t>Gall, Susann K</t>
  </si>
  <si>
    <t>Gist, Tracy A</t>
  </si>
  <si>
    <t>Guy, Robert L</t>
  </si>
  <si>
    <t>Harada, Richard G</t>
  </si>
  <si>
    <t>Harvestine, Susan R</t>
  </si>
  <si>
    <t>Hitpas, Bruce D</t>
  </si>
  <si>
    <t>Hohl, David L</t>
  </si>
  <si>
    <t>Jackson, Dawn E</t>
  </si>
  <si>
    <t>Jumaan, Casey A</t>
  </si>
  <si>
    <t>Kampwerth, Rebecca M</t>
  </si>
  <si>
    <t>Lam, Jacqueline E</t>
  </si>
  <si>
    <t>Larson, Luke</t>
  </si>
  <si>
    <t>Nelson, Jumaan</t>
  </si>
  <si>
    <t>Asche, Alexis</t>
  </si>
  <si>
    <t>Carlson, Austin</t>
  </si>
  <si>
    <t>Donovan, Alina</t>
  </si>
  <si>
    <t>Salary Increase</t>
  </si>
  <si>
    <t>05/32/1979</t>
  </si>
  <si>
    <t>2/30/1960</t>
  </si>
  <si>
    <t xml:space="preserve"> 1 Pension Plan Baseline - 2014</t>
  </si>
  <si>
    <t xml:space="preserve"> 2 Pension Plan Baseline - 2014</t>
  </si>
  <si>
    <t xml:space="preserve"> 3 Pension Plan Baseline - 2014</t>
  </si>
  <si>
    <t xml:space="preserve"> 4 Pension Plan Baseline - 2014</t>
  </si>
  <si>
    <t xml:space="preserve"> 5 Pension Plan Baseline - 2014</t>
  </si>
  <si>
    <t xml:space="preserve"> 6 Pension Plan Baseline - 2014</t>
  </si>
  <si>
    <t xml:space="preserve"> 7 Pension Plan Baseline - 2014</t>
  </si>
  <si>
    <t xml:space="preserve"> 8 Pension Plan Baseline - 2014</t>
  </si>
  <si>
    <t xml:space="preserve"> 2014 Plan Census Spec</t>
  </si>
  <si>
    <t xml:space="preserve"> 2014 Valuation 1</t>
  </si>
  <si>
    <t xml:space="preserve"> 2014 Valuation 2</t>
  </si>
  <si>
    <t xml:space="preserve"> 2014 Valuation 3</t>
  </si>
  <si>
    <t xml:space="preserve"> 2014 Valuation 4</t>
  </si>
  <si>
    <t xml:space="preserve"> 2014 Valuation 5</t>
  </si>
  <si>
    <t xml:space="preserve"> 2014 Valuation 6</t>
  </si>
  <si>
    <t xml:space="preserve"> 2014 Valuation 7</t>
  </si>
  <si>
    <t xml:space="preserve"> 2014 Valuation 8</t>
  </si>
  <si>
    <t xml:space="preserve"> 2014 1) 2014 IRS mort</t>
  </si>
  <si>
    <t xml:space="preserve"> 2014 0) CAS Baseline (2013 mortality, 6.50%)</t>
  </si>
  <si>
    <t xml:space="preserve"> 2014 1) CAS Baseline (dynamic mortality, 6.50%)</t>
  </si>
  <si>
    <t xml:space="preserve"> 2014 2) 2014 IRS mort, MAP-21(4.43,5.62,6.22)</t>
  </si>
  <si>
    <t xml:space="preserve"> 2014 0) Baseline</t>
  </si>
  <si>
    <t xml:space="preserve"> 2014 ASC 715 2) 2014 IRS mort, DR 4.25%</t>
  </si>
  <si>
    <t>2014 ASC 715 4) Assump Change - '14 Mortality, DR 4.38%</t>
  </si>
  <si>
    <t>2014 ASC 715 3) Assump Change - '14 Mortality</t>
  </si>
  <si>
    <t>2014 ASC 715 2) Baseline (New AE)</t>
  </si>
  <si>
    <t>2014 ASC 715 1) Baseline (Old AE)</t>
  </si>
  <si>
    <t xml:space="preserve"> 2014 Plan Definition 1) Baseline</t>
  </si>
  <si>
    <t xml:space="preserve"> 2014 Census 2) Baseline</t>
  </si>
  <si>
    <t xml:space="preserve"> 2014 ASC 715 3) Assump Chg '14 Mortality, DR 4.38%</t>
  </si>
  <si>
    <t>NonBargained Mort &amp; Updated CFs</t>
  </si>
  <si>
    <t>Nonbargained Baseline</t>
  </si>
  <si>
    <t>Valuation 1</t>
  </si>
  <si>
    <t>Valuation 2</t>
  </si>
  <si>
    <t xml:space="preserve"> 1 Pension Plan Baseline</t>
  </si>
  <si>
    <t xml:space="preserve"> 2 Pension Plan Baseline</t>
  </si>
  <si>
    <t>Plan Census Spec</t>
  </si>
  <si>
    <t>Valuation Data</t>
  </si>
  <si>
    <t>Val Date</t>
  </si>
  <si>
    <t>Valuation Date</t>
  </si>
  <si>
    <t>ID</t>
  </si>
  <si>
    <t>Salary</t>
  </si>
  <si>
    <t>PY Salary</t>
  </si>
  <si>
    <t>Service</t>
  </si>
  <si>
    <t>Date of Participation</t>
  </si>
  <si>
    <t>Accrued Benefit</t>
  </si>
  <si>
    <t>Address</t>
  </si>
  <si>
    <t>Klendshoj,Roxanne</t>
  </si>
  <si>
    <t>900 Plaza Drive, Secaucus, New Jersey 06789-1533</t>
  </si>
  <si>
    <t>Woolley,Jeanne M</t>
  </si>
  <si>
    <t>2331 W 18th Street, St. Louis, MO 07097</t>
  </si>
  <si>
    <t>Bartho,Jerome Fion</t>
  </si>
  <si>
    <t>2332 W 18th Street, St. Louis, MO 07097</t>
  </si>
  <si>
    <t>2333 W 18th Street, St. Louis, MO 07097</t>
  </si>
  <si>
    <t>Aho,Diane</t>
  </si>
  <si>
    <t>2334 W 18th Street, St. Louis, MO 07097</t>
  </si>
  <si>
    <t>Larson,DeeAnn Smith</t>
  </si>
  <si>
    <t>2335 W 18th Street, St. Louis, MO 07097</t>
  </si>
  <si>
    <t>Nelson,Susann</t>
  </si>
  <si>
    <t>901 Plaza Drive, Secaucus, New Jersey 06789-1533</t>
  </si>
  <si>
    <t>902 Plaza Drive, Secaucus, New Jersey 06789-1533</t>
  </si>
  <si>
    <t>Carlson,Robert Lee</t>
  </si>
  <si>
    <t>903 Plaza Drive, Secaucus, New Jersey 06789-1533</t>
  </si>
  <si>
    <t>Donovan,Richard</t>
  </si>
  <si>
    <t>904 Plaza Drive, Secaucus, New Jersey 06789-1533</t>
  </si>
  <si>
    <t>The MsgBox function has the following return values:</t>
  </si>
  <si>
    <t>Constant</t>
  </si>
  <si>
    <t>Value</t>
  </si>
  <si>
    <t>Button</t>
  </si>
  <si>
    <t>vbOK</t>
  </si>
  <si>
    <t>OK</t>
  </si>
  <si>
    <t>vbCancel</t>
  </si>
  <si>
    <t>Cancel</t>
  </si>
  <si>
    <t>vbAbort</t>
  </si>
  <si>
    <t>Abort</t>
  </si>
  <si>
    <t>vbRetry</t>
  </si>
  <si>
    <t>Retry</t>
  </si>
  <si>
    <t>vbIgnore</t>
  </si>
  <si>
    <t>Ignore</t>
  </si>
  <si>
    <t>vbYes</t>
  </si>
  <si>
    <t>Yes</t>
  </si>
  <si>
    <t>vbNo</t>
  </si>
  <si>
    <t>No</t>
  </si>
  <si>
    <t>The buttons argument settings are:</t>
  </si>
  <si>
    <t>vbOKOnly</t>
  </si>
  <si>
    <t>Display OK button only.</t>
  </si>
  <si>
    <t>vbOKCancel</t>
  </si>
  <si>
    <t>Display OK and Cancel buttons.</t>
  </si>
  <si>
    <t>vbAbortRetryIgnore</t>
  </si>
  <si>
    <t>Display Abort, Retry, and Ignore buttons.</t>
  </si>
  <si>
    <t>vbYesNoCancel</t>
  </si>
  <si>
    <t>Display Yes, No, and Cancel buttons.</t>
  </si>
  <si>
    <t>vbYesNo</t>
  </si>
  <si>
    <t>Display Yes and No buttons.</t>
  </si>
  <si>
    <t>vbRetryCancel</t>
  </si>
  <si>
    <t>Display Retry and Cancel buttons.</t>
  </si>
  <si>
    <t>vbCritical</t>
  </si>
  <si>
    <t>Display Critical Message icon.</t>
  </si>
  <si>
    <t>vbQuestion</t>
  </si>
  <si>
    <t>Display Warning Query icon.</t>
  </si>
  <si>
    <t>vbExclamation</t>
  </si>
  <si>
    <t>Display Warning Message icon.</t>
  </si>
  <si>
    <t>vbInformation</t>
  </si>
  <si>
    <t>Display Information Message icon.</t>
  </si>
  <si>
    <t>vbDefaultButton1</t>
  </si>
  <si>
    <t>First button is default.</t>
  </si>
  <si>
    <t>vbDefaultButton2</t>
  </si>
  <si>
    <t>Second button is default.</t>
  </si>
  <si>
    <t>vbDefaultButton3</t>
  </si>
  <si>
    <t>Third button is default.</t>
  </si>
  <si>
    <t>vbDefaultButton4</t>
  </si>
  <si>
    <t>Fourth button is default.</t>
  </si>
  <si>
    <t>vbApplicationModal</t>
  </si>
  <si>
    <t>Application modal. The user must respond to the message box before continuing work in the current application.</t>
  </si>
  <si>
    <t>vbSystemModal</t>
  </si>
  <si>
    <t>System modal. On Microsoft Win16 systems, all applications are suspended until the user responds to the message box. On Microsoft Win32 systems, this constant provides an application modal message box that always remains on top of any other programs that you have running</t>
  </si>
  <si>
    <t>The first group of values (0–5) describes the number and type of buttons displayed in the dialog box.</t>
  </si>
  <si>
    <t>The second group (16, 32, 48, 64) describes the icon style.</t>
  </si>
  <si>
    <t>The third group (0, 256, 512, 768) determines which button is the default.</t>
  </si>
  <si>
    <t>The fourth group (0, 4096) determines the modality of the message box. When adding numbers to create a final value for the argument buttons, use only one number from each group.</t>
  </si>
  <si>
    <t>Grading Policy</t>
  </si>
  <si>
    <t>Percentage</t>
  </si>
  <si>
    <t>to</t>
  </si>
  <si>
    <t>A-</t>
  </si>
  <si>
    <t>B+</t>
  </si>
  <si>
    <t>B-</t>
  </si>
  <si>
    <t>C+</t>
  </si>
  <si>
    <t>C-</t>
  </si>
  <si>
    <t>D</t>
  </si>
  <si>
    <t>Tax Rate Table for the Current Year*</t>
  </si>
  <si>
    <t>Tax Rate</t>
  </si>
  <si>
    <t>Single Filers</t>
  </si>
  <si>
    <t>Married Joint Filers</t>
  </si>
  <si>
    <t>Married Separate Filers</t>
  </si>
  <si>
    <t>Head of Household Filers</t>
  </si>
  <si>
    <t>Lower Bound</t>
  </si>
  <si>
    <t>Upper Bound</t>
  </si>
  <si>
    <t>* The above rates are for the tax year 2013. It should be updated to the current year if the current year is after 2013</t>
  </si>
  <si>
    <t>Funded Status and Zoning for Multiemployer Plans</t>
  </si>
  <si>
    <t>Input Section</t>
  </si>
  <si>
    <t>Unit Credit AL (UCAL)</t>
  </si>
  <si>
    <t>Actuarial Value of Assets (AVA)</t>
  </si>
  <si>
    <t>Years until a funding deficiency is projected</t>
  </si>
  <si>
    <t>Years until insolvency is projected (ran out of cash)</t>
  </si>
  <si>
    <t>Zoning Determination</t>
  </si>
  <si>
    <t>Funded Percentage (AVA / UCAL)</t>
  </si>
  <si>
    <t>Color Zone</t>
  </si>
  <si>
    <t>Plan Status</t>
  </si>
  <si>
    <t>Seriously Endangered Plan</t>
  </si>
  <si>
    <t>Action Plan</t>
  </si>
  <si>
    <t>Details</t>
  </si>
  <si>
    <t>Healthy Status - Green</t>
  </si>
  <si>
    <t>The Plan is in Safe Status</t>
  </si>
  <si>
    <t>Endangered Status - Yellow</t>
  </si>
  <si>
    <t>The funded percentage is less than 80% funded, or</t>
  </si>
  <si>
    <t>The plan is projected to experience a funding deficiency within 7 years</t>
  </si>
  <si>
    <t>The Plan is in Endangered Status</t>
  </si>
  <si>
    <t>Seriously Endangered Status - Orange</t>
  </si>
  <si>
    <t>The funded percentage is less than 80% funded, and</t>
  </si>
  <si>
    <t>The Plan is in Seriously Endangered Status</t>
  </si>
  <si>
    <t>Critical Status - Red</t>
  </si>
  <si>
    <t>Projected to become insolvent within 5 years if funded percentage ≥ 65%, or</t>
  </si>
  <si>
    <t>Projected to become insolvent within 7 years if funded percentage &lt; 65%, or</t>
  </si>
  <si>
    <t>Projected to experience a funding deficiency within 4 years if funded percentage ≥ 65%, or</t>
  </si>
  <si>
    <t>Projected to experience a funding deficiency within 5 years if funded percentage &lt; 65%</t>
  </si>
  <si>
    <t>The Plan is in Critical Status</t>
  </si>
  <si>
    <t>Color</t>
  </si>
  <si>
    <t>Green</t>
  </si>
  <si>
    <t>Healthy Plan</t>
  </si>
  <si>
    <t>N/A</t>
  </si>
  <si>
    <t>Yellow</t>
  </si>
  <si>
    <t>Endangered Plan</t>
  </si>
  <si>
    <t>Funding-Improvement Plan</t>
  </si>
  <si>
    <t>Orange</t>
  </si>
  <si>
    <t>Red</t>
  </si>
  <si>
    <t>Critical Plan</t>
  </si>
  <si>
    <t>Rehabilitation Plan</t>
  </si>
  <si>
    <r>
      <rPr>
        <sz val="14"/>
        <color theme="8" tint="-0.499984740745262"/>
        <rFont val="Arial"/>
        <family val="2"/>
      </rPr>
      <t>Please Note:</t>
    </r>
    <r>
      <rPr>
        <sz val="14"/>
        <color rgb="FFFF0000"/>
        <rFont val="Arial"/>
        <family val="2"/>
      </rPr>
      <t xml:space="preserve">
The sheet provides only the words portion of the model. You will need to program formulas for relevant cells and formats, including conditional forms if applicable.</t>
    </r>
  </si>
  <si>
    <t>Retirement Date</t>
  </si>
  <si>
    <t>Retirement Benefit</t>
  </si>
  <si>
    <t>Wang, Eric</t>
  </si>
  <si>
    <t>Larson, Chris</t>
  </si>
  <si>
    <t>Larson, George</t>
  </si>
  <si>
    <t>Jobs, Benjamin</t>
  </si>
  <si>
    <t>Jordon, Hillary</t>
  </si>
  <si>
    <t>Clinton, Bills</t>
  </si>
  <si>
    <t>Lee, Gordon</t>
  </si>
  <si>
    <t>1/1/2015 Status</t>
  </si>
  <si>
    <t>1/1/2014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</si>
</sst>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8" formatCode="&quot;$&quot;#,##0.00_);[Red]\(&quot;$&quot;#,##0.00\)"/>
    <numFmt numFmtId="44" formatCode="_(&quot;$&quot;* #,##0.00_);_(&quot;$&quot;* \(#,##0.00\);_(&quot;$&quot;* &quot;-&quot;??_);_(@_)"/>
    <numFmt numFmtId="43" formatCode="_(* #,##0.00_);_(* \(#,##0.00\);_(* &quot;-&quot;??_);_(@_)"/>
    <numFmt numFmtId="164" formatCode="0.000000"/>
    <numFmt numFmtId="165" formatCode="_(* #,##0_);_(* \(#,##0\);_(* &quot;-&quot;??_);_(@_)"/>
    <numFmt numFmtId="166" formatCode="mm/dd/yy;@"/>
    <numFmt numFmtId="167" formatCode="mm/dd/yyyy"/>
    <numFmt numFmtId="168" formatCode="_(&quot;$&quot;* #,##0_);_(&quot;$&quot;* \(#,##0\);_(&quot;$&quot;* &quot;-&quot;??_);_(@_)"/>
    <numFmt numFmtId="169" formatCode="m/d/yyyy\ ddd"/>
    <numFmt numFmtId="170" formatCode="0.0"/>
    <numFmt numFmtId="171" formatCode="_(* #,##0.0000_);_(* \(#,##0.0000\);_(* &quot;-&quot;??_);_(@_)"/>
    <numFmt numFmtId="172" formatCode="0.0%"/>
  </numFmts>
  <fonts count="34"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b/>
      <sz val="12"/>
      <name val="Arial"/>
      <family val="2"/>
    </font>
    <font>
      <b/>
      <sz val="10"/>
      <name val="Arial"/>
      <family val="2"/>
    </font>
    <font>
      <sz val="8"/>
      <name val="Arial"/>
      <family val="2"/>
    </font>
    <font>
      <b/>
      <sz val="14"/>
      <name val="Arial"/>
      <family val="2"/>
    </font>
    <font>
      <b/>
      <sz val="12"/>
      <color indexed="10"/>
      <name val="Arial"/>
      <family val="2"/>
    </font>
    <font>
      <sz val="10"/>
      <name val="Arial"/>
      <family val="2"/>
    </font>
    <font>
      <b/>
      <sz val="10"/>
      <color indexed="10"/>
      <name val="Arial"/>
      <family val="2"/>
    </font>
    <font>
      <b/>
      <u/>
      <sz val="10"/>
      <name val="Arial"/>
      <family val="2"/>
    </font>
    <font>
      <u/>
      <sz val="10"/>
      <color indexed="12"/>
      <name val="Arial"/>
      <family val="2"/>
    </font>
    <font>
      <sz val="10"/>
      <name val="Arial"/>
      <family val="2"/>
    </font>
    <font>
      <b/>
      <sz val="9"/>
      <name val="Arial"/>
      <family val="2"/>
    </font>
    <font>
      <sz val="9"/>
      <name val="Arial"/>
      <family val="2"/>
    </font>
    <font>
      <b/>
      <u/>
      <sz val="9"/>
      <name val="Arial"/>
      <family val="2"/>
    </font>
    <font>
      <u/>
      <sz val="9"/>
      <name val="Arial"/>
      <family val="2"/>
    </font>
    <font>
      <sz val="9"/>
      <color theme="0"/>
      <name val="Arial"/>
      <family val="2"/>
    </font>
    <font>
      <b/>
      <sz val="11"/>
      <color theme="1"/>
      <name val="Calibri"/>
      <family val="2"/>
      <scheme val="minor"/>
    </font>
    <font>
      <u/>
      <sz val="11"/>
      <color theme="1"/>
      <name val="Calibri"/>
      <family val="2"/>
      <scheme val="minor"/>
    </font>
    <font>
      <u/>
      <sz val="11"/>
      <name val="Calibri"/>
      <family val="2"/>
      <scheme val="minor"/>
    </font>
    <font>
      <sz val="11"/>
      <name val="Calibri"/>
      <family val="2"/>
      <scheme val="minor"/>
    </font>
    <font>
      <sz val="12"/>
      <name val="MS Sans Serif"/>
      <family val="2"/>
    </font>
    <font>
      <sz val="10"/>
      <name val="MS Sans Serif"/>
      <family val="2"/>
    </font>
    <font>
      <u/>
      <sz val="12"/>
      <name val="MS Sans Serif"/>
      <family val="2"/>
    </font>
    <font>
      <b/>
      <sz val="14"/>
      <color theme="1"/>
      <name val="Calibri"/>
      <family val="2"/>
      <scheme val="minor"/>
    </font>
    <font>
      <b/>
      <sz val="12"/>
      <color rgb="FF2A2A2A"/>
      <name val="Calibri"/>
      <family val="2"/>
      <scheme val="minor"/>
    </font>
    <font>
      <b/>
      <sz val="11"/>
      <color rgb="FFFF0000"/>
      <name val="Calibri"/>
      <family val="2"/>
      <scheme val="minor"/>
    </font>
    <font>
      <sz val="10"/>
      <color indexed="10"/>
      <name val="Arial"/>
      <family val="2"/>
    </font>
    <font>
      <u/>
      <sz val="11"/>
      <color theme="10"/>
      <name val="Calibri"/>
      <family val="2"/>
      <scheme val="minor"/>
    </font>
    <font>
      <b/>
      <sz val="12"/>
      <color theme="0"/>
      <name val="Calibri"/>
      <family val="2"/>
      <scheme val="minor"/>
    </font>
    <font>
      <sz val="14"/>
      <color rgb="FFFF0000"/>
      <name val="Arial"/>
      <family val="2"/>
    </font>
    <font>
      <sz val="14"/>
      <color theme="8" tint="-0.499984740745262"/>
      <name val="Arial"/>
      <family val="2"/>
    </font>
  </fonts>
  <fills count="15">
    <fill>
      <patternFill patternType="none"/>
    </fill>
    <fill>
      <patternFill patternType="gray125"/>
    </fill>
    <fill>
      <patternFill patternType="solid">
        <fgColor indexed="43"/>
        <bgColor indexed="64"/>
      </patternFill>
    </fill>
    <fill>
      <patternFill patternType="solid">
        <fgColor indexed="41"/>
        <bgColor indexed="64"/>
      </patternFill>
    </fill>
    <fill>
      <patternFill patternType="solid">
        <fgColor indexed="22"/>
        <bgColor indexed="64"/>
      </patternFill>
    </fill>
    <fill>
      <patternFill patternType="solid">
        <fgColor indexed="13"/>
        <bgColor indexed="64"/>
      </patternFill>
    </fill>
    <fill>
      <patternFill patternType="solid">
        <fgColor rgb="FFFFFF00"/>
        <bgColor indexed="64"/>
      </patternFill>
    </fill>
    <fill>
      <patternFill patternType="solid">
        <fgColor indexed="42"/>
        <bgColor indexed="64"/>
      </patternFill>
    </fill>
    <fill>
      <patternFill patternType="solid">
        <fgColor theme="0" tint="-0.14999847407452621"/>
        <bgColor indexed="64"/>
      </patternFill>
    </fill>
    <fill>
      <patternFill patternType="solid">
        <fgColor theme="6" tint="0.79998168889431442"/>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8" tint="-0.249977111117893"/>
        <bgColor indexed="64"/>
      </patternFill>
    </fill>
    <fill>
      <patternFill patternType="solid">
        <fgColor theme="0" tint="-4.9989318521683403E-2"/>
        <bgColor indexed="64"/>
      </patternFill>
    </fill>
  </fills>
  <borders count="48">
    <border>
      <left/>
      <right/>
      <top/>
      <bottom/>
      <diagonal/>
    </border>
    <border>
      <left style="medium">
        <color indexed="64"/>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medium">
        <color indexed="64"/>
      </top>
      <bottom style="medium">
        <color indexed="64"/>
      </bottom>
      <diagonal/>
    </border>
    <border>
      <left style="thin">
        <color indexed="64"/>
      </left>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right/>
      <top style="medium">
        <color indexed="64"/>
      </top>
      <bottom/>
      <diagonal/>
    </border>
    <border>
      <left style="medium">
        <color indexed="64"/>
      </left>
      <right/>
      <top/>
      <bottom/>
      <diagonal/>
    </border>
    <border>
      <left/>
      <right style="medium">
        <color indexed="64"/>
      </right>
      <top/>
      <bottom/>
      <diagonal/>
    </border>
    <border>
      <left/>
      <right style="medium">
        <color indexed="64"/>
      </right>
      <top/>
      <bottom style="medium">
        <color indexed="64"/>
      </bottom>
      <diagonal/>
    </border>
    <border>
      <left/>
      <right/>
      <top style="medium">
        <color indexed="64"/>
      </top>
      <bottom style="double">
        <color indexed="64"/>
      </bottom>
      <diagonal/>
    </border>
    <border>
      <left style="medium">
        <color indexed="64"/>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style="thin">
        <color indexed="64"/>
      </right>
      <top style="double">
        <color indexed="64"/>
      </top>
      <bottom/>
      <diagonal/>
    </border>
    <border>
      <left style="thin">
        <color indexed="64"/>
      </left>
      <right/>
      <top style="double">
        <color indexed="64"/>
      </top>
      <bottom style="thin">
        <color indexed="64"/>
      </bottom>
      <diagonal/>
    </border>
    <border>
      <left/>
      <right style="thin">
        <color indexed="64"/>
      </right>
      <top style="double">
        <color indexed="64"/>
      </top>
      <bottom style="thin">
        <color indexed="64"/>
      </bottom>
      <diagonal/>
    </border>
    <border>
      <left/>
      <right style="medium">
        <color indexed="64"/>
      </right>
      <top style="double">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12">
    <xf numFmtId="0" fontId="0" fillId="0" borderId="0"/>
    <xf numFmtId="0" fontId="9" fillId="0" borderId="0"/>
    <xf numFmtId="43" fontId="9" fillId="0" borderId="0" applyFont="0" applyFill="0" applyBorder="0" applyAlignment="0" applyProtection="0"/>
    <xf numFmtId="0" fontId="12" fillId="0" borderId="0" applyNumberFormat="0" applyFill="0" applyBorder="0" applyAlignment="0" applyProtection="0">
      <alignment vertical="top"/>
      <protection locked="0"/>
    </xf>
    <xf numFmtId="44" fontId="13" fillId="0" borderId="0" applyFont="0" applyFill="0" applyBorder="0" applyAlignment="0" applyProtection="0"/>
    <xf numFmtId="43" fontId="13" fillId="0" borderId="0" applyFont="0" applyFill="0" applyBorder="0" applyAlignment="0" applyProtection="0"/>
    <xf numFmtId="0" fontId="3" fillId="0" borderId="0"/>
    <xf numFmtId="43" fontId="3" fillId="0" borderId="0" applyFont="0" applyFill="0" applyBorder="0" applyAlignment="0" applyProtection="0"/>
    <xf numFmtId="0" fontId="23" fillId="0" borderId="0"/>
    <xf numFmtId="0" fontId="2" fillId="0" borderId="0"/>
    <xf numFmtId="0" fontId="30" fillId="0" borderId="0" applyNumberFormat="0" applyFill="0" applyBorder="0" applyAlignment="0" applyProtection="0"/>
    <xf numFmtId="0" fontId="1" fillId="0" borderId="0"/>
  </cellStyleXfs>
  <cellXfs count="227">
    <xf numFmtId="0" fontId="0" fillId="0" borderId="0" xfId="0"/>
    <xf numFmtId="0" fontId="5" fillId="0" borderId="1" xfId="0" applyFont="1" applyBorder="1" applyAlignment="1">
      <alignment horizontal="center"/>
    </xf>
    <xf numFmtId="0" fontId="0" fillId="2" borderId="2" xfId="0" applyFill="1" applyBorder="1" applyAlignment="1">
      <alignment horizontal="center"/>
    </xf>
    <xf numFmtId="164" fontId="0" fillId="2" borderId="2" xfId="0" applyNumberFormat="1" applyFill="1" applyBorder="1" applyAlignment="1">
      <alignment horizontal="center"/>
    </xf>
    <xf numFmtId="0" fontId="0" fillId="0" borderId="2" xfId="0" applyBorder="1" applyAlignment="1">
      <alignment horizontal="center"/>
    </xf>
    <xf numFmtId="0" fontId="0" fillId="0" borderId="0" xfId="0" applyAlignment="1">
      <alignment horizontal="center"/>
    </xf>
    <xf numFmtId="0" fontId="0" fillId="3" borderId="0" xfId="0" applyFill="1"/>
    <xf numFmtId="0" fontId="7" fillId="0" borderId="0" xfId="0" applyFont="1"/>
    <xf numFmtId="0" fontId="8" fillId="0" borderId="0" xfId="0" applyFont="1"/>
    <xf numFmtId="0" fontId="9" fillId="0" borderId="0" xfId="1"/>
    <xf numFmtId="0" fontId="10" fillId="2" borderId="5" xfId="1" applyFont="1" applyFill="1" applyBorder="1" applyAlignment="1">
      <alignment horizontal="center"/>
    </xf>
    <xf numFmtId="0" fontId="10" fillId="2" borderId="6" xfId="1" applyFont="1" applyFill="1" applyBorder="1" applyAlignment="1">
      <alignment horizontal="center"/>
    </xf>
    <xf numFmtId="166" fontId="10" fillId="2" borderId="6" xfId="1" applyNumberFormat="1" applyFont="1" applyFill="1" applyBorder="1" applyAlignment="1">
      <alignment horizontal="center"/>
    </xf>
    <xf numFmtId="0" fontId="10" fillId="2" borderId="7" xfId="1" applyFont="1" applyFill="1" applyBorder="1" applyAlignment="1">
      <alignment horizontal="center"/>
    </xf>
    <xf numFmtId="0" fontId="9" fillId="5" borderId="0" xfId="1" applyFill="1" applyAlignment="1">
      <alignment horizontal="center"/>
    </xf>
    <xf numFmtId="0" fontId="9" fillId="5" borderId="0" xfId="1" applyFill="1"/>
    <xf numFmtId="167" fontId="9" fillId="5" borderId="0" xfId="1" applyNumberFormat="1" applyFill="1" applyAlignment="1">
      <alignment horizontal="center"/>
    </xf>
    <xf numFmtId="165" fontId="0" fillId="5" borderId="0" xfId="2" applyNumberFormat="1" applyFont="1" applyFill="1"/>
    <xf numFmtId="0" fontId="7" fillId="0" borderId="0" xfId="1" applyFont="1"/>
    <xf numFmtId="0" fontId="4" fillId="0" borderId="0" xfId="1" applyFont="1"/>
    <xf numFmtId="0" fontId="5" fillId="0" borderId="0" xfId="1" applyFont="1" applyAlignment="1">
      <alignment horizontal="center"/>
    </xf>
    <xf numFmtId="0" fontId="11" fillId="0" borderId="0" xfId="1" applyFont="1"/>
    <xf numFmtId="0" fontId="11" fillId="0" borderId="0" xfId="1" applyFont="1" applyAlignment="1">
      <alignment horizontal="center"/>
    </xf>
    <xf numFmtId="0" fontId="9" fillId="2" borderId="0" xfId="1" applyFill="1"/>
    <xf numFmtId="0" fontId="12" fillId="2" borderId="0" xfId="3" applyFill="1" applyAlignment="1" applyProtection="1"/>
    <xf numFmtId="0" fontId="9" fillId="0" borderId="0" xfId="1" applyAlignment="1">
      <alignment horizontal="center"/>
    </xf>
    <xf numFmtId="0" fontId="9" fillId="2" borderId="0" xfId="1" applyFill="1" applyAlignment="1">
      <alignment horizontal="center"/>
    </xf>
    <xf numFmtId="0" fontId="9" fillId="0" borderId="5" xfId="1" applyBorder="1"/>
    <xf numFmtId="0" fontId="9" fillId="0" borderId="7" xfId="1" applyBorder="1"/>
    <xf numFmtId="0" fontId="9" fillId="0" borderId="11" xfId="1" applyBorder="1"/>
    <xf numFmtId="0" fontId="9" fillId="0" borderId="12" xfId="1" applyBorder="1"/>
    <xf numFmtId="0" fontId="9" fillId="0" borderId="13" xfId="1" applyBorder="1"/>
    <xf numFmtId="0" fontId="9" fillId="0" borderId="14" xfId="1" applyBorder="1"/>
    <xf numFmtId="165" fontId="0" fillId="0" borderId="0" xfId="2" applyNumberFormat="1" applyFont="1"/>
    <xf numFmtId="0" fontId="10" fillId="2" borderId="15" xfId="1" applyFont="1" applyFill="1" applyBorder="1" applyAlignment="1">
      <alignment horizontal="center"/>
    </xf>
    <xf numFmtId="0" fontId="9" fillId="5" borderId="2" xfId="1" applyFill="1" applyBorder="1" applyAlignment="1">
      <alignment horizontal="center"/>
    </xf>
    <xf numFmtId="165" fontId="0" fillId="5" borderId="2" xfId="2" applyNumberFormat="1" applyFont="1" applyFill="1" applyBorder="1"/>
    <xf numFmtId="0" fontId="14" fillId="0" borderId="0" xfId="0" applyFont="1" applyBorder="1"/>
    <xf numFmtId="0" fontId="15" fillId="0" borderId="0" xfId="0" applyFont="1" applyAlignment="1">
      <alignment horizontal="center"/>
    </xf>
    <xf numFmtId="0" fontId="15" fillId="0" borderId="0" xfId="0" applyFont="1"/>
    <xf numFmtId="0" fontId="15" fillId="0" borderId="0" xfId="0" applyFont="1" applyBorder="1" applyAlignment="1">
      <alignment horizontal="center"/>
    </xf>
    <xf numFmtId="0" fontId="15" fillId="0" borderId="0" xfId="0" applyFont="1" applyAlignment="1">
      <alignment horizontal="right"/>
    </xf>
    <xf numFmtId="14" fontId="15" fillId="6" borderId="0" xfId="0" applyNumberFormat="1" applyFont="1" applyFill="1"/>
    <xf numFmtId="0" fontId="14" fillId="0" borderId="0" xfId="0" applyFont="1"/>
    <xf numFmtId="0" fontId="14" fillId="0" borderId="0" xfId="0" applyFont="1" applyAlignment="1">
      <alignment horizontal="center" wrapText="1"/>
    </xf>
    <xf numFmtId="0" fontId="16" fillId="0" borderId="0" xfId="0" applyFont="1" applyAlignment="1">
      <alignment horizontal="center" wrapText="1"/>
    </xf>
    <xf numFmtId="37" fontId="14" fillId="0" borderId="0" xfId="0" applyNumberFormat="1" applyFont="1" applyAlignment="1">
      <alignment horizontal="center" wrapText="1"/>
    </xf>
    <xf numFmtId="0" fontId="16" fillId="0" borderId="0" xfId="0" applyFont="1" applyAlignment="1">
      <alignment horizontal="right" wrapText="1"/>
    </xf>
    <xf numFmtId="0" fontId="16" fillId="0" borderId="0" xfId="0" applyFont="1" applyAlignment="1">
      <alignment horizontal="right"/>
    </xf>
    <xf numFmtId="14" fontId="15" fillId="0" borderId="0" xfId="0" applyNumberFormat="1" applyFont="1"/>
    <xf numFmtId="8" fontId="17" fillId="0" borderId="0" xfId="0" applyNumberFormat="1" applyFont="1" applyBorder="1" applyAlignment="1">
      <alignment horizontal="right" wrapText="1"/>
    </xf>
    <xf numFmtId="14" fontId="15" fillId="0" borderId="0" xfId="0" applyNumberFormat="1" applyFont="1" applyAlignment="1">
      <alignment horizontal="right"/>
    </xf>
    <xf numFmtId="0" fontId="18" fillId="0" borderId="0" xfId="0" applyFont="1"/>
    <xf numFmtId="14" fontId="15" fillId="6" borderId="0" xfId="0" applyNumberFormat="1" applyFont="1" applyFill="1" applyAlignment="1">
      <alignment horizontal="center"/>
    </xf>
    <xf numFmtId="168" fontId="15" fillId="6" borderId="0" xfId="4" applyNumberFormat="1" applyFont="1" applyFill="1"/>
    <xf numFmtId="37" fontId="15" fillId="6" borderId="0" xfId="0" applyNumberFormat="1" applyFont="1" applyFill="1"/>
    <xf numFmtId="165" fontId="15" fillId="6" borderId="0" xfId="5" applyNumberFormat="1" applyFont="1" applyFill="1"/>
    <xf numFmtId="165" fontId="15" fillId="0" borderId="0" xfId="5" applyNumberFormat="1" applyFont="1"/>
    <xf numFmtId="14" fontId="15" fillId="0" borderId="0" xfId="0" applyNumberFormat="1" applyFont="1" applyAlignment="1">
      <alignment horizontal="center"/>
    </xf>
    <xf numFmtId="37" fontId="15" fillId="0" borderId="0" xfId="0" applyNumberFormat="1" applyFont="1"/>
    <xf numFmtId="0" fontId="15" fillId="6" borderId="0" xfId="0" applyFont="1" applyFill="1"/>
    <xf numFmtId="0" fontId="19" fillId="0" borderId="0" xfId="6" applyFont="1" applyAlignment="1">
      <alignment horizontal="left"/>
    </xf>
    <xf numFmtId="0" fontId="3" fillId="0" borderId="0" xfId="6"/>
    <xf numFmtId="0" fontId="20" fillId="0" borderId="0" xfId="6" applyFont="1" applyAlignment="1">
      <alignment horizontal="center"/>
    </xf>
    <xf numFmtId="0" fontId="21" fillId="0" borderId="0" xfId="6" applyFont="1" applyAlignment="1">
      <alignment horizontal="center"/>
    </xf>
    <xf numFmtId="0" fontId="3" fillId="0" borderId="0" xfId="6" applyAlignment="1">
      <alignment horizontal="center"/>
    </xf>
    <xf numFmtId="43" fontId="22" fillId="0" borderId="0" xfId="7" applyNumberFormat="1" applyFont="1"/>
    <xf numFmtId="43" fontId="0" fillId="0" borderId="0" xfId="7" applyNumberFormat="1" applyFont="1"/>
    <xf numFmtId="0" fontId="5" fillId="0" borderId="21" xfId="1" applyFont="1" applyBorder="1" applyAlignment="1">
      <alignment horizontal="center"/>
    </xf>
    <xf numFmtId="0" fontId="14" fillId="0" borderId="21" xfId="1" applyFont="1" applyBorder="1" applyAlignment="1">
      <alignment horizontal="center"/>
    </xf>
    <xf numFmtId="0" fontId="14" fillId="0" borderId="3" xfId="1" applyFont="1" applyBorder="1" applyAlignment="1">
      <alignment horizontal="center"/>
    </xf>
    <xf numFmtId="0" fontId="6" fillId="0" borderId="0" xfId="1" applyFont="1" applyAlignment="1">
      <alignment horizontal="center"/>
    </xf>
    <xf numFmtId="169" fontId="9" fillId="5" borderId="2" xfId="1" applyNumberFormat="1" applyFill="1" applyBorder="1"/>
    <xf numFmtId="0" fontId="9" fillId="0" borderId="2" xfId="1" applyBorder="1"/>
    <xf numFmtId="170" fontId="9" fillId="2" borderId="2" xfId="1" applyNumberFormat="1" applyFill="1" applyBorder="1" applyAlignment="1">
      <alignment horizontal="center"/>
    </xf>
    <xf numFmtId="14" fontId="0" fillId="0" borderId="0" xfId="0" applyNumberFormat="1"/>
    <xf numFmtId="0" fontId="9" fillId="0" borderId="0" xfId="0" applyFont="1"/>
    <xf numFmtId="0" fontId="23" fillId="0" borderId="22" xfId="8" applyBorder="1" applyAlignment="1">
      <alignment horizontal="center"/>
    </xf>
    <xf numFmtId="0" fontId="23" fillId="0" borderId="23" xfId="8" applyFont="1" applyBorder="1"/>
    <xf numFmtId="0" fontId="24" fillId="0" borderId="2" xfId="8" applyFont="1" applyBorder="1"/>
    <xf numFmtId="0" fontId="24" fillId="0" borderId="2" xfId="8" applyFont="1" applyBorder="1" applyAlignment="1">
      <alignment horizontal="left"/>
    </xf>
    <xf numFmtId="0" fontId="23" fillId="0" borderId="2" xfId="8" applyBorder="1" applyAlignment="1">
      <alignment horizontal="center"/>
    </xf>
    <xf numFmtId="0" fontId="23" fillId="0" borderId="24" xfId="8" applyBorder="1" applyAlignment="1">
      <alignment horizontal="center"/>
    </xf>
    <xf numFmtId="0" fontId="23" fillId="0" borderId="25" xfId="8" applyFont="1" applyBorder="1"/>
    <xf numFmtId="0" fontId="23" fillId="0" borderId="25" xfId="8" applyBorder="1"/>
    <xf numFmtId="0" fontId="25" fillId="0" borderId="26" xfId="8" applyFont="1" applyBorder="1"/>
    <xf numFmtId="0" fontId="25" fillId="0" borderId="27" xfId="8" applyFont="1" applyBorder="1" applyAlignment="1">
      <alignment horizontal="left"/>
    </xf>
    <xf numFmtId="0" fontId="24" fillId="0" borderId="10" xfId="8" applyFont="1" applyBorder="1"/>
    <xf numFmtId="0" fontId="23" fillId="0" borderId="9" xfId="8" applyFont="1" applyBorder="1" applyAlignment="1">
      <alignment horizontal="left"/>
    </xf>
    <xf numFmtId="0" fontId="23" fillId="0" borderId="9" xfId="8" applyFont="1" applyBorder="1" applyAlignment="1">
      <alignment horizontal="center"/>
    </xf>
    <xf numFmtId="0" fontId="23" fillId="0" borderId="0" xfId="8"/>
    <xf numFmtId="0" fontId="24" fillId="0" borderId="2" xfId="8" applyFont="1" applyBorder="1" applyAlignment="1">
      <alignment horizontal="center"/>
    </xf>
    <xf numFmtId="0" fontId="23" fillId="0" borderId="0" xfId="8" applyFont="1" applyFill="1" applyBorder="1"/>
    <xf numFmtId="0" fontId="25" fillId="0" borderId="24" xfId="8" applyFont="1" applyBorder="1"/>
    <xf numFmtId="0" fontId="25" fillId="0" borderId="25" xfId="8" applyFont="1" applyBorder="1" applyAlignment="1">
      <alignment horizontal="left"/>
    </xf>
    <xf numFmtId="0" fontId="9" fillId="0" borderId="0" xfId="0" applyFont="1" applyAlignment="1">
      <alignment horizontal="center"/>
    </xf>
    <xf numFmtId="1" fontId="0" fillId="0" borderId="0" xfId="0" applyNumberFormat="1"/>
    <xf numFmtId="0" fontId="0" fillId="0" borderId="0" xfId="0" applyAlignment="1">
      <alignment horizontal="center"/>
    </xf>
    <xf numFmtId="0" fontId="4" fillId="0" borderId="0" xfId="0" applyFont="1"/>
    <xf numFmtId="165" fontId="9" fillId="0" borderId="0" xfId="1" applyNumberFormat="1"/>
    <xf numFmtId="14" fontId="9" fillId="5" borderId="0" xfId="1" applyNumberFormat="1" applyFill="1"/>
    <xf numFmtId="0" fontId="8" fillId="0" borderId="0" xfId="1" applyFont="1"/>
    <xf numFmtId="14" fontId="8" fillId="7" borderId="0" xfId="1" applyNumberFormat="1" applyFont="1" applyFill="1"/>
    <xf numFmtId="0" fontId="10" fillId="2" borderId="2" xfId="1" applyFont="1" applyFill="1" applyBorder="1" applyAlignment="1">
      <alignment horizontal="center"/>
    </xf>
    <xf numFmtId="0" fontId="10" fillId="2" borderId="25" xfId="1" applyFont="1" applyFill="1" applyBorder="1" applyAlignment="1">
      <alignment horizontal="center"/>
    </xf>
    <xf numFmtId="0" fontId="10" fillId="2" borderId="29" xfId="1" applyFont="1" applyFill="1" applyBorder="1" applyAlignment="1">
      <alignment horizontal="center"/>
    </xf>
    <xf numFmtId="0" fontId="9" fillId="5" borderId="0" xfId="1" applyFill="1" applyBorder="1" applyAlignment="1">
      <alignment horizontal="center"/>
    </xf>
    <xf numFmtId="0" fontId="9" fillId="5" borderId="0" xfId="1" applyFill="1" applyBorder="1"/>
    <xf numFmtId="165" fontId="0" fillId="5" borderId="0" xfId="2" applyNumberFormat="1" applyFont="1" applyFill="1" applyBorder="1"/>
    <xf numFmtId="14" fontId="9" fillId="5" borderId="0" xfId="1" applyNumberFormat="1" applyFill="1" applyBorder="1" applyAlignment="1">
      <alignment horizontal="center"/>
    </xf>
    <xf numFmtId="43" fontId="9" fillId="0" borderId="0" xfId="1" applyNumberFormat="1"/>
    <xf numFmtId="43" fontId="0" fillId="5" borderId="2" xfId="2" applyNumberFormat="1" applyFont="1" applyFill="1" applyBorder="1"/>
    <xf numFmtId="43" fontId="0" fillId="5" borderId="2" xfId="2" applyNumberFormat="1" applyFont="1" applyFill="1" applyBorder="1" applyAlignment="1">
      <alignment horizontal="center"/>
    </xf>
    <xf numFmtId="165" fontId="0" fillId="5" borderId="0" xfId="2" applyNumberFormat="1" applyFont="1" applyFill="1" applyBorder="1" applyAlignment="1">
      <alignment horizontal="center"/>
    </xf>
    <xf numFmtId="171" fontId="0" fillId="5" borderId="0" xfId="2" applyNumberFormat="1" applyFont="1" applyFill="1" applyBorder="1" applyAlignment="1">
      <alignment horizontal="center"/>
    </xf>
    <xf numFmtId="0" fontId="9" fillId="5" borderId="0" xfId="1" applyFont="1" applyFill="1" applyBorder="1"/>
    <xf numFmtId="0" fontId="9" fillId="0" borderId="0" xfId="1" applyFont="1"/>
    <xf numFmtId="0" fontId="27" fillId="0" borderId="21" xfId="0" applyFont="1" applyBorder="1" applyAlignment="1">
      <alignment vertical="center"/>
    </xf>
    <xf numFmtId="0" fontId="27" fillId="0" borderId="21" xfId="0" applyFont="1" applyBorder="1" applyAlignment="1">
      <alignment horizontal="center" vertical="center"/>
    </xf>
    <xf numFmtId="0" fontId="0" fillId="0" borderId="5" xfId="0" applyBorder="1" applyAlignment="1">
      <alignment vertical="center" wrapText="1"/>
    </xf>
    <xf numFmtId="0" fontId="0" fillId="0" borderId="6" xfId="0" applyBorder="1" applyAlignment="1">
      <alignment horizontal="center" vertical="center" wrapText="1"/>
    </xf>
    <xf numFmtId="0" fontId="0" fillId="0" borderId="7" xfId="0" applyBorder="1" applyAlignment="1">
      <alignment vertical="center" wrapText="1"/>
    </xf>
    <xf numFmtId="0" fontId="0" fillId="0" borderId="11" xfId="0" applyBorder="1" applyAlignment="1">
      <alignment vertical="center" wrapText="1"/>
    </xf>
    <xf numFmtId="0" fontId="0" fillId="0" borderId="2" xfId="0" applyBorder="1" applyAlignment="1">
      <alignment horizontal="center" vertical="center" wrapText="1"/>
    </xf>
    <xf numFmtId="0" fontId="0" fillId="0" borderId="12" xfId="0" applyBorder="1" applyAlignment="1">
      <alignment vertical="center" wrapText="1"/>
    </xf>
    <xf numFmtId="0" fontId="0" fillId="9" borderId="5" xfId="0" applyFill="1" applyBorder="1" applyAlignment="1">
      <alignment vertical="center" wrapText="1"/>
    </xf>
    <xf numFmtId="0" fontId="0" fillId="9" borderId="6" xfId="0" applyFill="1" applyBorder="1" applyAlignment="1">
      <alignment horizontal="center" vertical="center" wrapText="1"/>
    </xf>
    <xf numFmtId="0" fontId="0" fillId="9" borderId="7" xfId="0" applyFill="1" applyBorder="1" applyAlignment="1">
      <alignment vertical="center" wrapText="1"/>
    </xf>
    <xf numFmtId="0" fontId="0" fillId="9" borderId="11" xfId="0" applyFill="1" applyBorder="1" applyAlignment="1">
      <alignment vertical="center" wrapText="1"/>
    </xf>
    <xf numFmtId="0" fontId="0" fillId="9" borderId="2" xfId="0" applyFill="1" applyBorder="1" applyAlignment="1">
      <alignment horizontal="center" vertical="center" wrapText="1"/>
    </xf>
    <xf numFmtId="0" fontId="0" fillId="9" borderId="12" xfId="0" applyFill="1" applyBorder="1" applyAlignment="1">
      <alignment vertical="center" wrapText="1"/>
    </xf>
    <xf numFmtId="0" fontId="0" fillId="10" borderId="11" xfId="0" applyFill="1" applyBorder="1" applyAlignment="1">
      <alignment vertical="center" wrapText="1"/>
    </xf>
    <xf numFmtId="0" fontId="28" fillId="10" borderId="2" xfId="0" applyFont="1" applyFill="1" applyBorder="1" applyAlignment="1">
      <alignment horizontal="center" vertical="center" wrapText="1"/>
    </xf>
    <xf numFmtId="0" fontId="0" fillId="10" borderId="12" xfId="0" applyFill="1" applyBorder="1" applyAlignment="1">
      <alignment vertical="center" wrapText="1"/>
    </xf>
    <xf numFmtId="0" fontId="0" fillId="10" borderId="2" xfId="0" applyFill="1" applyBorder="1" applyAlignment="1">
      <alignment horizontal="center" vertical="center" wrapText="1"/>
    </xf>
    <xf numFmtId="0" fontId="0" fillId="11" borderId="11" xfId="0" applyFill="1" applyBorder="1" applyAlignment="1">
      <alignment vertical="center" wrapText="1"/>
    </xf>
    <xf numFmtId="0" fontId="0" fillId="11" borderId="2" xfId="0" applyFill="1" applyBorder="1" applyAlignment="1">
      <alignment horizontal="center" vertical="center" wrapText="1"/>
    </xf>
    <xf numFmtId="0" fontId="0" fillId="11" borderId="12" xfId="0" applyFill="1" applyBorder="1" applyAlignment="1">
      <alignment vertical="center" wrapText="1"/>
    </xf>
    <xf numFmtId="0" fontId="28" fillId="11" borderId="2" xfId="0" applyFont="1" applyFill="1" applyBorder="1" applyAlignment="1">
      <alignment horizontal="center" vertical="center" wrapText="1"/>
    </xf>
    <xf numFmtId="0" fontId="0" fillId="12" borderId="11" xfId="0" applyFill="1" applyBorder="1" applyAlignment="1">
      <alignment vertical="center" wrapText="1"/>
    </xf>
    <xf numFmtId="0" fontId="0" fillId="12" borderId="2" xfId="0" applyFill="1" applyBorder="1" applyAlignment="1">
      <alignment horizontal="center" vertical="center" wrapText="1"/>
    </xf>
    <xf numFmtId="0" fontId="0" fillId="12" borderId="12" xfId="0" applyFill="1" applyBorder="1" applyAlignment="1">
      <alignment vertical="center" wrapText="1"/>
    </xf>
    <xf numFmtId="0" fontId="0" fillId="12" borderId="30" xfId="0" applyFill="1" applyBorder="1" applyAlignment="1">
      <alignment vertical="center" wrapText="1"/>
    </xf>
    <xf numFmtId="0" fontId="28" fillId="12" borderId="26" xfId="0" applyFont="1" applyFill="1" applyBorder="1" applyAlignment="1">
      <alignment horizontal="center" vertical="center" wrapText="1"/>
    </xf>
    <xf numFmtId="0" fontId="0" fillId="12" borderId="31" xfId="0" applyFill="1" applyBorder="1" applyAlignment="1">
      <alignment vertical="center" wrapText="1"/>
    </xf>
    <xf numFmtId="0" fontId="2" fillId="0" borderId="0" xfId="9"/>
    <xf numFmtId="0" fontId="8" fillId="0" borderId="9" xfId="9" applyFont="1" applyBorder="1" applyAlignment="1">
      <alignment horizontal="left" vertical="top" wrapText="1"/>
    </xf>
    <xf numFmtId="0" fontId="10" fillId="0" borderId="36" xfId="9" applyFont="1" applyBorder="1" applyAlignment="1">
      <alignment horizontal="center" vertical="top" wrapText="1"/>
    </xf>
    <xf numFmtId="0" fontId="2" fillId="0" borderId="10" xfId="9" applyBorder="1"/>
    <xf numFmtId="0" fontId="10" fillId="0" borderId="33" xfId="9" applyFont="1" applyBorder="1" applyAlignment="1">
      <alignment horizontal="left" vertical="top" wrapText="1"/>
    </xf>
    <xf numFmtId="0" fontId="29" fillId="0" borderId="0" xfId="9" applyFont="1" applyBorder="1" applyAlignment="1">
      <alignment horizontal="center" vertical="top" wrapText="1"/>
    </xf>
    <xf numFmtId="10" fontId="29" fillId="0" borderId="0" xfId="9" applyNumberFormat="1" applyFont="1" applyBorder="1" applyAlignment="1">
      <alignment horizontal="right" vertical="top" wrapText="1"/>
    </xf>
    <xf numFmtId="172" fontId="29" fillId="0" borderId="0" xfId="9" applyNumberFormat="1" applyFont="1" applyBorder="1" applyAlignment="1">
      <alignment horizontal="left" vertical="top" wrapText="1"/>
    </xf>
    <xf numFmtId="0" fontId="10" fillId="0" borderId="34" xfId="9" applyFont="1" applyBorder="1" applyAlignment="1">
      <alignment horizontal="left" vertical="top" wrapText="1"/>
    </xf>
    <xf numFmtId="10" fontId="29" fillId="0" borderId="0" xfId="9" applyNumberFormat="1" applyFont="1" applyBorder="1" applyAlignment="1">
      <alignment horizontal="left" vertical="top" wrapText="1"/>
    </xf>
    <xf numFmtId="0" fontId="10" fillId="0" borderId="19" xfId="9" applyFont="1" applyBorder="1" applyAlignment="1">
      <alignment horizontal="left" vertical="top" wrapText="1"/>
    </xf>
    <xf numFmtId="0" fontId="29" fillId="0" borderId="20" xfId="9" applyFont="1" applyBorder="1" applyAlignment="1">
      <alignment horizontal="center" vertical="top" wrapText="1"/>
    </xf>
    <xf numFmtId="10" fontId="29" fillId="0" borderId="20" xfId="9" applyNumberFormat="1" applyFont="1" applyBorder="1" applyAlignment="1">
      <alignment horizontal="right" vertical="top" wrapText="1"/>
    </xf>
    <xf numFmtId="10" fontId="29" fillId="0" borderId="20" xfId="9" applyNumberFormat="1" applyFont="1" applyBorder="1" applyAlignment="1">
      <alignment horizontal="left" vertical="top" wrapText="1"/>
    </xf>
    <xf numFmtId="0" fontId="10" fillId="0" borderId="35" xfId="9" applyFont="1" applyBorder="1" applyAlignment="1">
      <alignment horizontal="left" vertical="top" wrapText="1"/>
    </xf>
    <xf numFmtId="0" fontId="30" fillId="2" borderId="0" xfId="10" applyFill="1" applyAlignment="1" applyProtection="1"/>
    <xf numFmtId="0" fontId="5" fillId="0" borderId="22" xfId="0" applyFont="1" applyBorder="1" applyAlignment="1">
      <alignment horizontal="center"/>
    </xf>
    <xf numFmtId="0" fontId="5" fillId="0" borderId="44" xfId="0" applyFont="1" applyBorder="1" applyAlignment="1">
      <alignment horizontal="center"/>
    </xf>
    <xf numFmtId="172" fontId="0" fillId="12" borderId="11" xfId="0" applyNumberFormat="1" applyFill="1" applyBorder="1" applyAlignment="1">
      <alignment horizontal="center"/>
    </xf>
    <xf numFmtId="165" fontId="0" fillId="12" borderId="2" xfId="2" applyNumberFormat="1" applyFont="1" applyFill="1" applyBorder="1" applyAlignment="1">
      <alignment horizontal="center"/>
    </xf>
    <xf numFmtId="165" fontId="0" fillId="12" borderId="12" xfId="2" applyNumberFormat="1" applyFont="1" applyFill="1" applyBorder="1" applyAlignment="1">
      <alignment horizontal="center"/>
    </xf>
    <xf numFmtId="172" fontId="0" fillId="12" borderId="13" xfId="0" applyNumberFormat="1" applyFill="1" applyBorder="1" applyAlignment="1">
      <alignment horizontal="center"/>
    </xf>
    <xf numFmtId="165" fontId="0" fillId="12" borderId="45" xfId="2" applyNumberFormat="1" applyFont="1" applyFill="1" applyBorder="1" applyAlignment="1">
      <alignment horizontal="center"/>
    </xf>
    <xf numFmtId="165" fontId="0" fillId="12" borderId="14" xfId="2" applyNumberFormat="1" applyFont="1" applyFill="1" applyBorder="1" applyAlignment="1">
      <alignment horizontal="center"/>
    </xf>
    <xf numFmtId="0" fontId="0" fillId="0" borderId="0" xfId="0" applyAlignment="1">
      <alignment wrapText="1"/>
    </xf>
    <xf numFmtId="0" fontId="5" fillId="0" borderId="5" xfId="1" applyFont="1" applyFill="1" applyBorder="1" applyAlignment="1">
      <alignment horizontal="center"/>
    </xf>
    <xf numFmtId="166" fontId="5" fillId="0" borderId="6" xfId="1" applyNumberFormat="1" applyFont="1" applyFill="1" applyBorder="1" applyAlignment="1">
      <alignment horizontal="center" wrapText="1"/>
    </xf>
    <xf numFmtId="0" fontId="5" fillId="0" borderId="6" xfId="1" applyFont="1" applyFill="1" applyBorder="1" applyAlignment="1">
      <alignment horizontal="center"/>
    </xf>
    <xf numFmtId="0" fontId="1" fillId="0" borderId="0" xfId="11"/>
    <xf numFmtId="167" fontId="9" fillId="5" borderId="2" xfId="1" applyNumberFormat="1" applyFill="1" applyBorder="1" applyAlignment="1">
      <alignment horizontal="center"/>
    </xf>
    <xf numFmtId="165" fontId="0" fillId="5" borderId="2" xfId="2" applyNumberFormat="1" applyFont="1" applyFill="1" applyBorder="1" applyAlignment="1">
      <alignment horizontal="center"/>
    </xf>
    <xf numFmtId="165" fontId="9" fillId="5" borderId="2" xfId="2" applyNumberFormat="1" applyFont="1" applyFill="1" applyBorder="1" applyAlignment="1">
      <alignment horizontal="center"/>
    </xf>
    <xf numFmtId="0" fontId="4" fillId="4" borderId="3" xfId="0" applyFont="1" applyFill="1" applyBorder="1" applyAlignment="1">
      <alignment horizontal="center"/>
    </xf>
    <xf numFmtId="0" fontId="4" fillId="4" borderId="4" xfId="0" applyFont="1" applyFill="1" applyBorder="1" applyAlignment="1">
      <alignment horizontal="center"/>
    </xf>
    <xf numFmtId="0" fontId="7" fillId="0" borderId="0" xfId="1" applyFont="1" applyAlignment="1">
      <alignment horizontal="center"/>
    </xf>
    <xf numFmtId="0" fontId="8" fillId="4" borderId="3" xfId="9" applyFont="1" applyFill="1" applyBorder="1" applyAlignment="1">
      <alignment horizontal="center" vertical="top" wrapText="1"/>
    </xf>
    <xf numFmtId="0" fontId="8" fillId="4" borderId="28" xfId="9" applyFont="1" applyFill="1" applyBorder="1" applyAlignment="1">
      <alignment horizontal="center" vertical="top" wrapText="1"/>
    </xf>
    <xf numFmtId="0" fontId="8" fillId="4" borderId="4" xfId="9" applyFont="1" applyFill="1" applyBorder="1" applyAlignment="1">
      <alignment horizontal="center" vertical="top" wrapText="1"/>
    </xf>
    <xf numFmtId="0" fontId="10" fillId="0" borderId="36" xfId="9" applyFont="1" applyBorder="1" applyAlignment="1">
      <alignment horizontal="center" vertical="top" wrapText="1"/>
    </xf>
    <xf numFmtId="0" fontId="5" fillId="0" borderId="8" xfId="1" applyFont="1" applyBorder="1" applyAlignment="1">
      <alignment horizontal="center"/>
    </xf>
    <xf numFmtId="9" fontId="9" fillId="0" borderId="19" xfId="0" applyNumberFormat="1" applyFont="1" applyBorder="1" applyAlignment="1">
      <alignment horizontal="center"/>
    </xf>
    <xf numFmtId="9" fontId="9" fillId="0" borderId="20" xfId="0" applyNumberFormat="1" applyFont="1" applyBorder="1" applyAlignment="1">
      <alignment horizontal="center"/>
    </xf>
    <xf numFmtId="9" fontId="9" fillId="0" borderId="35" xfId="0" applyNumberFormat="1" applyFont="1" applyBorder="1" applyAlignment="1">
      <alignment horizontal="center"/>
    </xf>
    <xf numFmtId="0" fontId="31" fillId="13" borderId="37" xfId="0" applyFont="1" applyFill="1" applyBorder="1" applyAlignment="1">
      <alignment horizontal="center"/>
    </xf>
    <xf numFmtId="0" fontId="31" fillId="13" borderId="36" xfId="0" applyFont="1" applyFill="1" applyBorder="1" applyAlignment="1">
      <alignment horizontal="center"/>
    </xf>
    <xf numFmtId="0" fontId="31" fillId="13" borderId="38" xfId="0" applyFont="1" applyFill="1" applyBorder="1" applyAlignment="1">
      <alignment horizontal="center"/>
    </xf>
    <xf numFmtId="0" fontId="5" fillId="0" borderId="39" xfId="0" applyFont="1" applyBorder="1" applyAlignment="1">
      <alignment horizontal="center"/>
    </xf>
    <xf numFmtId="0" fontId="5" fillId="0" borderId="43" xfId="0" applyFont="1" applyBorder="1" applyAlignment="1">
      <alignment horizontal="center"/>
    </xf>
    <xf numFmtId="0" fontId="5" fillId="10" borderId="40" xfId="0" applyFont="1" applyFill="1" applyBorder="1" applyAlignment="1">
      <alignment horizontal="center"/>
    </xf>
    <xf numFmtId="0" fontId="5" fillId="10" borderId="41" xfId="0" applyFont="1" applyFill="1" applyBorder="1" applyAlignment="1">
      <alignment horizontal="center"/>
    </xf>
    <xf numFmtId="0" fontId="5" fillId="10" borderId="42" xfId="0" applyFont="1" applyFill="1" applyBorder="1" applyAlignment="1">
      <alignment horizontal="center"/>
    </xf>
    <xf numFmtId="0" fontId="5" fillId="0" borderId="9" xfId="1" applyFont="1" applyBorder="1" applyAlignment="1">
      <alignment horizontal="center"/>
    </xf>
    <xf numFmtId="0" fontId="5" fillId="0" borderId="10" xfId="1" applyFont="1" applyBorder="1" applyAlignment="1">
      <alignment horizontal="center"/>
    </xf>
    <xf numFmtId="0" fontId="14" fillId="0" borderId="16" xfId="0" applyFont="1" applyBorder="1" applyAlignment="1">
      <alignment horizontal="center"/>
    </xf>
    <xf numFmtId="0" fontId="15" fillId="0" borderId="17" xfId="0" applyFont="1" applyBorder="1" applyAlignment="1">
      <alignment horizontal="center"/>
    </xf>
    <xf numFmtId="0" fontId="15" fillId="0" borderId="18" xfId="0" applyFont="1" applyBorder="1" applyAlignment="1">
      <alignment horizontal="center"/>
    </xf>
    <xf numFmtId="0" fontId="14" fillId="0" borderId="18" xfId="0" applyFont="1" applyBorder="1" applyAlignment="1">
      <alignment horizontal="center"/>
    </xf>
    <xf numFmtId="0" fontId="4" fillId="0" borderId="19" xfId="1" applyFont="1" applyBorder="1" applyAlignment="1">
      <alignment horizontal="center"/>
    </xf>
    <xf numFmtId="0" fontId="4" fillId="0" borderId="20" xfId="1" applyFont="1" applyBorder="1" applyAlignment="1">
      <alignment horizontal="center"/>
    </xf>
    <xf numFmtId="0" fontId="0" fillId="0" borderId="0" xfId="0" applyAlignment="1">
      <alignment horizontal="center"/>
    </xf>
    <xf numFmtId="0" fontId="23" fillId="4" borderId="3" xfId="8" applyFill="1" applyBorder="1" applyAlignment="1">
      <alignment horizontal="center"/>
    </xf>
    <xf numFmtId="0" fontId="23" fillId="4" borderId="28" xfId="8" applyFill="1" applyBorder="1" applyAlignment="1">
      <alignment horizontal="center"/>
    </xf>
    <xf numFmtId="0" fontId="23" fillId="4" borderId="4" xfId="8" applyFill="1" applyBorder="1" applyAlignment="1">
      <alignment horizontal="center"/>
    </xf>
    <xf numFmtId="0" fontId="0" fillId="12" borderId="19" xfId="0" applyFill="1" applyBorder="1" applyAlignment="1">
      <alignment horizontal="left" vertical="center" wrapText="1"/>
    </xf>
    <xf numFmtId="0" fontId="0" fillId="12" borderId="20" xfId="0" applyFill="1" applyBorder="1" applyAlignment="1">
      <alignment horizontal="left" vertical="center" wrapText="1"/>
    </xf>
    <xf numFmtId="0" fontId="0" fillId="12" borderId="35" xfId="0" applyFill="1" applyBorder="1" applyAlignment="1">
      <alignment horizontal="left" vertical="center" wrapText="1"/>
    </xf>
    <xf numFmtId="0" fontId="26" fillId="8" borderId="3" xfId="0" applyFont="1" applyFill="1" applyBorder="1" applyAlignment="1">
      <alignment horizontal="left"/>
    </xf>
    <xf numFmtId="0" fontId="26" fillId="8" borderId="28" xfId="0" applyFont="1" applyFill="1" applyBorder="1" applyAlignment="1">
      <alignment horizontal="left"/>
    </xf>
    <xf numFmtId="0" fontId="26" fillId="8" borderId="4" xfId="0" applyFont="1" applyFill="1" applyBorder="1" applyAlignment="1">
      <alignment horizontal="left"/>
    </xf>
    <xf numFmtId="0" fontId="0" fillId="9" borderId="9" xfId="0" applyFill="1" applyBorder="1" applyAlignment="1">
      <alignment horizontal="left" vertical="center" wrapText="1"/>
    </xf>
    <xf numFmtId="0" fontId="0" fillId="9" borderId="32" xfId="0" applyFill="1" applyBorder="1" applyAlignment="1">
      <alignment horizontal="left" vertical="center" wrapText="1"/>
    </xf>
    <xf numFmtId="0" fontId="0" fillId="9" borderId="10" xfId="0" applyFill="1" applyBorder="1" applyAlignment="1">
      <alignment horizontal="left" vertical="center" wrapText="1"/>
    </xf>
    <xf numFmtId="0" fontId="0" fillId="10" borderId="33" xfId="0" applyFill="1" applyBorder="1" applyAlignment="1">
      <alignment horizontal="left" vertical="center" wrapText="1"/>
    </xf>
    <xf numFmtId="0" fontId="0" fillId="10" borderId="0" xfId="0" applyFill="1" applyBorder="1" applyAlignment="1">
      <alignment horizontal="left" vertical="center" wrapText="1"/>
    </xf>
    <xf numFmtId="0" fontId="0" fillId="10" borderId="34" xfId="0" applyFill="1" applyBorder="1" applyAlignment="1">
      <alignment horizontal="left" vertical="center" wrapText="1"/>
    </xf>
    <xf numFmtId="0" fontId="0" fillId="11" borderId="33" xfId="0" applyFill="1" applyBorder="1" applyAlignment="1">
      <alignment horizontal="left" vertical="center" wrapText="1"/>
    </xf>
    <xf numFmtId="0" fontId="0" fillId="11" borderId="0" xfId="0" applyFill="1" applyBorder="1" applyAlignment="1">
      <alignment horizontal="left" vertical="center" wrapText="1"/>
    </xf>
    <xf numFmtId="0" fontId="0" fillId="11" borderId="34" xfId="0" applyFill="1" applyBorder="1" applyAlignment="1">
      <alignment horizontal="left" vertical="center" wrapText="1"/>
    </xf>
    <xf numFmtId="0" fontId="32" fillId="14" borderId="1" xfId="0" applyFont="1" applyFill="1" applyBorder="1" applyAlignment="1">
      <alignment horizontal="center" wrapText="1"/>
    </xf>
    <xf numFmtId="0" fontId="32" fillId="14" borderId="46" xfId="0" applyFont="1" applyFill="1" applyBorder="1" applyAlignment="1">
      <alignment horizontal="center" wrapText="1"/>
    </xf>
    <xf numFmtId="0" fontId="32" fillId="14" borderId="47" xfId="0" applyFont="1" applyFill="1" applyBorder="1" applyAlignment="1">
      <alignment horizontal="center" wrapText="1"/>
    </xf>
    <xf numFmtId="0" fontId="10" fillId="2" borderId="6" xfId="1" applyFont="1" applyFill="1" applyBorder="1" applyAlignment="1">
      <alignment horizontal="center" wrapText="1"/>
    </xf>
  </cellXfs>
  <cellStyles count="12">
    <cellStyle name="Comma 2" xfId="2" xr:uid="{00000000-0005-0000-0000-000000000000}"/>
    <cellStyle name="Comma 2 2" xfId="5" xr:uid="{00000000-0005-0000-0000-000001000000}"/>
    <cellStyle name="Comma 3" xfId="7" xr:uid="{00000000-0005-0000-0000-000002000000}"/>
    <cellStyle name="Currency" xfId="4" builtinId="4"/>
    <cellStyle name="Hyperlink" xfId="3" builtinId="8"/>
    <cellStyle name="Hyperlink 2" xfId="10" xr:uid="{00000000-0005-0000-0000-000005000000}"/>
    <cellStyle name="Normal" xfId="0" builtinId="0"/>
    <cellStyle name="Normal 2" xfId="1" xr:uid="{00000000-0005-0000-0000-000007000000}"/>
    <cellStyle name="Normal 3" xfId="6" xr:uid="{00000000-0005-0000-0000-000008000000}"/>
    <cellStyle name="Normal 4" xfId="9" xr:uid="{00000000-0005-0000-0000-000009000000}"/>
    <cellStyle name="Normal 5" xfId="11" xr:uid="{465C07D5-882F-4041-9F07-6728241C148F}"/>
    <cellStyle name="Normal_IRS Funding - Copy" xfId="8" xr:uid="{00000000-0005-0000-0000-00000A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1.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6.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2.xml"/><Relationship Id="rId30" Type="http://schemas.openxmlformats.org/officeDocument/2006/relationships/externalLink" Target="externalLinks/externalLink5.xml"/><Relationship Id="rId35"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Guodong/Pension/FundPPA.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xm1jk7r/Documents/Guodong%20on%20C/Excel/Excel/201/4.2%20Chart.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Review%201/H/Private%20-%20Li/Pleasure/Weight%20Control.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Guodong/Pension/FASB158.xlsm"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Review%201/H/Maryville/Maryville%20-%20Key%20Files/ACSC%20201%20and%20301/Tests%20and%20Exams/Test%201.1-5.5%20-%20Count%20&amp;%20Annuity%20&amp;%20Statement%20&amp;%20Rate%20Chart%20&amp;%20Pivot.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Review/Pending/Model%20FAS%20158%20Disclosur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Y"/>
      <sheetName val="TY"/>
      <sheetName val="NY"/>
      <sheetName val="BasePY"/>
      <sheetName val="Contrib"/>
      <sheetName val="Input"/>
      <sheetName val="Liability"/>
      <sheetName val="ProVal"/>
      <sheetName val="Analysis"/>
      <sheetName val="ProValInfo"/>
      <sheetName val="ProVal0"/>
      <sheetName val="ProVal1"/>
      <sheetName val="PartD"/>
      <sheetName val="Major"/>
      <sheetName val="C"/>
      <sheetName val="DiscAC"/>
      <sheetName val="Disc C"/>
      <sheetName val="B"/>
      <sheetName val="AM"/>
      <sheetName val="Plan"/>
      <sheetName val="YC"/>
      <sheetName val="Rate"/>
      <sheetName val="Note"/>
      <sheetName val="Table"/>
      <sheetName val="Cover"/>
      <sheetName val="Data"/>
      <sheetName val="Result"/>
      <sheetName val="FT"/>
      <sheetName val="AS"/>
      <sheetName val="AV"/>
      <sheetName val="Return"/>
      <sheetName val="ROR"/>
      <sheetName val="SchSB"/>
      <sheetName val="Election"/>
      <sheetName val="AFN"/>
      <sheetName val="4010"/>
      <sheetName val="GL"/>
      <sheetName val="Stat"/>
      <sheetName val="Sum"/>
      <sheetName val="At-Risk"/>
      <sheetName val="At-Risk max"/>
      <sheetName val="Burn CB"/>
      <sheetName val="Shortfall"/>
      <sheetName val="Base"/>
      <sheetName val="ASC 960"/>
      <sheetName val="FB"/>
      <sheetName val="min"/>
      <sheetName val="max"/>
      <sheetName val="Qtrly"/>
      <sheetName val="PBGC"/>
      <sheetName val="PBGC F"/>
      <sheetName val="SB"/>
      <sheetName val="Calendar"/>
      <sheetName val="AFTAP"/>
      <sheetName val="X"/>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5">
          <cell r="I5">
            <v>40909</v>
          </cell>
        </row>
      </sheetData>
      <sheetData sheetId="19"/>
      <sheetData sheetId="20"/>
      <sheetData sheetId="21"/>
      <sheetData sheetId="22"/>
      <sheetData sheetId="23">
        <row r="3">
          <cell r="J3" t="str">
            <v>Market Value</v>
          </cell>
          <cell r="K3" t="str">
            <v>Reg 1.412(c)(2)-1(c) &amp; RP 2000-40 Sec 4.10</v>
          </cell>
        </row>
        <row r="4">
          <cell r="J4" t="str">
            <v>Average Value</v>
          </cell>
          <cell r="K4" t="str">
            <v>Reg 1.412(c)(2)-1(b)(7) &amp; RP 2000-40 Sec 4.11</v>
          </cell>
        </row>
        <row r="5">
          <cell r="J5" t="str">
            <v>Average Value</v>
          </cell>
          <cell r="K5" t="str">
            <v>Reg 1.412(c)(2)-1(b)(7) &amp; RP 2000-40 Sec 4.12, Phase-in</v>
          </cell>
        </row>
        <row r="6">
          <cell r="J6" t="str">
            <v>Expected AV1</v>
          </cell>
          <cell r="K6" t="str">
            <v>Recognize G/L as equal payments</v>
          </cell>
        </row>
        <row r="7">
          <cell r="J7" t="str">
            <v>Expected AV2</v>
          </cell>
          <cell r="K7" t="str">
            <v>Adjust AV toward MV by fixed %</v>
          </cell>
        </row>
        <row r="8">
          <cell r="J8" t="str">
            <v>Smoothed Value</v>
          </cell>
          <cell r="K8" t="str">
            <v>Rev Proc 2000-40 Sec 4.15</v>
          </cell>
        </row>
        <row r="9">
          <cell r="J9" t="str">
            <v>Smoothed Value</v>
          </cell>
          <cell r="K9" t="str">
            <v>Rev Proc 2000-40 Sec 4.16, Phase-in</v>
          </cell>
        </row>
        <row r="10">
          <cell r="J10" t="str">
            <v>Average Value</v>
          </cell>
          <cell r="K10" t="str">
            <v>Reg 1.412(c)(2)-1(b)(7) &amp; RP 2000-40 Sec 4.17, Phase-in</v>
          </cell>
        </row>
        <row r="11">
          <cell r="J11" t="str">
            <v>Undefined</v>
          </cell>
          <cell r="K11" t="str">
            <v>Undefined</v>
          </cell>
        </row>
        <row r="12">
          <cell r="J12" t="str">
            <v>Undefined</v>
          </cell>
          <cell r="K12" t="str">
            <v>Undefined</v>
          </cell>
        </row>
        <row r="13">
          <cell r="J13" t="str">
            <v>Other Method</v>
          </cell>
          <cell r="K13" t="str">
            <v>Other Method</v>
          </cell>
        </row>
      </sheetData>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row r="2">
          <cell r="A2" t="str">
            <v>Version 1/1 - 1/1/2000</v>
          </cell>
        </row>
        <row r="5">
          <cell r="F5" t="str">
            <v/>
          </cell>
        </row>
        <row r="9">
          <cell r="C9" t="str">
            <v>Inc. Pension Plan</v>
          </cell>
        </row>
        <row r="10">
          <cell r="C10" t="str">
            <v>Billing Code:                           Version 1/1 - 1/1/2000</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
      <sheetName val="Student Records"/>
      <sheetName val="Count"/>
      <sheetName val="Progress to Goal"/>
      <sheetName val="HW Progress"/>
      <sheetName val="Weight Watch"/>
      <sheetName val="Static"/>
      <sheetName val="dynamic"/>
    </sheetNames>
    <sheetDataSet>
      <sheetData sheetId="0"/>
      <sheetData sheetId="1"/>
      <sheetData sheetId="2"/>
      <sheetData sheetId="3"/>
      <sheetData sheetId="4"/>
      <sheetData sheetId="5">
        <row r="2">
          <cell r="I2">
            <v>10</v>
          </cell>
        </row>
        <row r="3">
          <cell r="I3">
            <v>25</v>
          </cell>
        </row>
        <row r="9">
          <cell r="B9" t="str">
            <v>Date</v>
          </cell>
        </row>
      </sheetData>
      <sheetData sheetId="6"/>
      <sheetData sheetId="7"/>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iking"/>
      <sheetName val="Weight"/>
      <sheetName val="Salman"/>
      <sheetName val="Stairs"/>
      <sheetName val="Golf"/>
      <sheetName val="Misc"/>
      <sheetName val="Golf Courses"/>
      <sheetName val="Ping Pang"/>
      <sheetName val="Hiking Trails"/>
      <sheetName val="Health Info"/>
      <sheetName val="Weight &amp; more"/>
      <sheetName val="Activities before 2014"/>
      <sheetName val="Activity"/>
      <sheetName val="JGP"/>
      <sheetName val="Swim"/>
      <sheetName val="Record Sheet"/>
      <sheetName val="Record Time"/>
      <sheetName val="Event"/>
      <sheetName val="Trails"/>
    </sheetNames>
    <sheetDataSet>
      <sheetData sheetId="0" refreshError="1"/>
      <sheetData sheetId="1">
        <row r="1">
          <cell r="J1">
            <v>0</v>
          </cell>
        </row>
      </sheetData>
      <sheetData sheetId="2">
        <row r="4">
          <cell r="B4">
            <v>160</v>
          </cell>
        </row>
        <row r="9">
          <cell r="G9">
            <v>34.5</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Update"/>
      <sheetName val="LY"/>
      <sheetName val="TY"/>
      <sheetName val="NY"/>
      <sheetName val="Input"/>
      <sheetName val="ProVal"/>
      <sheetName val="ProValEst"/>
      <sheetName val="Analysis"/>
      <sheetName val="PartD"/>
      <sheetName val="Liability"/>
      <sheetName val="ProValInfo"/>
      <sheetName val="Contrib"/>
      <sheetName val="Table"/>
      <sheetName val="Base"/>
      <sheetName val="B"/>
      <sheetName val="Major"/>
      <sheetName val="Plan"/>
      <sheetName val="Sum"/>
      <sheetName val="AS"/>
      <sheetName val="MRV"/>
      <sheetName val="Int"/>
      <sheetName val="PSC"/>
      <sheetName val="GL"/>
      <sheetName val="NPBC"/>
      <sheetName val="FAS158"/>
      <sheetName val="FAS158 - before"/>
      <sheetName val="PJ"/>
      <sheetName val="AML"/>
      <sheetName val="Recon"/>
      <sheetName val="AS PJ"/>
      <sheetName val="Recon Sum"/>
      <sheetName val="X"/>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ow r="21">
          <cell r="C21" t="str">
            <v>Market Value</v>
          </cell>
          <cell r="D21" t="str">
            <v>Reg 1.412(c)(2)-1(c) &amp; RP 2000-40 Sec 4.10</v>
          </cell>
        </row>
        <row r="22">
          <cell r="C22" t="str">
            <v>Average Value</v>
          </cell>
          <cell r="D22" t="str">
            <v>Reg 1.412(c)(2)-1(b)(7) &amp; RP 2000-40 Sec 4.11</v>
          </cell>
        </row>
        <row r="23">
          <cell r="C23" t="str">
            <v>Average Value</v>
          </cell>
          <cell r="D23" t="str">
            <v>Reg 1.412(c)(2)-1(b)(7) &amp; RP 2000-40 Sec 4.12, Phase-in</v>
          </cell>
        </row>
        <row r="24">
          <cell r="C24" t="str">
            <v>Expected AV1</v>
          </cell>
          <cell r="D24" t="str">
            <v>Recognize G/L as equal payments</v>
          </cell>
        </row>
        <row r="25">
          <cell r="C25" t="str">
            <v>Expected AV2</v>
          </cell>
          <cell r="D25" t="str">
            <v>Adjust AV toward MV by fixed %</v>
          </cell>
        </row>
        <row r="26">
          <cell r="C26" t="str">
            <v>Smoothed Value</v>
          </cell>
          <cell r="D26" t="str">
            <v>Rev Proc 2000-40 Sec 4.15</v>
          </cell>
        </row>
        <row r="27">
          <cell r="C27" t="str">
            <v>Smoothed Value</v>
          </cell>
          <cell r="D27" t="str">
            <v>Rev Proc 2000-40 Sec 4.16, Phase-in</v>
          </cell>
        </row>
        <row r="28">
          <cell r="C28" t="str">
            <v>Average Value</v>
          </cell>
          <cell r="D28" t="str">
            <v>Reg 1.412(c)(2)-1(b)(7) &amp; RP 2000-40 Sec 4.17, Phase-in</v>
          </cell>
        </row>
        <row r="29">
          <cell r="C29" t="str">
            <v>Smoothed Value</v>
          </cell>
          <cell r="D29" t="str">
            <v>Smoothed Value w/ PY expected return</v>
          </cell>
        </row>
        <row r="30">
          <cell r="C30" t="str">
            <v>Undefined</v>
          </cell>
          <cell r="D30" t="str">
            <v>Undefined</v>
          </cell>
        </row>
        <row r="31">
          <cell r="C31" t="str">
            <v>Other Method</v>
          </cell>
          <cell r="D31" t="str">
            <v>Other Method</v>
          </cell>
        </row>
      </sheetData>
      <sheetData sheetId="14" refreshError="1"/>
      <sheetData sheetId="15" refreshError="1"/>
      <sheetData sheetId="16" refreshError="1"/>
      <sheetData sheetId="17">
        <row r="35">
          <cell r="F35">
            <v>0</v>
          </cell>
        </row>
      </sheetData>
      <sheetData sheetId="18">
        <row r="7">
          <cell r="E7">
            <v>41275</v>
          </cell>
        </row>
      </sheetData>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rd"/>
      <sheetName val="Qx"/>
      <sheetName val="Filter DB"/>
      <sheetName val="Pivot Table"/>
      <sheetName val="Age Dist"/>
      <sheetName val="Annuity"/>
      <sheetName val="Rate"/>
      <sheetName val="Statement"/>
      <sheetName val="Progrss Graph"/>
    </sheetNames>
    <sheetDataSet>
      <sheetData sheetId="0"/>
      <sheetData sheetId="1" refreshError="1"/>
      <sheetData sheetId="2" refreshError="1"/>
      <sheetData sheetId="3" refreshError="1"/>
      <sheetData sheetId="4" refreshError="1"/>
      <sheetData sheetId="5" refreshError="1"/>
      <sheetData sheetId="6">
        <row r="2">
          <cell r="B2" t="str">
            <v>Interest Rate</v>
          </cell>
        </row>
        <row r="3">
          <cell r="B3" t="str">
            <v>Year</v>
          </cell>
          <cell r="C3" t="str">
            <v>Rate</v>
          </cell>
        </row>
        <row r="4">
          <cell r="B4">
            <v>2008</v>
          </cell>
          <cell r="C4">
            <v>0.04</v>
          </cell>
        </row>
        <row r="5">
          <cell r="B5">
            <v>2009</v>
          </cell>
          <cell r="C5">
            <v>7.4999999999999997E-2</v>
          </cell>
        </row>
        <row r="6">
          <cell r="B6">
            <v>2010</v>
          </cell>
          <cell r="C6">
            <v>6.5000000000000002E-2</v>
          </cell>
        </row>
        <row r="7">
          <cell r="B7">
            <v>2011</v>
          </cell>
          <cell r="C7">
            <v>7.2499999999999995E-2</v>
          </cell>
        </row>
        <row r="8">
          <cell r="B8">
            <v>2012</v>
          </cell>
          <cell r="C8">
            <v>6.5000000000000002E-2</v>
          </cell>
        </row>
        <row r="9">
          <cell r="B9">
            <v>2013</v>
          </cell>
          <cell r="C9">
            <v>0.04</v>
          </cell>
        </row>
        <row r="10">
          <cell r="B10">
            <v>2014</v>
          </cell>
        </row>
        <row r="11">
          <cell r="B11">
            <v>2015</v>
          </cell>
        </row>
        <row r="12">
          <cell r="B12">
            <v>2016</v>
          </cell>
        </row>
        <row r="13">
          <cell r="B13">
            <v>2017</v>
          </cell>
        </row>
        <row r="14">
          <cell r="B14">
            <v>2018</v>
          </cell>
        </row>
        <row r="15">
          <cell r="B15">
            <v>2019</v>
          </cell>
        </row>
        <row r="16">
          <cell r="B16">
            <v>2020</v>
          </cell>
        </row>
        <row r="17">
          <cell r="B17">
            <v>2021</v>
          </cell>
        </row>
        <row r="18">
          <cell r="B18">
            <v>2022</v>
          </cell>
        </row>
        <row r="19">
          <cell r="B19">
            <v>2023</v>
          </cell>
        </row>
        <row r="20">
          <cell r="B20">
            <v>2024</v>
          </cell>
        </row>
        <row r="21">
          <cell r="B21">
            <v>2025</v>
          </cell>
        </row>
        <row r="22">
          <cell r="B22">
            <v>2026</v>
          </cell>
        </row>
        <row r="23">
          <cell r="B23">
            <v>2027</v>
          </cell>
        </row>
        <row r="24">
          <cell r="B24">
            <v>2028</v>
          </cell>
        </row>
        <row r="26">
          <cell r="B26" t="str">
            <v>Current Year Info</v>
          </cell>
        </row>
        <row r="27">
          <cell r="B27" t="str">
            <v>Contract Year</v>
          </cell>
          <cell r="C27" t="str">
            <v>Rate</v>
          </cell>
        </row>
        <row r="28">
          <cell r="B28">
            <v>2013</v>
          </cell>
          <cell r="C28">
            <v>0.04</v>
          </cell>
        </row>
      </sheetData>
      <sheetData sheetId="7" refreshError="1"/>
      <sheetData sheetId="8"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fo"/>
      <sheetName val="FAS 158 Input"/>
      <sheetName val="Print Public for Profit"/>
      <sheetName val="Print Nonprofit"/>
      <sheetName val="Print Nonpublic"/>
    </sheetNames>
    <sheetDataSet>
      <sheetData sheetId="0"/>
      <sheetData sheetId="1">
        <row r="4">
          <cell r="H4">
            <v>2006</v>
          </cell>
        </row>
      </sheetData>
      <sheetData sheetId="2">
        <row r="5">
          <cell r="C5">
            <v>2005</v>
          </cell>
        </row>
      </sheetData>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8" Type="http://schemas.openxmlformats.org/officeDocument/2006/relationships/hyperlink" Target="mailto:gg@maryville.edu" TargetMode="External"/><Relationship Id="rId13" Type="http://schemas.openxmlformats.org/officeDocument/2006/relationships/hyperlink" Target="mailto:ll@maryville.edu" TargetMode="External"/><Relationship Id="rId3" Type="http://schemas.openxmlformats.org/officeDocument/2006/relationships/hyperlink" Target="mailto:bb@maryville.edu" TargetMode="External"/><Relationship Id="rId7" Type="http://schemas.openxmlformats.org/officeDocument/2006/relationships/hyperlink" Target="mailto:ff@maryville.edu" TargetMode="External"/><Relationship Id="rId12" Type="http://schemas.openxmlformats.org/officeDocument/2006/relationships/hyperlink" Target="mailto:kk@maryville.edu" TargetMode="External"/><Relationship Id="rId2" Type="http://schemas.openxmlformats.org/officeDocument/2006/relationships/hyperlink" Target="mailto:aa@maryville.edu" TargetMode="External"/><Relationship Id="rId1" Type="http://schemas.openxmlformats.org/officeDocument/2006/relationships/hyperlink" Target="mailto:aa@maryville.edu" TargetMode="External"/><Relationship Id="rId6" Type="http://schemas.openxmlformats.org/officeDocument/2006/relationships/hyperlink" Target="mailto:ee@maryville.edu" TargetMode="External"/><Relationship Id="rId11" Type="http://schemas.openxmlformats.org/officeDocument/2006/relationships/hyperlink" Target="mailto:jj@maryville.edu" TargetMode="External"/><Relationship Id="rId5" Type="http://schemas.openxmlformats.org/officeDocument/2006/relationships/hyperlink" Target="mailto:dd@maryville.edu" TargetMode="External"/><Relationship Id="rId10" Type="http://schemas.openxmlformats.org/officeDocument/2006/relationships/hyperlink" Target="mailto:ii@maryville.edu" TargetMode="External"/><Relationship Id="rId4" Type="http://schemas.openxmlformats.org/officeDocument/2006/relationships/hyperlink" Target="mailto:cc@maryville.edu" TargetMode="External"/><Relationship Id="rId9" Type="http://schemas.openxmlformats.org/officeDocument/2006/relationships/hyperlink" Target="mailto:hh@maryville.edu" TargetMode="External"/><Relationship Id="rId14"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8" Type="http://schemas.openxmlformats.org/officeDocument/2006/relationships/hyperlink" Target="mailto:gg@maryville.edu" TargetMode="External"/><Relationship Id="rId13" Type="http://schemas.openxmlformats.org/officeDocument/2006/relationships/hyperlink" Target="mailto:ll@maryville.edu" TargetMode="External"/><Relationship Id="rId3" Type="http://schemas.openxmlformats.org/officeDocument/2006/relationships/hyperlink" Target="mailto:bb@maryville.edu" TargetMode="External"/><Relationship Id="rId7" Type="http://schemas.openxmlformats.org/officeDocument/2006/relationships/hyperlink" Target="mailto:ff@maryville.edu" TargetMode="External"/><Relationship Id="rId12" Type="http://schemas.openxmlformats.org/officeDocument/2006/relationships/hyperlink" Target="mailto:kk@maryville.edu" TargetMode="External"/><Relationship Id="rId2" Type="http://schemas.openxmlformats.org/officeDocument/2006/relationships/hyperlink" Target="mailto:aa@maryville.edu" TargetMode="External"/><Relationship Id="rId1" Type="http://schemas.openxmlformats.org/officeDocument/2006/relationships/hyperlink" Target="mailto:aa@maryville.edu" TargetMode="External"/><Relationship Id="rId6" Type="http://schemas.openxmlformats.org/officeDocument/2006/relationships/hyperlink" Target="mailto:ee@maryville.edu" TargetMode="External"/><Relationship Id="rId11" Type="http://schemas.openxmlformats.org/officeDocument/2006/relationships/hyperlink" Target="mailto:jj@maryville.edu" TargetMode="External"/><Relationship Id="rId5" Type="http://schemas.openxmlformats.org/officeDocument/2006/relationships/hyperlink" Target="mailto:dd@maryville.edu" TargetMode="External"/><Relationship Id="rId10" Type="http://schemas.openxmlformats.org/officeDocument/2006/relationships/hyperlink" Target="mailto:ii@maryville.edu" TargetMode="External"/><Relationship Id="rId4" Type="http://schemas.openxmlformats.org/officeDocument/2006/relationships/hyperlink" Target="mailto:cc@maryville.edu" TargetMode="External"/><Relationship Id="rId9" Type="http://schemas.openxmlformats.org/officeDocument/2006/relationships/hyperlink" Target="mailto:hh@maryville.edu"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1:C129"/>
  <sheetViews>
    <sheetView workbookViewId="0">
      <selection activeCell="E36" sqref="E36"/>
    </sheetView>
  </sheetViews>
  <sheetFormatPr defaultRowHeight="12.5" x14ac:dyDescent="0.25"/>
  <cols>
    <col min="1" max="1" width="5" customWidth="1"/>
    <col min="2" max="2" width="14.1796875" customWidth="1"/>
    <col min="3" max="3" width="14.7265625" customWidth="1"/>
  </cols>
  <sheetData>
    <row r="1" spans="2:3" ht="13" thickBot="1" x14ac:dyDescent="0.3"/>
    <row r="2" spans="2:3" ht="16" thickBot="1" x14ac:dyDescent="0.4">
      <c r="B2" s="177" t="s">
        <v>17</v>
      </c>
      <c r="C2" s="178"/>
    </row>
    <row r="3" spans="2:3" ht="13" x14ac:dyDescent="0.3">
      <c r="B3" s="1" t="s">
        <v>1</v>
      </c>
      <c r="C3" s="1" t="s">
        <v>18</v>
      </c>
    </row>
    <row r="4" spans="2:3" x14ac:dyDescent="0.25">
      <c r="B4" s="2">
        <v>5</v>
      </c>
      <c r="C4" s="3">
        <v>2.3699999999999999E-4</v>
      </c>
    </row>
    <row r="5" spans="2:3" x14ac:dyDescent="0.25">
      <c r="B5" s="4">
        <f>B4+1</f>
        <v>6</v>
      </c>
      <c r="C5" s="3">
        <v>2.2699999999999999E-4</v>
      </c>
    </row>
    <row r="6" spans="2:3" x14ac:dyDescent="0.25">
      <c r="B6" s="4">
        <f t="shared" ref="B6:B69" si="0">B5+1</f>
        <v>7</v>
      </c>
      <c r="C6" s="3">
        <v>2.1699999999999999E-4</v>
      </c>
    </row>
    <row r="7" spans="2:3" x14ac:dyDescent="0.25">
      <c r="B7" s="4">
        <f t="shared" si="0"/>
        <v>8</v>
      </c>
      <c r="C7" s="3">
        <v>2.0100000000000001E-4</v>
      </c>
    </row>
    <row r="8" spans="2:3" x14ac:dyDescent="0.25">
      <c r="B8" s="4">
        <f t="shared" si="0"/>
        <v>9</v>
      </c>
      <c r="C8" s="3">
        <v>1.94E-4</v>
      </c>
    </row>
    <row r="9" spans="2:3" x14ac:dyDescent="0.25">
      <c r="B9" s="4">
        <f t="shared" si="0"/>
        <v>10</v>
      </c>
      <c r="C9" s="3">
        <v>1.9699999999999999E-4</v>
      </c>
    </row>
    <row r="10" spans="2:3" x14ac:dyDescent="0.25">
      <c r="B10" s="4">
        <f t="shared" si="0"/>
        <v>11</v>
      </c>
      <c r="C10" s="3">
        <v>2.0799999999999999E-4</v>
      </c>
    </row>
    <row r="11" spans="2:3" x14ac:dyDescent="0.25">
      <c r="B11" s="4">
        <f t="shared" si="0"/>
        <v>12</v>
      </c>
      <c r="C11" s="3">
        <v>2.2599999999999999E-4</v>
      </c>
    </row>
    <row r="12" spans="2:3" x14ac:dyDescent="0.25">
      <c r="B12" s="4">
        <f t="shared" si="0"/>
        <v>13</v>
      </c>
      <c r="C12" s="3">
        <v>2.5500000000000002E-4</v>
      </c>
    </row>
    <row r="13" spans="2:3" x14ac:dyDescent="0.25">
      <c r="B13" s="4">
        <f t="shared" si="0"/>
        <v>14</v>
      </c>
      <c r="C13" s="3">
        <v>2.9700000000000001E-4</v>
      </c>
    </row>
    <row r="14" spans="2:3" x14ac:dyDescent="0.25">
      <c r="B14" s="4">
        <f t="shared" si="0"/>
        <v>15</v>
      </c>
      <c r="C14" s="3">
        <v>3.4499999999999998E-4</v>
      </c>
    </row>
    <row r="15" spans="2:3" x14ac:dyDescent="0.25">
      <c r="B15" s="4">
        <f t="shared" si="0"/>
        <v>16</v>
      </c>
      <c r="C15" s="3">
        <v>3.9100000000000002E-4</v>
      </c>
    </row>
    <row r="16" spans="2:3" x14ac:dyDescent="0.25">
      <c r="B16" s="4">
        <f t="shared" si="0"/>
        <v>17</v>
      </c>
      <c r="C16" s="3">
        <v>4.2999999999999999E-4</v>
      </c>
    </row>
    <row r="17" spans="2:3" x14ac:dyDescent="0.25">
      <c r="B17" s="4">
        <f t="shared" si="0"/>
        <v>18</v>
      </c>
      <c r="C17" s="3">
        <v>4.6000000000000001E-4</v>
      </c>
    </row>
    <row r="18" spans="2:3" x14ac:dyDescent="0.25">
      <c r="B18" s="4">
        <f t="shared" si="0"/>
        <v>19</v>
      </c>
      <c r="C18" s="3">
        <v>4.84E-4</v>
      </c>
    </row>
    <row r="19" spans="2:3" x14ac:dyDescent="0.25">
      <c r="B19" s="4">
        <f t="shared" si="0"/>
        <v>20</v>
      </c>
      <c r="C19" s="3">
        <v>5.0699999999999996E-4</v>
      </c>
    </row>
    <row r="20" spans="2:3" x14ac:dyDescent="0.25">
      <c r="B20" s="4">
        <f t="shared" si="0"/>
        <v>21</v>
      </c>
      <c r="C20" s="3">
        <v>5.2999999999999998E-4</v>
      </c>
    </row>
    <row r="21" spans="2:3" x14ac:dyDescent="0.25">
      <c r="B21" s="4">
        <f t="shared" si="0"/>
        <v>22</v>
      </c>
      <c r="C21" s="3">
        <v>5.5599999999999996E-4</v>
      </c>
    </row>
    <row r="22" spans="2:3" x14ac:dyDescent="0.25">
      <c r="B22" s="4">
        <f t="shared" si="0"/>
        <v>23</v>
      </c>
      <c r="C22" s="3">
        <v>5.8900000000000001E-4</v>
      </c>
    </row>
    <row r="23" spans="2:3" x14ac:dyDescent="0.25">
      <c r="B23" s="4">
        <f t="shared" si="0"/>
        <v>24</v>
      </c>
      <c r="C23" s="3">
        <v>6.2399999999999999E-4</v>
      </c>
    </row>
    <row r="24" spans="2:3" x14ac:dyDescent="0.25">
      <c r="B24" s="4">
        <f t="shared" si="0"/>
        <v>25</v>
      </c>
      <c r="C24" s="3">
        <v>6.6100000000000002E-4</v>
      </c>
    </row>
    <row r="25" spans="2:3" x14ac:dyDescent="0.25">
      <c r="B25" s="4">
        <f t="shared" si="0"/>
        <v>26</v>
      </c>
      <c r="C25" s="3">
        <v>6.96E-4</v>
      </c>
    </row>
    <row r="26" spans="2:3" x14ac:dyDescent="0.25">
      <c r="B26" s="4">
        <f t="shared" si="0"/>
        <v>27</v>
      </c>
      <c r="C26" s="3">
        <v>7.27E-4</v>
      </c>
    </row>
    <row r="27" spans="2:3" x14ac:dyDescent="0.25">
      <c r="B27" s="4">
        <f t="shared" si="0"/>
        <v>28</v>
      </c>
      <c r="C27" s="3">
        <v>7.54E-4</v>
      </c>
    </row>
    <row r="28" spans="2:3" x14ac:dyDescent="0.25">
      <c r="B28" s="4">
        <f t="shared" si="0"/>
        <v>29</v>
      </c>
      <c r="C28" s="3">
        <v>7.7899999999999996E-4</v>
      </c>
    </row>
    <row r="29" spans="2:3" x14ac:dyDescent="0.25">
      <c r="B29" s="4">
        <f t="shared" si="0"/>
        <v>30</v>
      </c>
      <c r="C29" s="3">
        <v>8.0099999999999995E-4</v>
      </c>
    </row>
    <row r="30" spans="2:3" x14ac:dyDescent="0.25">
      <c r="B30" s="4">
        <f t="shared" si="0"/>
        <v>31</v>
      </c>
      <c r="C30" s="3">
        <v>8.2100000000000001E-4</v>
      </c>
    </row>
    <row r="31" spans="2:3" x14ac:dyDescent="0.25">
      <c r="B31" s="4">
        <f t="shared" si="0"/>
        <v>32</v>
      </c>
      <c r="C31" s="3">
        <v>8.3900000000000001E-4</v>
      </c>
    </row>
    <row r="32" spans="2:3" x14ac:dyDescent="0.25">
      <c r="B32" s="4">
        <f t="shared" si="0"/>
        <v>33</v>
      </c>
      <c r="C32" s="3">
        <v>8.4800000000000001E-4</v>
      </c>
    </row>
    <row r="33" spans="2:3" x14ac:dyDescent="0.25">
      <c r="B33" s="4">
        <f t="shared" si="0"/>
        <v>34</v>
      </c>
      <c r="C33" s="3">
        <v>8.4900000000000004E-4</v>
      </c>
    </row>
    <row r="34" spans="2:3" x14ac:dyDescent="0.25">
      <c r="B34" s="4">
        <f t="shared" si="0"/>
        <v>35</v>
      </c>
      <c r="C34" s="3">
        <v>8.5099999999999998E-4</v>
      </c>
    </row>
    <row r="35" spans="2:3" x14ac:dyDescent="0.25">
      <c r="B35" s="4">
        <f t="shared" si="0"/>
        <v>36</v>
      </c>
      <c r="C35" s="3">
        <v>8.6200000000000003E-4</v>
      </c>
    </row>
    <row r="36" spans="2:3" x14ac:dyDescent="0.25">
      <c r="B36" s="4">
        <f t="shared" si="0"/>
        <v>37</v>
      </c>
      <c r="C36" s="3">
        <v>8.9099999999999997E-4</v>
      </c>
    </row>
    <row r="37" spans="2:3" x14ac:dyDescent="0.25">
      <c r="B37" s="4">
        <f t="shared" si="0"/>
        <v>38</v>
      </c>
      <c r="C37" s="3">
        <v>9.3899999999999995E-4</v>
      </c>
    </row>
    <row r="38" spans="2:3" x14ac:dyDescent="0.25">
      <c r="B38" s="4">
        <f t="shared" si="0"/>
        <v>39</v>
      </c>
      <c r="C38" s="3">
        <v>9.990000000000001E-4</v>
      </c>
    </row>
    <row r="39" spans="2:3" x14ac:dyDescent="0.25">
      <c r="B39" s="4">
        <f t="shared" si="0"/>
        <v>40</v>
      </c>
      <c r="C39" s="3">
        <v>1.072E-3</v>
      </c>
    </row>
    <row r="40" spans="2:3" x14ac:dyDescent="0.25">
      <c r="B40" s="4">
        <f t="shared" si="0"/>
        <v>41</v>
      </c>
      <c r="C40" s="3">
        <v>1.1559999999999999E-3</v>
      </c>
    </row>
    <row r="41" spans="2:3" x14ac:dyDescent="0.25">
      <c r="B41" s="4">
        <f t="shared" si="0"/>
        <v>42</v>
      </c>
      <c r="C41" s="3">
        <v>1.2520000000000001E-3</v>
      </c>
    </row>
    <row r="42" spans="2:3" x14ac:dyDescent="0.25">
      <c r="B42" s="4">
        <f t="shared" si="0"/>
        <v>43</v>
      </c>
      <c r="C42" s="3">
        <v>1.3519999999999999E-3</v>
      </c>
    </row>
    <row r="43" spans="2:3" x14ac:dyDescent="0.25">
      <c r="B43" s="4">
        <f t="shared" si="0"/>
        <v>44</v>
      </c>
      <c r="C43" s="3">
        <v>1.4580000000000001E-3</v>
      </c>
    </row>
    <row r="44" spans="2:3" x14ac:dyDescent="0.25">
      <c r="B44" s="4">
        <f t="shared" si="0"/>
        <v>45</v>
      </c>
      <c r="C44" s="3">
        <v>1.578E-3</v>
      </c>
    </row>
    <row r="45" spans="2:3" x14ac:dyDescent="0.25">
      <c r="B45" s="4">
        <f t="shared" si="0"/>
        <v>46</v>
      </c>
      <c r="C45" s="3">
        <v>1.722E-3</v>
      </c>
    </row>
    <row r="46" spans="2:3" x14ac:dyDescent="0.25">
      <c r="B46" s="4">
        <f t="shared" si="0"/>
        <v>47</v>
      </c>
      <c r="C46" s="3">
        <v>1.8990000000000001E-3</v>
      </c>
    </row>
    <row r="47" spans="2:3" x14ac:dyDescent="0.25">
      <c r="B47" s="4">
        <f t="shared" si="0"/>
        <v>48</v>
      </c>
      <c r="C47" s="3">
        <v>2.1020000000000001E-3</v>
      </c>
    </row>
    <row r="48" spans="2:3" x14ac:dyDescent="0.25">
      <c r="B48" s="4">
        <f t="shared" si="0"/>
        <v>49</v>
      </c>
      <c r="C48" s="3">
        <v>2.3259999999999999E-3</v>
      </c>
    </row>
    <row r="49" spans="2:3" x14ac:dyDescent="0.25">
      <c r="B49" s="4">
        <f t="shared" si="0"/>
        <v>50</v>
      </c>
      <c r="C49" s="3">
        <v>2.5790000000000001E-3</v>
      </c>
    </row>
    <row r="50" spans="2:3" x14ac:dyDescent="0.25">
      <c r="B50" s="4">
        <f t="shared" si="0"/>
        <v>51</v>
      </c>
      <c r="C50" s="3">
        <v>2.872E-3</v>
      </c>
    </row>
    <row r="51" spans="2:3" x14ac:dyDescent="0.25">
      <c r="B51" s="4">
        <f t="shared" si="0"/>
        <v>52</v>
      </c>
      <c r="C51" s="3">
        <v>3.2130000000000001E-3</v>
      </c>
    </row>
    <row r="52" spans="2:3" x14ac:dyDescent="0.25">
      <c r="B52" s="4">
        <f t="shared" si="0"/>
        <v>53</v>
      </c>
      <c r="C52" s="3">
        <v>3.5839999999999999E-3</v>
      </c>
    </row>
    <row r="53" spans="2:3" x14ac:dyDescent="0.25">
      <c r="B53" s="4">
        <f t="shared" si="0"/>
        <v>54</v>
      </c>
      <c r="C53" s="3">
        <v>3.9789999999999999E-3</v>
      </c>
    </row>
    <row r="54" spans="2:3" x14ac:dyDescent="0.25">
      <c r="B54" s="4">
        <f t="shared" si="0"/>
        <v>55</v>
      </c>
      <c r="C54" s="3">
        <v>4.4250000000000001E-3</v>
      </c>
    </row>
    <row r="55" spans="2:3" x14ac:dyDescent="0.25">
      <c r="B55" s="4">
        <f t="shared" si="0"/>
        <v>56</v>
      </c>
      <c r="C55" s="3">
        <v>4.9490000000000003E-3</v>
      </c>
    </row>
    <row r="56" spans="2:3" x14ac:dyDescent="0.25">
      <c r="B56" s="4">
        <f t="shared" si="0"/>
        <v>57</v>
      </c>
      <c r="C56" s="3">
        <v>5.581E-3</v>
      </c>
    </row>
    <row r="57" spans="2:3" x14ac:dyDescent="0.25">
      <c r="B57" s="4">
        <f t="shared" si="0"/>
        <v>58</v>
      </c>
      <c r="C57" s="3">
        <v>6.3E-3</v>
      </c>
    </row>
    <row r="58" spans="2:3" x14ac:dyDescent="0.25">
      <c r="B58" s="4">
        <f t="shared" si="0"/>
        <v>59</v>
      </c>
      <c r="C58" s="3">
        <v>7.0899999999999999E-3</v>
      </c>
    </row>
    <row r="59" spans="2:3" x14ac:dyDescent="0.25">
      <c r="B59" s="4">
        <f t="shared" si="0"/>
        <v>60</v>
      </c>
      <c r="C59" s="3">
        <v>7.9760000000000005E-3</v>
      </c>
    </row>
    <row r="60" spans="2:3" x14ac:dyDescent="0.25">
      <c r="B60" s="4">
        <f t="shared" si="0"/>
        <v>61</v>
      </c>
      <c r="C60" s="3">
        <v>8.9859999999999992E-3</v>
      </c>
    </row>
    <row r="61" spans="2:3" x14ac:dyDescent="0.25">
      <c r="B61" s="4">
        <f t="shared" si="0"/>
        <v>62</v>
      </c>
      <c r="C61" s="3">
        <v>1.0147E-2</v>
      </c>
    </row>
    <row r="62" spans="2:3" x14ac:dyDescent="0.25">
      <c r="B62" s="4">
        <f t="shared" si="0"/>
        <v>63</v>
      </c>
      <c r="C62" s="3">
        <v>1.1471E-2</v>
      </c>
    </row>
    <row r="63" spans="2:3" x14ac:dyDescent="0.25">
      <c r="B63" s="4">
        <f t="shared" si="0"/>
        <v>64</v>
      </c>
      <c r="C63" s="3">
        <v>1.294E-2</v>
      </c>
    </row>
    <row r="64" spans="2:3" x14ac:dyDescent="0.25">
      <c r="B64" s="4">
        <f t="shared" si="0"/>
        <v>65</v>
      </c>
      <c r="C64" s="3">
        <v>1.4534999999999999E-2</v>
      </c>
    </row>
    <row r="65" spans="2:3" x14ac:dyDescent="0.25">
      <c r="B65" s="4">
        <f t="shared" si="0"/>
        <v>66</v>
      </c>
      <c r="C65" s="3">
        <v>1.6239E-2</v>
      </c>
    </row>
    <row r="66" spans="2:3" x14ac:dyDescent="0.25">
      <c r="B66" s="4">
        <f t="shared" si="0"/>
        <v>67</v>
      </c>
      <c r="C66" s="3">
        <v>1.8034000000000001E-2</v>
      </c>
    </row>
    <row r="67" spans="2:3" x14ac:dyDescent="0.25">
      <c r="B67" s="4">
        <f t="shared" si="0"/>
        <v>68</v>
      </c>
      <c r="C67" s="3">
        <v>1.9859000000000002E-2</v>
      </c>
    </row>
    <row r="68" spans="2:3" x14ac:dyDescent="0.25">
      <c r="B68" s="4">
        <f t="shared" si="0"/>
        <v>69</v>
      </c>
      <c r="C68" s="3">
        <v>2.1728999999999998E-2</v>
      </c>
    </row>
    <row r="69" spans="2:3" x14ac:dyDescent="0.25">
      <c r="B69" s="4">
        <f t="shared" si="0"/>
        <v>70</v>
      </c>
      <c r="C69" s="3">
        <v>2.3730000000000001E-2</v>
      </c>
    </row>
    <row r="70" spans="2:3" x14ac:dyDescent="0.25">
      <c r="B70" s="4">
        <f t="shared" ref="B70:B119" si="1">B69+1</f>
        <v>71</v>
      </c>
      <c r="C70" s="3">
        <v>2.5950999999999998E-2</v>
      </c>
    </row>
    <row r="71" spans="2:3" x14ac:dyDescent="0.25">
      <c r="B71" s="4">
        <f t="shared" si="1"/>
        <v>72</v>
      </c>
      <c r="C71" s="3">
        <v>2.8480999999999999E-2</v>
      </c>
    </row>
    <row r="72" spans="2:3" x14ac:dyDescent="0.25">
      <c r="B72" s="4">
        <f t="shared" si="1"/>
        <v>73</v>
      </c>
      <c r="C72" s="3">
        <v>3.1201E-2</v>
      </c>
    </row>
    <row r="73" spans="2:3" x14ac:dyDescent="0.25">
      <c r="B73" s="4">
        <f t="shared" si="1"/>
        <v>74</v>
      </c>
      <c r="C73" s="3">
        <v>3.4050999999999998E-2</v>
      </c>
    </row>
    <row r="74" spans="2:3" x14ac:dyDescent="0.25">
      <c r="B74" s="4">
        <f t="shared" si="1"/>
        <v>75</v>
      </c>
      <c r="C74" s="3">
        <v>3.7211000000000001E-2</v>
      </c>
    </row>
    <row r="75" spans="2:3" x14ac:dyDescent="0.25">
      <c r="B75" s="4">
        <f t="shared" si="1"/>
        <v>76</v>
      </c>
      <c r="C75" s="3">
        <v>4.0857999999999998E-2</v>
      </c>
    </row>
    <row r="76" spans="2:3" x14ac:dyDescent="0.25">
      <c r="B76" s="4">
        <f t="shared" si="1"/>
        <v>77</v>
      </c>
      <c r="C76" s="3">
        <v>4.5171000000000003E-2</v>
      </c>
    </row>
    <row r="77" spans="2:3" x14ac:dyDescent="0.25">
      <c r="B77" s="4">
        <f t="shared" si="1"/>
        <v>78</v>
      </c>
      <c r="C77" s="3">
        <v>5.0210999999999999E-2</v>
      </c>
    </row>
    <row r="78" spans="2:3" x14ac:dyDescent="0.25">
      <c r="B78" s="4">
        <f t="shared" si="1"/>
        <v>79</v>
      </c>
      <c r="C78" s="3">
        <v>5.5861000000000001E-2</v>
      </c>
    </row>
    <row r="79" spans="2:3" x14ac:dyDescent="0.25">
      <c r="B79" s="4">
        <f t="shared" si="1"/>
        <v>80</v>
      </c>
      <c r="C79" s="3">
        <v>6.2026999999999999E-2</v>
      </c>
    </row>
    <row r="80" spans="2:3" x14ac:dyDescent="0.25">
      <c r="B80" s="4">
        <f t="shared" si="1"/>
        <v>81</v>
      </c>
      <c r="C80" s="3">
        <v>6.8614999999999995E-2</v>
      </c>
    </row>
    <row r="81" spans="2:3" x14ac:dyDescent="0.25">
      <c r="B81" s="4">
        <f t="shared" si="1"/>
        <v>82</v>
      </c>
      <c r="C81" s="3">
        <v>7.5532000000000002E-2</v>
      </c>
    </row>
    <row r="82" spans="2:3" x14ac:dyDescent="0.25">
      <c r="B82" s="4">
        <f t="shared" si="1"/>
        <v>83</v>
      </c>
      <c r="C82" s="3">
        <v>8.251E-2</v>
      </c>
    </row>
    <row r="83" spans="2:3" x14ac:dyDescent="0.25">
      <c r="B83" s="4">
        <f t="shared" si="1"/>
        <v>84</v>
      </c>
      <c r="C83" s="3">
        <v>8.9612999999999998E-2</v>
      </c>
    </row>
    <row r="84" spans="2:3" x14ac:dyDescent="0.25">
      <c r="B84" s="4">
        <f t="shared" si="1"/>
        <v>85</v>
      </c>
      <c r="C84" s="3">
        <v>9.7239999999999993E-2</v>
      </c>
    </row>
    <row r="85" spans="2:3" x14ac:dyDescent="0.25">
      <c r="B85" s="4">
        <f t="shared" si="1"/>
        <v>86</v>
      </c>
      <c r="C85" s="3">
        <v>0.105792</v>
      </c>
    </row>
    <row r="86" spans="2:3" x14ac:dyDescent="0.25">
      <c r="B86" s="4">
        <f t="shared" si="1"/>
        <v>87</v>
      </c>
      <c r="C86" s="3">
        <v>0.115671</v>
      </c>
    </row>
    <row r="87" spans="2:3" x14ac:dyDescent="0.25">
      <c r="B87" s="4">
        <f t="shared" si="1"/>
        <v>88</v>
      </c>
      <c r="C87" s="3">
        <v>0.12698000000000001</v>
      </c>
    </row>
    <row r="88" spans="2:3" x14ac:dyDescent="0.25">
      <c r="B88" s="4">
        <f t="shared" si="1"/>
        <v>89</v>
      </c>
      <c r="C88" s="3">
        <v>0.13945199999999999</v>
      </c>
    </row>
    <row r="89" spans="2:3" x14ac:dyDescent="0.25">
      <c r="B89" s="4">
        <f t="shared" si="1"/>
        <v>90</v>
      </c>
      <c r="C89" s="3">
        <v>0.15293100000000001</v>
      </c>
    </row>
    <row r="90" spans="2:3" x14ac:dyDescent="0.25">
      <c r="B90" s="4">
        <f t="shared" si="1"/>
        <v>91</v>
      </c>
      <c r="C90" s="3">
        <v>0.16725999999999999</v>
      </c>
    </row>
    <row r="91" spans="2:3" x14ac:dyDescent="0.25">
      <c r="B91" s="4">
        <f t="shared" si="1"/>
        <v>92</v>
      </c>
      <c r="C91" s="3">
        <v>0.182281</v>
      </c>
    </row>
    <row r="92" spans="2:3" x14ac:dyDescent="0.25">
      <c r="B92" s="4">
        <f t="shared" si="1"/>
        <v>93</v>
      </c>
      <c r="C92" s="3">
        <v>0.19839200000000001</v>
      </c>
    </row>
    <row r="93" spans="2:3" x14ac:dyDescent="0.25">
      <c r="B93" s="4">
        <f t="shared" si="1"/>
        <v>94</v>
      </c>
      <c r="C93" s="3">
        <v>0.2157</v>
      </c>
    </row>
    <row r="94" spans="2:3" x14ac:dyDescent="0.25">
      <c r="B94" s="4">
        <f t="shared" si="1"/>
        <v>95</v>
      </c>
      <c r="C94" s="3">
        <v>0.23360600000000001</v>
      </c>
    </row>
    <row r="95" spans="2:3" x14ac:dyDescent="0.25">
      <c r="B95" s="4">
        <f t="shared" si="1"/>
        <v>96</v>
      </c>
      <c r="C95" s="3">
        <v>0.25151000000000001</v>
      </c>
    </row>
    <row r="96" spans="2:3" x14ac:dyDescent="0.25">
      <c r="B96" s="4">
        <f t="shared" si="1"/>
        <v>97</v>
      </c>
      <c r="C96" s="3">
        <v>0.26881500000000003</v>
      </c>
    </row>
    <row r="97" spans="2:3" x14ac:dyDescent="0.25">
      <c r="B97" s="4">
        <f t="shared" si="1"/>
        <v>98</v>
      </c>
      <c r="C97" s="3">
        <v>0.285277</v>
      </c>
    </row>
    <row r="98" spans="2:3" x14ac:dyDescent="0.25">
      <c r="B98" s="4">
        <f t="shared" si="1"/>
        <v>99</v>
      </c>
      <c r="C98" s="3">
        <v>0.30129800000000001</v>
      </c>
    </row>
    <row r="99" spans="2:3" x14ac:dyDescent="0.25">
      <c r="B99" s="4">
        <f t="shared" si="1"/>
        <v>100</v>
      </c>
      <c r="C99" s="3">
        <v>0.31723800000000002</v>
      </c>
    </row>
    <row r="100" spans="2:3" x14ac:dyDescent="0.25">
      <c r="B100" s="4">
        <f t="shared" si="1"/>
        <v>101</v>
      </c>
      <c r="C100" s="3">
        <v>0.33346100000000001</v>
      </c>
    </row>
    <row r="101" spans="2:3" x14ac:dyDescent="0.25">
      <c r="B101" s="4">
        <f t="shared" si="1"/>
        <v>102</v>
      </c>
      <c r="C101" s="3">
        <v>0.35032999999999997</v>
      </c>
    </row>
    <row r="102" spans="2:3" x14ac:dyDescent="0.25">
      <c r="B102" s="4">
        <f t="shared" si="1"/>
        <v>103</v>
      </c>
      <c r="C102" s="3">
        <v>0.36854199999999998</v>
      </c>
    </row>
    <row r="103" spans="2:3" x14ac:dyDescent="0.25">
      <c r="B103" s="4">
        <f t="shared" si="1"/>
        <v>104</v>
      </c>
      <c r="C103" s="3">
        <v>0.38785500000000001</v>
      </c>
    </row>
    <row r="104" spans="2:3" x14ac:dyDescent="0.25">
      <c r="B104" s="4">
        <f t="shared" si="1"/>
        <v>105</v>
      </c>
      <c r="C104" s="3">
        <v>0.40722399999999997</v>
      </c>
    </row>
    <row r="105" spans="2:3" x14ac:dyDescent="0.25">
      <c r="B105" s="4">
        <f t="shared" si="1"/>
        <v>106</v>
      </c>
      <c r="C105" s="3">
        <v>0.42559900000000001</v>
      </c>
    </row>
    <row r="106" spans="2:3" x14ac:dyDescent="0.25">
      <c r="B106" s="4">
        <f t="shared" si="1"/>
        <v>107</v>
      </c>
      <c r="C106" s="3">
        <v>0.44193500000000002</v>
      </c>
    </row>
    <row r="107" spans="2:3" x14ac:dyDescent="0.25">
      <c r="B107" s="4">
        <f t="shared" si="1"/>
        <v>108</v>
      </c>
      <c r="C107" s="3">
        <v>0.45755299999999999</v>
      </c>
    </row>
    <row r="108" spans="2:3" x14ac:dyDescent="0.25">
      <c r="B108" s="4">
        <f t="shared" si="1"/>
        <v>109</v>
      </c>
      <c r="C108" s="3">
        <v>0.47315000000000002</v>
      </c>
    </row>
    <row r="109" spans="2:3" x14ac:dyDescent="0.25">
      <c r="B109" s="4">
        <f t="shared" si="1"/>
        <v>110</v>
      </c>
      <c r="C109" s="3">
        <v>0.48674499999999998</v>
      </c>
    </row>
    <row r="110" spans="2:3" x14ac:dyDescent="0.25">
      <c r="B110" s="4">
        <f t="shared" si="1"/>
        <v>111</v>
      </c>
      <c r="C110" s="3">
        <v>0.49635600000000002</v>
      </c>
    </row>
    <row r="111" spans="2:3" x14ac:dyDescent="0.25">
      <c r="B111" s="4">
        <f t="shared" si="1"/>
        <v>112</v>
      </c>
      <c r="C111" s="3">
        <v>0.5</v>
      </c>
    </row>
    <row r="112" spans="2:3" x14ac:dyDescent="0.25">
      <c r="B112" s="4">
        <f t="shared" si="1"/>
        <v>113</v>
      </c>
      <c r="C112" s="3">
        <v>0.5</v>
      </c>
    </row>
    <row r="113" spans="2:3" x14ac:dyDescent="0.25">
      <c r="B113" s="4">
        <f t="shared" si="1"/>
        <v>114</v>
      </c>
      <c r="C113" s="3">
        <v>0.5</v>
      </c>
    </row>
    <row r="114" spans="2:3" x14ac:dyDescent="0.25">
      <c r="B114" s="4">
        <f t="shared" si="1"/>
        <v>115</v>
      </c>
      <c r="C114" s="3">
        <v>0.5</v>
      </c>
    </row>
    <row r="115" spans="2:3" x14ac:dyDescent="0.25">
      <c r="B115" s="4">
        <f t="shared" si="1"/>
        <v>116</v>
      </c>
      <c r="C115" s="3">
        <v>0.5</v>
      </c>
    </row>
    <row r="116" spans="2:3" x14ac:dyDescent="0.25">
      <c r="B116" s="4">
        <f t="shared" si="1"/>
        <v>117</v>
      </c>
      <c r="C116" s="3">
        <v>0.5</v>
      </c>
    </row>
    <row r="117" spans="2:3" x14ac:dyDescent="0.25">
      <c r="B117" s="4">
        <f t="shared" si="1"/>
        <v>118</v>
      </c>
      <c r="C117" s="3">
        <v>0.5</v>
      </c>
    </row>
    <row r="118" spans="2:3" x14ac:dyDescent="0.25">
      <c r="B118" s="4">
        <f t="shared" si="1"/>
        <v>119</v>
      </c>
      <c r="C118" s="3">
        <v>0.5</v>
      </c>
    </row>
    <row r="119" spans="2:3" x14ac:dyDescent="0.25">
      <c r="B119" s="4">
        <f t="shared" si="1"/>
        <v>120</v>
      </c>
      <c r="C119" s="3">
        <v>1</v>
      </c>
    </row>
    <row r="120" spans="2:3" x14ac:dyDescent="0.25">
      <c r="B120" s="5"/>
    </row>
    <row r="121" spans="2:3" x14ac:dyDescent="0.25">
      <c r="B121" s="5"/>
    </row>
    <row r="122" spans="2:3" x14ac:dyDescent="0.25">
      <c r="B122" s="5"/>
    </row>
    <row r="123" spans="2:3" x14ac:dyDescent="0.25">
      <c r="B123" s="5"/>
    </row>
    <row r="124" spans="2:3" x14ac:dyDescent="0.25">
      <c r="B124" s="5"/>
    </row>
    <row r="125" spans="2:3" x14ac:dyDescent="0.25">
      <c r="B125" s="5"/>
    </row>
    <row r="126" spans="2:3" x14ac:dyDescent="0.25">
      <c r="B126" s="5"/>
    </row>
    <row r="127" spans="2:3" x14ac:dyDescent="0.25">
      <c r="B127" s="5"/>
    </row>
    <row r="128" spans="2:3" x14ac:dyDescent="0.25">
      <c r="B128" s="5"/>
    </row>
    <row r="129" spans="2:2" x14ac:dyDescent="0.25">
      <c r="B129" s="5"/>
    </row>
  </sheetData>
  <mergeCells count="1">
    <mergeCell ref="B2:C2"/>
  </mergeCells>
  <phoneticPr fontId="6" type="noConversion"/>
  <pageMargins left="0.75" right="0.75" top="1" bottom="1" header="0.5" footer="0.5"/>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B2:D125"/>
  <sheetViews>
    <sheetView workbookViewId="0">
      <selection activeCell="C6" sqref="C6"/>
    </sheetView>
  </sheetViews>
  <sheetFormatPr defaultRowHeight="12.5" x14ac:dyDescent="0.25"/>
  <cols>
    <col min="1" max="1" width="2.36328125" customWidth="1"/>
    <col min="2" max="2" width="13.7265625" customWidth="1"/>
    <col min="3" max="3" width="22" customWidth="1"/>
    <col min="4" max="4" width="21" customWidth="1"/>
  </cols>
  <sheetData>
    <row r="2" spans="2:4" ht="18" x14ac:dyDescent="0.4">
      <c r="B2" s="7" t="s">
        <v>58</v>
      </c>
    </row>
    <row r="3" spans="2:4" ht="15.5" x14ac:dyDescent="0.35">
      <c r="B3" s="8"/>
    </row>
    <row r="4" spans="2:4" x14ac:dyDescent="0.25">
      <c r="C4" s="95" t="s">
        <v>711</v>
      </c>
      <c r="D4" s="95" t="s">
        <v>712</v>
      </c>
    </row>
    <row r="5" spans="2:4" x14ac:dyDescent="0.25">
      <c r="B5" t="s">
        <v>26</v>
      </c>
      <c r="C5" s="95" t="s">
        <v>710</v>
      </c>
      <c r="D5" s="95" t="s">
        <v>710</v>
      </c>
    </row>
    <row r="6" spans="2:4" x14ac:dyDescent="0.25">
      <c r="B6">
        <v>1</v>
      </c>
      <c r="C6">
        <v>11683622</v>
      </c>
      <c r="D6" s="96">
        <v>115865041</v>
      </c>
    </row>
    <row r="7" spans="2:4" x14ac:dyDescent="0.25">
      <c r="B7">
        <f>B6+1</f>
        <v>2</v>
      </c>
      <c r="C7">
        <v>12282307</v>
      </c>
      <c r="D7" s="96">
        <v>124117616</v>
      </c>
    </row>
    <row r="8" spans="2:4" x14ac:dyDescent="0.25">
      <c r="B8">
        <f t="shared" ref="B8:B71" si="0">B7+1</f>
        <v>3</v>
      </c>
      <c r="C8">
        <v>12930973</v>
      </c>
      <c r="D8" s="96">
        <v>124858897</v>
      </c>
    </row>
    <row r="9" spans="2:4" x14ac:dyDescent="0.25">
      <c r="B9">
        <f t="shared" si="0"/>
        <v>4</v>
      </c>
      <c r="C9">
        <v>13693816</v>
      </c>
      <c r="D9" s="96">
        <v>127116668</v>
      </c>
    </row>
    <row r="10" spans="2:4" x14ac:dyDescent="0.25">
      <c r="B10">
        <f t="shared" si="0"/>
        <v>5</v>
      </c>
      <c r="C10">
        <v>14783907</v>
      </c>
      <c r="D10" s="96">
        <v>127506067</v>
      </c>
    </row>
    <row r="11" spans="2:4" x14ac:dyDescent="0.25">
      <c r="B11">
        <f t="shared" si="0"/>
        <v>6</v>
      </c>
      <c r="C11">
        <v>15864835</v>
      </c>
      <c r="D11" s="96">
        <v>123958708</v>
      </c>
    </row>
    <row r="12" spans="2:4" x14ac:dyDescent="0.25">
      <c r="B12">
        <f t="shared" si="0"/>
        <v>7</v>
      </c>
      <c r="C12">
        <v>16977187</v>
      </c>
      <c r="D12" s="96">
        <v>124608081</v>
      </c>
    </row>
    <row r="13" spans="2:4" x14ac:dyDescent="0.25">
      <c r="B13">
        <f t="shared" si="0"/>
        <v>8</v>
      </c>
      <c r="C13">
        <v>18260270</v>
      </c>
      <c r="D13" s="96">
        <v>119876082</v>
      </c>
    </row>
    <row r="14" spans="2:4" x14ac:dyDescent="0.25">
      <c r="B14">
        <f t="shared" si="0"/>
        <v>9</v>
      </c>
      <c r="C14">
        <v>19351600</v>
      </c>
      <c r="D14" s="96">
        <v>117184600</v>
      </c>
    </row>
    <row r="15" spans="2:4" x14ac:dyDescent="0.25">
      <c r="B15">
        <f t="shared" si="0"/>
        <v>10</v>
      </c>
      <c r="C15">
        <v>20863277</v>
      </c>
      <c r="D15" s="96">
        <v>112217704</v>
      </c>
    </row>
    <row r="16" spans="2:4" x14ac:dyDescent="0.25">
      <c r="B16">
        <f t="shared" si="0"/>
        <v>11</v>
      </c>
      <c r="C16">
        <v>22579574</v>
      </c>
      <c r="D16" s="96">
        <v>107459320</v>
      </c>
    </row>
    <row r="17" spans="2:4" x14ac:dyDescent="0.25">
      <c r="B17">
        <f t="shared" si="0"/>
        <v>12</v>
      </c>
      <c r="C17">
        <v>24504101</v>
      </c>
      <c r="D17" s="96">
        <v>102400213</v>
      </c>
    </row>
    <row r="18" spans="2:4" x14ac:dyDescent="0.25">
      <c r="B18">
        <f t="shared" si="0"/>
        <v>13</v>
      </c>
      <c r="C18">
        <v>26318482</v>
      </c>
      <c r="D18" s="96">
        <v>99599696</v>
      </c>
    </row>
    <row r="19" spans="2:4" x14ac:dyDescent="0.25">
      <c r="B19">
        <f t="shared" si="0"/>
        <v>14</v>
      </c>
      <c r="C19">
        <v>28300403</v>
      </c>
      <c r="D19" s="96">
        <v>96110394</v>
      </c>
    </row>
    <row r="20" spans="2:4" x14ac:dyDescent="0.25">
      <c r="B20">
        <f t="shared" si="0"/>
        <v>15</v>
      </c>
      <c r="C20">
        <v>30563624</v>
      </c>
      <c r="D20" s="96">
        <v>92944807</v>
      </c>
    </row>
    <row r="21" spans="2:4" x14ac:dyDescent="0.25">
      <c r="B21">
        <f t="shared" si="0"/>
        <v>16</v>
      </c>
      <c r="C21">
        <v>32754109</v>
      </c>
      <c r="D21" s="96">
        <v>91410645</v>
      </c>
    </row>
    <row r="22" spans="2:4" x14ac:dyDescent="0.25">
      <c r="B22">
        <f t="shared" si="0"/>
        <v>17</v>
      </c>
      <c r="C22">
        <v>34693405</v>
      </c>
      <c r="D22" s="96">
        <v>88799209</v>
      </c>
    </row>
    <row r="23" spans="2:4" x14ac:dyDescent="0.25">
      <c r="B23">
        <f t="shared" si="0"/>
        <v>18</v>
      </c>
      <c r="C23">
        <v>37158439</v>
      </c>
      <c r="D23" s="96">
        <v>86973898</v>
      </c>
    </row>
    <row r="24" spans="2:4" x14ac:dyDescent="0.25">
      <c r="B24">
        <f t="shared" si="0"/>
        <v>19</v>
      </c>
      <c r="C24">
        <v>39151446</v>
      </c>
      <c r="D24" s="96">
        <v>85496771</v>
      </c>
    </row>
    <row r="25" spans="2:4" x14ac:dyDescent="0.25">
      <c r="B25">
        <f t="shared" si="0"/>
        <v>20</v>
      </c>
      <c r="C25">
        <v>40880133</v>
      </c>
      <c r="D25" s="96">
        <v>84105680</v>
      </c>
    </row>
    <row r="26" spans="2:4" x14ac:dyDescent="0.25">
      <c r="B26">
        <f t="shared" si="0"/>
        <v>21</v>
      </c>
      <c r="C26">
        <v>42870412</v>
      </c>
      <c r="D26" s="96">
        <v>83480277</v>
      </c>
    </row>
    <row r="27" spans="2:4" x14ac:dyDescent="0.25">
      <c r="B27">
        <f t="shared" si="0"/>
        <v>22</v>
      </c>
      <c r="C27">
        <v>45007659</v>
      </c>
      <c r="D27" s="96">
        <v>82724266</v>
      </c>
    </row>
    <row r="28" spans="2:4" x14ac:dyDescent="0.25">
      <c r="B28">
        <f t="shared" si="0"/>
        <v>23</v>
      </c>
      <c r="C28">
        <v>46548197</v>
      </c>
      <c r="D28" s="96">
        <v>81804835</v>
      </c>
    </row>
    <row r="29" spans="2:4" x14ac:dyDescent="0.25">
      <c r="B29">
        <f t="shared" si="0"/>
        <v>24</v>
      </c>
      <c r="C29">
        <v>48004382</v>
      </c>
      <c r="D29" s="96">
        <v>81948918</v>
      </c>
    </row>
    <row r="30" spans="2:4" x14ac:dyDescent="0.25">
      <c r="B30">
        <f t="shared" si="0"/>
        <v>25</v>
      </c>
      <c r="C30">
        <v>49356321</v>
      </c>
      <c r="D30" s="96">
        <v>80809748</v>
      </c>
    </row>
    <row r="31" spans="2:4" x14ac:dyDescent="0.25">
      <c r="B31">
        <f t="shared" si="0"/>
        <v>26</v>
      </c>
      <c r="C31">
        <v>50270765</v>
      </c>
      <c r="D31" s="96">
        <v>80361578</v>
      </c>
    </row>
    <row r="32" spans="2:4" x14ac:dyDescent="0.25">
      <c r="B32">
        <f t="shared" si="0"/>
        <v>27</v>
      </c>
      <c r="C32">
        <v>50907520</v>
      </c>
      <c r="D32" s="96">
        <v>79619980</v>
      </c>
    </row>
    <row r="33" spans="2:4" x14ac:dyDescent="0.25">
      <c r="B33">
        <f t="shared" si="0"/>
        <v>28</v>
      </c>
      <c r="C33">
        <v>51125265</v>
      </c>
      <c r="D33" s="96">
        <v>78854740</v>
      </c>
    </row>
    <row r="34" spans="2:4" x14ac:dyDescent="0.25">
      <c r="B34">
        <f t="shared" si="0"/>
        <v>29</v>
      </c>
      <c r="C34">
        <v>51169152</v>
      </c>
      <c r="D34" s="96">
        <v>77886007</v>
      </c>
    </row>
    <row r="35" spans="2:4" x14ac:dyDescent="0.25">
      <c r="B35">
        <f t="shared" si="0"/>
        <v>30</v>
      </c>
      <c r="C35">
        <v>50911981</v>
      </c>
      <c r="D35" s="96">
        <v>76619030</v>
      </c>
    </row>
    <row r="36" spans="2:4" x14ac:dyDescent="0.25">
      <c r="B36">
        <f t="shared" si="0"/>
        <v>31</v>
      </c>
      <c r="C36">
        <v>50468544</v>
      </c>
      <c r="D36" s="96">
        <v>75193593</v>
      </c>
    </row>
    <row r="37" spans="2:4" x14ac:dyDescent="0.25">
      <c r="B37">
        <f t="shared" si="0"/>
        <v>32</v>
      </c>
      <c r="C37">
        <v>49742852</v>
      </c>
      <c r="D37" s="96">
        <v>73607625</v>
      </c>
    </row>
    <row r="38" spans="2:4" x14ac:dyDescent="0.25">
      <c r="B38">
        <f t="shared" si="0"/>
        <v>33</v>
      </c>
      <c r="C38">
        <v>48841140</v>
      </c>
      <c r="D38" s="96">
        <v>71841921</v>
      </c>
    </row>
    <row r="39" spans="2:4" x14ac:dyDescent="0.25">
      <c r="B39">
        <f t="shared" si="0"/>
        <v>34</v>
      </c>
      <c r="C39">
        <v>47675927</v>
      </c>
      <c r="D39" s="96">
        <v>69790756</v>
      </c>
    </row>
    <row r="40" spans="2:4" x14ac:dyDescent="0.25">
      <c r="B40">
        <f t="shared" si="0"/>
        <v>35</v>
      </c>
      <c r="C40">
        <v>46192160</v>
      </c>
      <c r="D40" s="96">
        <v>67562362</v>
      </c>
    </row>
    <row r="41" spans="2:4" x14ac:dyDescent="0.25">
      <c r="B41">
        <f t="shared" si="0"/>
        <v>36</v>
      </c>
      <c r="C41">
        <v>44435243</v>
      </c>
      <c r="D41" s="96">
        <v>65149211</v>
      </c>
    </row>
    <row r="42" spans="2:4" x14ac:dyDescent="0.25">
      <c r="B42">
        <f t="shared" si="0"/>
        <v>37</v>
      </c>
      <c r="C42">
        <v>42484026</v>
      </c>
      <c r="D42" s="96">
        <v>62602625</v>
      </c>
    </row>
    <row r="43" spans="2:4" x14ac:dyDescent="0.25">
      <c r="B43">
        <f t="shared" si="0"/>
        <v>38</v>
      </c>
      <c r="C43">
        <v>40381734</v>
      </c>
      <c r="D43" s="96">
        <v>59946279</v>
      </c>
    </row>
    <row r="44" spans="2:4" x14ac:dyDescent="0.25">
      <c r="B44">
        <f t="shared" si="0"/>
        <v>39</v>
      </c>
      <c r="C44">
        <v>38145904</v>
      </c>
      <c r="D44" s="96">
        <v>57191305</v>
      </c>
    </row>
    <row r="45" spans="2:4" x14ac:dyDescent="0.25">
      <c r="B45">
        <f t="shared" si="0"/>
        <v>40</v>
      </c>
      <c r="C45">
        <v>35824482</v>
      </c>
      <c r="D45" s="96">
        <v>54365414</v>
      </c>
    </row>
    <row r="46" spans="2:4" x14ac:dyDescent="0.25">
      <c r="B46">
        <f t="shared" si="0"/>
        <v>41</v>
      </c>
      <c r="C46">
        <v>33458143</v>
      </c>
      <c r="D46" s="96">
        <v>51487707</v>
      </c>
    </row>
    <row r="47" spans="2:4" x14ac:dyDescent="0.25">
      <c r="B47">
        <f t="shared" si="0"/>
        <v>42</v>
      </c>
      <c r="C47">
        <v>31079665</v>
      </c>
      <c r="D47" s="96">
        <v>48570988</v>
      </c>
    </row>
    <row r="48" spans="2:4" x14ac:dyDescent="0.25">
      <c r="B48">
        <f t="shared" si="0"/>
        <v>43</v>
      </c>
      <c r="C48">
        <v>28724397</v>
      </c>
      <c r="D48" s="96">
        <v>45633831</v>
      </c>
    </row>
    <row r="49" spans="2:4" x14ac:dyDescent="0.25">
      <c r="B49">
        <f t="shared" si="0"/>
        <v>44</v>
      </c>
      <c r="C49">
        <v>26420763</v>
      </c>
      <c r="D49" s="96">
        <v>42693075</v>
      </c>
    </row>
    <row r="50" spans="2:4" x14ac:dyDescent="0.25">
      <c r="B50">
        <f t="shared" si="0"/>
        <v>45</v>
      </c>
      <c r="C50">
        <v>24188159</v>
      </c>
      <c r="D50" s="96">
        <v>39767116</v>
      </c>
    </row>
    <row r="51" spans="2:4" x14ac:dyDescent="0.25">
      <c r="B51">
        <f t="shared" si="0"/>
        <v>46</v>
      </c>
      <c r="C51">
        <v>22038921</v>
      </c>
      <c r="D51" s="96">
        <v>36873989</v>
      </c>
    </row>
    <row r="52" spans="2:4" x14ac:dyDescent="0.25">
      <c r="B52">
        <f t="shared" si="0"/>
        <v>47</v>
      </c>
      <c r="C52">
        <v>19981828</v>
      </c>
      <c r="D52" s="96">
        <v>34030959</v>
      </c>
    </row>
    <row r="53" spans="2:4" x14ac:dyDescent="0.25">
      <c r="B53">
        <f t="shared" si="0"/>
        <v>48</v>
      </c>
      <c r="C53">
        <v>18024578</v>
      </c>
      <c r="D53" s="96">
        <v>31254436</v>
      </c>
    </row>
    <row r="54" spans="2:4" x14ac:dyDescent="0.25">
      <c r="B54">
        <f t="shared" si="0"/>
        <v>49</v>
      </c>
      <c r="C54">
        <v>16173124</v>
      </c>
      <c r="D54" s="96">
        <v>28559700</v>
      </c>
    </row>
    <row r="55" spans="2:4" x14ac:dyDescent="0.25">
      <c r="B55">
        <f t="shared" si="0"/>
        <v>50</v>
      </c>
      <c r="C55">
        <v>14432005</v>
      </c>
      <c r="D55" s="96">
        <v>25960716</v>
      </c>
    </row>
    <row r="56" spans="2:4" x14ac:dyDescent="0.25">
      <c r="B56">
        <f t="shared" si="0"/>
        <v>51</v>
      </c>
      <c r="C56">
        <v>12804620</v>
      </c>
      <c r="D56" s="96">
        <v>23470014</v>
      </c>
    </row>
    <row r="57" spans="2:4" x14ac:dyDescent="0.25">
      <c r="B57">
        <f t="shared" si="0"/>
        <v>52</v>
      </c>
      <c r="C57">
        <v>11293094</v>
      </c>
      <c r="D57" s="96">
        <v>21098478</v>
      </c>
    </row>
    <row r="58" spans="2:4" x14ac:dyDescent="0.25">
      <c r="B58">
        <f t="shared" si="0"/>
        <v>53</v>
      </c>
      <c r="C58">
        <v>9898270</v>
      </c>
      <c r="D58" s="96">
        <v>18855027</v>
      </c>
    </row>
    <row r="59" spans="2:4" x14ac:dyDescent="0.25">
      <c r="B59">
        <f t="shared" si="0"/>
        <v>54</v>
      </c>
      <c r="C59">
        <v>8619497</v>
      </c>
      <c r="D59" s="96">
        <v>16746589</v>
      </c>
    </row>
    <row r="60" spans="2:4" x14ac:dyDescent="0.25">
      <c r="B60">
        <f t="shared" si="0"/>
        <v>55</v>
      </c>
      <c r="C60">
        <v>7454934</v>
      </c>
      <c r="D60" s="96">
        <v>14778135</v>
      </c>
    </row>
    <row r="61" spans="2:4" x14ac:dyDescent="0.25">
      <c r="B61">
        <f t="shared" si="0"/>
        <v>56</v>
      </c>
      <c r="C61">
        <v>6401930</v>
      </c>
      <c r="D61" s="96">
        <v>12952991</v>
      </c>
    </row>
    <row r="62" spans="2:4" x14ac:dyDescent="0.25">
      <c r="B62">
        <f t="shared" si="0"/>
        <v>57</v>
      </c>
      <c r="C62">
        <v>5456719</v>
      </c>
      <c r="D62" s="96">
        <v>11272645</v>
      </c>
    </row>
    <row r="63" spans="2:4" x14ac:dyDescent="0.25">
      <c r="B63">
        <f t="shared" si="0"/>
        <v>58</v>
      </c>
      <c r="C63">
        <v>4614605</v>
      </c>
      <c r="D63" s="96">
        <v>9736853</v>
      </c>
    </row>
    <row r="64" spans="2:4" x14ac:dyDescent="0.25">
      <c r="B64">
        <f t="shared" si="0"/>
        <v>59</v>
      </c>
      <c r="C64">
        <v>3870118</v>
      </c>
      <c r="D64" s="96">
        <v>8343992</v>
      </c>
    </row>
    <row r="65" spans="2:4" x14ac:dyDescent="0.25">
      <c r="B65">
        <f t="shared" si="0"/>
        <v>60</v>
      </c>
      <c r="C65">
        <v>3217240</v>
      </c>
      <c r="D65" s="96">
        <v>7090877</v>
      </c>
    </row>
    <row r="66" spans="2:4" x14ac:dyDescent="0.25">
      <c r="B66">
        <f t="shared" si="0"/>
        <v>61</v>
      </c>
      <c r="C66">
        <v>2649797</v>
      </c>
      <c r="D66" s="96">
        <v>5972904</v>
      </c>
    </row>
    <row r="67" spans="2:4" x14ac:dyDescent="0.25">
      <c r="B67">
        <f t="shared" si="0"/>
        <v>62</v>
      </c>
      <c r="C67">
        <v>2161000</v>
      </c>
      <c r="D67" s="96">
        <v>4984448</v>
      </c>
    </row>
    <row r="68" spans="2:4" x14ac:dyDescent="0.25">
      <c r="B68">
        <f t="shared" si="0"/>
        <v>63</v>
      </c>
      <c r="C68">
        <v>1743832</v>
      </c>
      <c r="D68" s="96">
        <v>4118833</v>
      </c>
    </row>
    <row r="69" spans="2:4" x14ac:dyDescent="0.25">
      <c r="B69">
        <f t="shared" si="0"/>
        <v>64</v>
      </c>
      <c r="C69">
        <v>1391546</v>
      </c>
      <c r="D69" s="96">
        <v>3368321</v>
      </c>
    </row>
    <row r="70" spans="2:4" x14ac:dyDescent="0.25">
      <c r="B70">
        <f t="shared" si="0"/>
        <v>65</v>
      </c>
      <c r="C70">
        <v>1097090</v>
      </c>
      <c r="D70" s="96">
        <v>2724444</v>
      </c>
    </row>
    <row r="71" spans="2:4" x14ac:dyDescent="0.25">
      <c r="B71">
        <f t="shared" si="0"/>
        <v>66</v>
      </c>
      <c r="C71">
        <v>853565</v>
      </c>
      <c r="D71" s="96">
        <v>2178230</v>
      </c>
    </row>
    <row r="72" spans="2:4" x14ac:dyDescent="0.25">
      <c r="B72">
        <f t="shared" ref="B72:B125" si="1">B71+1</f>
        <v>67</v>
      </c>
      <c r="C72">
        <v>654700</v>
      </c>
      <c r="D72" s="96">
        <v>1720342</v>
      </c>
    </row>
    <row r="73" spans="2:4" x14ac:dyDescent="0.25">
      <c r="B73">
        <f t="shared" si="1"/>
        <v>68</v>
      </c>
      <c r="C73">
        <v>494476</v>
      </c>
      <c r="D73" s="96">
        <v>1341281</v>
      </c>
    </row>
    <row r="74" spans="2:4" x14ac:dyDescent="0.25">
      <c r="B74">
        <f t="shared" si="1"/>
        <v>69</v>
      </c>
      <c r="C74">
        <v>367170</v>
      </c>
      <c r="D74" s="96">
        <v>1031616</v>
      </c>
    </row>
    <row r="75" spans="2:4" x14ac:dyDescent="0.25">
      <c r="B75">
        <f t="shared" si="1"/>
        <v>70</v>
      </c>
      <c r="C75">
        <v>267594</v>
      </c>
      <c r="D75" s="96">
        <v>782163</v>
      </c>
    </row>
    <row r="76" spans="2:4" x14ac:dyDescent="0.25">
      <c r="B76">
        <f t="shared" si="1"/>
        <v>71</v>
      </c>
      <c r="C76">
        <v>191058</v>
      </c>
      <c r="D76" s="96">
        <v>584162</v>
      </c>
    </row>
    <row r="77" spans="2:4" x14ac:dyDescent="0.25">
      <c r="B77">
        <f t="shared" si="1"/>
        <v>72</v>
      </c>
      <c r="C77">
        <v>133400</v>
      </c>
      <c r="D77" s="96">
        <v>429429</v>
      </c>
    </row>
    <row r="78" spans="2:4" x14ac:dyDescent="0.25">
      <c r="B78">
        <f t="shared" si="1"/>
        <v>73</v>
      </c>
      <c r="C78">
        <v>90936</v>
      </c>
      <c r="D78" s="96">
        <v>310471</v>
      </c>
    </row>
    <row r="79" spans="2:4" x14ac:dyDescent="0.25">
      <c r="B79">
        <f t="shared" si="1"/>
        <v>74</v>
      </c>
      <c r="C79">
        <v>60430</v>
      </c>
      <c r="D79" s="96">
        <v>220569</v>
      </c>
    </row>
    <row r="80" spans="2:4" x14ac:dyDescent="0.25">
      <c r="B80">
        <f t="shared" si="1"/>
        <v>75</v>
      </c>
      <c r="C80">
        <v>39039</v>
      </c>
      <c r="D80" s="96">
        <v>153843</v>
      </c>
    </row>
    <row r="81" spans="2:4" x14ac:dyDescent="0.25">
      <c r="B81">
        <f t="shared" si="1"/>
        <v>76</v>
      </c>
      <c r="C81">
        <v>24441</v>
      </c>
      <c r="D81" s="96">
        <v>105256</v>
      </c>
    </row>
    <row r="82" spans="2:4" x14ac:dyDescent="0.25">
      <c r="B82">
        <f t="shared" si="1"/>
        <v>77</v>
      </c>
      <c r="C82">
        <v>14788</v>
      </c>
      <c r="D82" s="96">
        <v>70574</v>
      </c>
    </row>
    <row r="83" spans="2:4" x14ac:dyDescent="0.25">
      <c r="B83">
        <f t="shared" si="1"/>
        <v>78</v>
      </c>
      <c r="C83">
        <v>8622</v>
      </c>
      <c r="D83" s="96">
        <v>46331</v>
      </c>
    </row>
    <row r="84" spans="2:4" x14ac:dyDescent="0.25">
      <c r="B84">
        <f t="shared" si="1"/>
        <v>79</v>
      </c>
      <c r="C84">
        <v>4833</v>
      </c>
      <c r="D84" s="96">
        <v>29750</v>
      </c>
    </row>
    <row r="85" spans="2:4" x14ac:dyDescent="0.25">
      <c r="B85">
        <f t="shared" si="1"/>
        <v>80</v>
      </c>
      <c r="C85">
        <v>2605</v>
      </c>
      <c r="D85" s="96">
        <v>18672</v>
      </c>
    </row>
    <row r="86" spans="2:4" x14ac:dyDescent="0.25">
      <c r="B86">
        <f t="shared" si="1"/>
        <v>81</v>
      </c>
      <c r="C86">
        <v>1349</v>
      </c>
      <c r="D86" s="96">
        <v>11447</v>
      </c>
    </row>
    <row r="87" spans="2:4" x14ac:dyDescent="0.25">
      <c r="B87">
        <f t="shared" si="1"/>
        <v>82</v>
      </c>
      <c r="C87">
        <v>670</v>
      </c>
      <c r="D87" s="96">
        <v>6847</v>
      </c>
    </row>
    <row r="88" spans="2:4" x14ac:dyDescent="0.25">
      <c r="B88">
        <f t="shared" si="1"/>
        <v>83</v>
      </c>
      <c r="C88">
        <v>318</v>
      </c>
      <c r="D88" s="96">
        <v>3995</v>
      </c>
    </row>
    <row r="89" spans="2:4" x14ac:dyDescent="0.25">
      <c r="B89">
        <f t="shared" si="1"/>
        <v>84</v>
      </c>
      <c r="C89">
        <v>146</v>
      </c>
      <c r="D89" s="96">
        <v>2274</v>
      </c>
    </row>
    <row r="90" spans="2:4" x14ac:dyDescent="0.25">
      <c r="B90">
        <f t="shared" si="1"/>
        <v>85</v>
      </c>
      <c r="C90">
        <v>64</v>
      </c>
      <c r="D90" s="96">
        <v>1263</v>
      </c>
    </row>
    <row r="91" spans="2:4" x14ac:dyDescent="0.25">
      <c r="B91">
        <f t="shared" si="1"/>
        <v>86</v>
      </c>
      <c r="C91">
        <v>28</v>
      </c>
      <c r="D91" s="96">
        <v>685</v>
      </c>
    </row>
    <row r="92" spans="2:4" x14ac:dyDescent="0.25">
      <c r="B92">
        <f t="shared" si="1"/>
        <v>87</v>
      </c>
      <c r="C92">
        <v>12</v>
      </c>
      <c r="D92" s="96">
        <v>363</v>
      </c>
    </row>
    <row r="93" spans="2:4" x14ac:dyDescent="0.25">
      <c r="B93">
        <f t="shared" si="1"/>
        <v>88</v>
      </c>
      <c r="C93">
        <v>5</v>
      </c>
      <c r="D93" s="96">
        <v>187</v>
      </c>
    </row>
    <row r="94" spans="2:4" x14ac:dyDescent="0.25">
      <c r="B94">
        <f t="shared" si="1"/>
        <v>89</v>
      </c>
      <c r="C94">
        <v>1</v>
      </c>
      <c r="D94" s="96">
        <v>94</v>
      </c>
    </row>
    <row r="95" spans="2:4" x14ac:dyDescent="0.25">
      <c r="B95">
        <f t="shared" si="1"/>
        <v>90</v>
      </c>
      <c r="C95">
        <v>0</v>
      </c>
      <c r="D95" s="96">
        <v>45</v>
      </c>
    </row>
    <row r="96" spans="2:4" x14ac:dyDescent="0.25">
      <c r="B96">
        <f t="shared" si="1"/>
        <v>91</v>
      </c>
      <c r="C96">
        <v>0</v>
      </c>
      <c r="D96" s="96">
        <v>21</v>
      </c>
    </row>
    <row r="97" spans="2:4" x14ac:dyDescent="0.25">
      <c r="B97">
        <f t="shared" si="1"/>
        <v>92</v>
      </c>
      <c r="C97">
        <v>0</v>
      </c>
      <c r="D97" s="96">
        <v>9</v>
      </c>
    </row>
    <row r="98" spans="2:4" x14ac:dyDescent="0.25">
      <c r="B98">
        <f t="shared" si="1"/>
        <v>93</v>
      </c>
      <c r="C98">
        <v>0</v>
      </c>
      <c r="D98" s="96">
        <v>4</v>
      </c>
    </row>
    <row r="99" spans="2:4" x14ac:dyDescent="0.25">
      <c r="B99">
        <f t="shared" si="1"/>
        <v>94</v>
      </c>
      <c r="C99">
        <v>0</v>
      </c>
      <c r="D99" s="96">
        <v>2</v>
      </c>
    </row>
    <row r="100" spans="2:4" x14ac:dyDescent="0.25">
      <c r="B100">
        <f t="shared" si="1"/>
        <v>95</v>
      </c>
      <c r="C100">
        <v>0</v>
      </c>
      <c r="D100" s="96">
        <v>1</v>
      </c>
    </row>
    <row r="101" spans="2:4" x14ac:dyDescent="0.25">
      <c r="B101">
        <f t="shared" si="1"/>
        <v>96</v>
      </c>
      <c r="C101">
        <v>0</v>
      </c>
      <c r="D101" s="96">
        <v>0</v>
      </c>
    </row>
    <row r="102" spans="2:4" x14ac:dyDescent="0.25">
      <c r="B102">
        <f t="shared" si="1"/>
        <v>97</v>
      </c>
      <c r="C102">
        <v>0</v>
      </c>
      <c r="D102" s="96">
        <v>0</v>
      </c>
    </row>
    <row r="103" spans="2:4" x14ac:dyDescent="0.25">
      <c r="B103">
        <f t="shared" si="1"/>
        <v>98</v>
      </c>
      <c r="C103">
        <v>0</v>
      </c>
      <c r="D103" s="96">
        <v>0</v>
      </c>
    </row>
    <row r="104" spans="2:4" x14ac:dyDescent="0.25">
      <c r="B104">
        <f t="shared" si="1"/>
        <v>99</v>
      </c>
      <c r="C104">
        <v>0</v>
      </c>
      <c r="D104" s="96">
        <v>0</v>
      </c>
    </row>
    <row r="105" spans="2:4" x14ac:dyDescent="0.25">
      <c r="B105">
        <f t="shared" si="1"/>
        <v>100</v>
      </c>
      <c r="C105">
        <v>0</v>
      </c>
      <c r="D105" s="96">
        <v>0</v>
      </c>
    </row>
    <row r="106" spans="2:4" x14ac:dyDescent="0.25">
      <c r="B106">
        <f t="shared" si="1"/>
        <v>101</v>
      </c>
      <c r="C106">
        <v>0</v>
      </c>
      <c r="D106" s="96">
        <v>0</v>
      </c>
    </row>
    <row r="107" spans="2:4" x14ac:dyDescent="0.25">
      <c r="B107">
        <f t="shared" si="1"/>
        <v>102</v>
      </c>
      <c r="C107">
        <v>0</v>
      </c>
      <c r="D107" s="96">
        <v>0</v>
      </c>
    </row>
    <row r="108" spans="2:4" x14ac:dyDescent="0.25">
      <c r="B108">
        <f t="shared" si="1"/>
        <v>103</v>
      </c>
      <c r="C108">
        <v>0</v>
      </c>
      <c r="D108" s="96">
        <v>0</v>
      </c>
    </row>
    <row r="109" spans="2:4" x14ac:dyDescent="0.25">
      <c r="B109">
        <f t="shared" si="1"/>
        <v>104</v>
      </c>
      <c r="C109">
        <v>0</v>
      </c>
      <c r="D109" s="96">
        <v>0</v>
      </c>
    </row>
    <row r="110" spans="2:4" x14ac:dyDescent="0.25">
      <c r="B110">
        <f t="shared" si="1"/>
        <v>105</v>
      </c>
      <c r="C110">
        <v>0</v>
      </c>
      <c r="D110" s="96">
        <v>0</v>
      </c>
    </row>
    <row r="111" spans="2:4" x14ac:dyDescent="0.25">
      <c r="B111">
        <f t="shared" si="1"/>
        <v>106</v>
      </c>
      <c r="C111">
        <v>0</v>
      </c>
      <c r="D111" s="96">
        <v>0</v>
      </c>
    </row>
    <row r="112" spans="2:4" x14ac:dyDescent="0.25">
      <c r="B112">
        <f t="shared" si="1"/>
        <v>107</v>
      </c>
      <c r="C112">
        <v>0</v>
      </c>
      <c r="D112" s="96">
        <v>0</v>
      </c>
    </row>
    <row r="113" spans="2:4" x14ac:dyDescent="0.25">
      <c r="B113">
        <f t="shared" si="1"/>
        <v>108</v>
      </c>
      <c r="C113">
        <v>0</v>
      </c>
      <c r="D113" s="96">
        <v>0</v>
      </c>
    </row>
    <row r="114" spans="2:4" x14ac:dyDescent="0.25">
      <c r="B114">
        <f t="shared" si="1"/>
        <v>109</v>
      </c>
      <c r="C114">
        <v>0</v>
      </c>
      <c r="D114" s="96">
        <v>0</v>
      </c>
    </row>
    <row r="115" spans="2:4" x14ac:dyDescent="0.25">
      <c r="B115">
        <f t="shared" si="1"/>
        <v>110</v>
      </c>
      <c r="C115">
        <v>0</v>
      </c>
      <c r="D115" s="96">
        <v>0</v>
      </c>
    </row>
    <row r="116" spans="2:4" x14ac:dyDescent="0.25">
      <c r="B116">
        <f t="shared" si="1"/>
        <v>111</v>
      </c>
      <c r="C116">
        <v>0</v>
      </c>
      <c r="D116" s="96">
        <v>0</v>
      </c>
    </row>
    <row r="117" spans="2:4" x14ac:dyDescent="0.25">
      <c r="B117">
        <f t="shared" si="1"/>
        <v>112</v>
      </c>
      <c r="C117">
        <v>0</v>
      </c>
      <c r="D117" s="96">
        <v>0</v>
      </c>
    </row>
    <row r="118" spans="2:4" x14ac:dyDescent="0.25">
      <c r="B118">
        <f t="shared" si="1"/>
        <v>113</v>
      </c>
      <c r="C118">
        <v>0</v>
      </c>
      <c r="D118" s="96">
        <v>0</v>
      </c>
    </row>
    <row r="119" spans="2:4" x14ac:dyDescent="0.25">
      <c r="B119">
        <f t="shared" si="1"/>
        <v>114</v>
      </c>
      <c r="C119">
        <v>0</v>
      </c>
      <c r="D119" s="96">
        <v>0</v>
      </c>
    </row>
    <row r="120" spans="2:4" x14ac:dyDescent="0.25">
      <c r="B120">
        <f t="shared" si="1"/>
        <v>115</v>
      </c>
      <c r="C120">
        <v>0</v>
      </c>
      <c r="D120" s="96">
        <v>0</v>
      </c>
    </row>
    <row r="121" spans="2:4" x14ac:dyDescent="0.25">
      <c r="B121">
        <f t="shared" si="1"/>
        <v>116</v>
      </c>
      <c r="C121">
        <v>0</v>
      </c>
      <c r="D121" s="96">
        <v>0</v>
      </c>
    </row>
    <row r="122" spans="2:4" x14ac:dyDescent="0.25">
      <c r="B122">
        <f t="shared" si="1"/>
        <v>117</v>
      </c>
      <c r="C122">
        <v>0</v>
      </c>
      <c r="D122" s="96">
        <v>0</v>
      </c>
    </row>
    <row r="123" spans="2:4" x14ac:dyDescent="0.25">
      <c r="B123">
        <f t="shared" si="1"/>
        <v>118</v>
      </c>
      <c r="C123">
        <v>0</v>
      </c>
      <c r="D123" s="96">
        <v>0</v>
      </c>
    </row>
    <row r="124" spans="2:4" x14ac:dyDescent="0.25">
      <c r="B124">
        <f t="shared" si="1"/>
        <v>119</v>
      </c>
      <c r="C124">
        <v>0</v>
      </c>
      <c r="D124" s="96">
        <v>0</v>
      </c>
    </row>
    <row r="125" spans="2:4" x14ac:dyDescent="0.25">
      <c r="B125">
        <f t="shared" si="1"/>
        <v>120</v>
      </c>
      <c r="C125">
        <v>0</v>
      </c>
      <c r="D125" s="96">
        <v>0</v>
      </c>
    </row>
  </sheetData>
  <phoneticPr fontId="6"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A1:H54"/>
  <sheetViews>
    <sheetView topLeftCell="A5" workbookViewId="0">
      <pane ySplit="1" topLeftCell="A6" activePane="bottomLeft" state="frozen"/>
      <selection activeCell="A5" sqref="A5"/>
      <selection pane="bottomLeft" activeCell="A11" sqref="A11"/>
    </sheetView>
  </sheetViews>
  <sheetFormatPr defaultColWidth="8.81640625" defaultRowHeight="12.5" x14ac:dyDescent="0.25"/>
  <cols>
    <col min="1" max="1" width="9.7265625" style="9" customWidth="1"/>
    <col min="2" max="2" width="14.36328125" style="9" bestFit="1" customWidth="1"/>
    <col min="3" max="3" width="13.81640625" style="9" bestFit="1" customWidth="1"/>
    <col min="4" max="4" width="13" style="9" customWidth="1"/>
    <col min="5" max="5" width="10.26953125" style="9" customWidth="1"/>
    <col min="6" max="6" width="10.54296875" style="9" customWidth="1"/>
    <col min="7" max="7" width="11.7265625" style="9" bestFit="1" customWidth="1"/>
    <col min="8" max="8" width="11.54296875" style="9" bestFit="1" customWidth="1"/>
    <col min="9" max="16384" width="8.81640625" style="9"/>
  </cols>
  <sheetData>
    <row r="1" spans="1:8" ht="18" x14ac:dyDescent="0.4">
      <c r="A1" s="179" t="s">
        <v>201</v>
      </c>
      <c r="B1" s="179"/>
      <c r="C1" s="179"/>
      <c r="D1" s="179"/>
      <c r="E1" s="179"/>
      <c r="F1" s="179"/>
      <c r="G1" s="179"/>
      <c r="H1" s="179"/>
    </row>
    <row r="4" spans="1:8" ht="13" thickBot="1" x14ac:dyDescent="0.3">
      <c r="C4" s="33"/>
      <c r="D4" s="33"/>
      <c r="E4" s="33"/>
      <c r="F4" s="33"/>
    </row>
    <row r="5" spans="1:8" ht="13" x14ac:dyDescent="0.3">
      <c r="A5" s="10" t="s">
        <v>803</v>
      </c>
      <c r="B5" s="34" t="s">
        <v>245</v>
      </c>
      <c r="C5" s="11" t="s">
        <v>246</v>
      </c>
      <c r="D5" s="11" t="s">
        <v>247</v>
      </c>
      <c r="E5" s="11" t="s">
        <v>204</v>
      </c>
      <c r="F5" s="11" t="s">
        <v>205</v>
      </c>
      <c r="G5" s="11" t="s">
        <v>248</v>
      </c>
      <c r="H5" s="11" t="s">
        <v>249</v>
      </c>
    </row>
    <row r="6" spans="1:8" x14ac:dyDescent="0.25">
      <c r="A6" s="35">
        <v>375757</v>
      </c>
      <c r="B6" s="35">
        <v>2</v>
      </c>
      <c r="C6" s="36">
        <v>96000</v>
      </c>
      <c r="D6" s="36">
        <v>91428.57142857142</v>
      </c>
      <c r="E6" s="35">
        <v>55</v>
      </c>
      <c r="F6" s="35">
        <v>7</v>
      </c>
      <c r="G6" s="35" t="s">
        <v>244</v>
      </c>
      <c r="H6" s="35" t="s">
        <v>244</v>
      </c>
    </row>
    <row r="7" spans="1:8" x14ac:dyDescent="0.25">
      <c r="A7" s="35">
        <v>384691</v>
      </c>
      <c r="B7" s="35">
        <v>1</v>
      </c>
      <c r="C7" s="36">
        <v>89000</v>
      </c>
      <c r="D7" s="36">
        <v>84761.904761904763</v>
      </c>
      <c r="E7" s="35">
        <v>52</v>
      </c>
      <c r="F7" s="35">
        <v>5</v>
      </c>
      <c r="G7" s="35" t="s">
        <v>244</v>
      </c>
      <c r="H7" s="35" t="s">
        <v>244</v>
      </c>
    </row>
    <row r="8" spans="1:8" x14ac:dyDescent="0.25">
      <c r="A8" s="35">
        <v>396332</v>
      </c>
      <c r="B8" s="35">
        <v>3</v>
      </c>
      <c r="C8" s="36">
        <v>85000</v>
      </c>
      <c r="D8" s="36"/>
      <c r="E8" s="35">
        <v>48</v>
      </c>
      <c r="F8" s="35">
        <v>1</v>
      </c>
      <c r="G8" s="35" t="s">
        <v>244</v>
      </c>
      <c r="H8" s="35"/>
    </row>
    <row r="9" spans="1:8" x14ac:dyDescent="0.25">
      <c r="A9" s="35">
        <v>401073</v>
      </c>
      <c r="B9" s="35">
        <v>1</v>
      </c>
      <c r="C9" s="36"/>
      <c r="D9" s="36">
        <v>80000</v>
      </c>
      <c r="E9" s="35">
        <v>66</v>
      </c>
      <c r="F9" s="35"/>
      <c r="G9" s="35" t="s">
        <v>44</v>
      </c>
      <c r="H9" s="35" t="s">
        <v>44</v>
      </c>
    </row>
    <row r="10" spans="1:8" x14ac:dyDescent="0.25">
      <c r="A10" s="35">
        <v>409118</v>
      </c>
      <c r="B10" s="35">
        <v>1</v>
      </c>
      <c r="C10" s="36">
        <v>83000</v>
      </c>
      <c r="D10" s="36">
        <v>71000</v>
      </c>
      <c r="E10" s="35">
        <v>28</v>
      </c>
      <c r="F10" s="35">
        <v>11</v>
      </c>
      <c r="G10" s="35" t="s">
        <v>244</v>
      </c>
      <c r="H10" s="35" t="s">
        <v>244</v>
      </c>
    </row>
    <row r="11" spans="1:8" x14ac:dyDescent="0.25">
      <c r="A11" s="35">
        <v>411380</v>
      </c>
      <c r="B11" s="35">
        <v>1</v>
      </c>
      <c r="C11" s="36">
        <v>86000</v>
      </c>
      <c r="D11" s="36">
        <v>74000</v>
      </c>
      <c r="E11" s="35">
        <v>57</v>
      </c>
      <c r="F11" s="35">
        <v>27</v>
      </c>
      <c r="G11" s="35" t="s">
        <v>244</v>
      </c>
      <c r="H11" s="35" t="s">
        <v>244</v>
      </c>
    </row>
    <row r="12" spans="1:8" x14ac:dyDescent="0.25">
      <c r="A12" s="35">
        <v>412092</v>
      </c>
      <c r="B12" s="35">
        <v>1</v>
      </c>
      <c r="C12" s="36">
        <v>87000</v>
      </c>
      <c r="D12" s="36"/>
      <c r="E12" s="35">
        <v>32</v>
      </c>
      <c r="F12" s="35">
        <v>2</v>
      </c>
      <c r="G12" s="35" t="s">
        <v>244</v>
      </c>
      <c r="H12" s="35"/>
    </row>
    <row r="13" spans="1:8" x14ac:dyDescent="0.25">
      <c r="A13" s="35">
        <v>413369</v>
      </c>
      <c r="B13" s="35">
        <v>1</v>
      </c>
      <c r="C13" s="36">
        <v>86000</v>
      </c>
      <c r="D13" s="36"/>
      <c r="E13" s="35">
        <v>44</v>
      </c>
      <c r="F13" s="35">
        <v>14</v>
      </c>
      <c r="G13" s="35" t="s">
        <v>244</v>
      </c>
      <c r="H13" s="35"/>
    </row>
    <row r="14" spans="1:8" x14ac:dyDescent="0.25">
      <c r="A14" s="35">
        <v>415179</v>
      </c>
      <c r="B14" s="35">
        <v>1</v>
      </c>
      <c r="C14" s="36">
        <v>75000</v>
      </c>
      <c r="D14" s="36">
        <v>63000</v>
      </c>
      <c r="E14" s="35">
        <v>32</v>
      </c>
      <c r="F14" s="35">
        <v>2</v>
      </c>
      <c r="G14" s="35" t="s">
        <v>244</v>
      </c>
      <c r="H14" s="35" t="s">
        <v>244</v>
      </c>
    </row>
    <row r="15" spans="1:8" x14ac:dyDescent="0.25">
      <c r="A15" s="35">
        <v>422576</v>
      </c>
      <c r="B15" s="35">
        <v>1</v>
      </c>
      <c r="C15" s="36">
        <v>86000</v>
      </c>
      <c r="D15" s="36">
        <v>80000</v>
      </c>
      <c r="E15" s="35">
        <v>55</v>
      </c>
      <c r="F15" s="35"/>
      <c r="G15" s="35" t="s">
        <v>44</v>
      </c>
      <c r="H15" s="35" t="s">
        <v>244</v>
      </c>
    </row>
    <row r="16" spans="1:8" x14ac:dyDescent="0.25">
      <c r="A16" s="35">
        <v>424060</v>
      </c>
      <c r="B16" s="35">
        <v>3</v>
      </c>
      <c r="C16" s="36">
        <v>250000</v>
      </c>
      <c r="D16" s="36">
        <v>230000</v>
      </c>
      <c r="E16" s="35">
        <v>51</v>
      </c>
      <c r="F16" s="35">
        <v>10</v>
      </c>
      <c r="G16" s="35" t="s">
        <v>244</v>
      </c>
      <c r="H16" s="35" t="s">
        <v>244</v>
      </c>
    </row>
    <row r="17" spans="1:8" x14ac:dyDescent="0.25">
      <c r="A17" s="35">
        <v>431411</v>
      </c>
      <c r="B17" s="35">
        <v>3</v>
      </c>
      <c r="C17" s="36">
        <v>91000</v>
      </c>
      <c r="D17" s="36">
        <v>86666.666666666657</v>
      </c>
      <c r="E17" s="35">
        <v>49</v>
      </c>
      <c r="F17" s="35">
        <v>6</v>
      </c>
      <c r="G17" s="35" t="s">
        <v>244</v>
      </c>
      <c r="H17" s="35" t="s">
        <v>244</v>
      </c>
    </row>
    <row r="18" spans="1:8" x14ac:dyDescent="0.25">
      <c r="A18" s="35">
        <v>436028</v>
      </c>
      <c r="B18" s="35">
        <v>1</v>
      </c>
      <c r="C18" s="36">
        <v>86000</v>
      </c>
      <c r="D18" s="36">
        <v>74000</v>
      </c>
      <c r="E18" s="35">
        <v>23</v>
      </c>
      <c r="F18" s="35">
        <v>3</v>
      </c>
      <c r="G18" s="35" t="s">
        <v>244</v>
      </c>
      <c r="H18" s="35" t="s">
        <v>244</v>
      </c>
    </row>
    <row r="19" spans="1:8" x14ac:dyDescent="0.25">
      <c r="A19" s="35">
        <v>437293</v>
      </c>
      <c r="B19" s="35">
        <v>3</v>
      </c>
      <c r="C19" s="36">
        <v>86000</v>
      </c>
      <c r="D19" s="36">
        <v>80000</v>
      </c>
      <c r="E19" s="35">
        <v>51</v>
      </c>
      <c r="F19" s="35"/>
      <c r="G19" s="35" t="s">
        <v>250</v>
      </c>
      <c r="H19" s="35" t="s">
        <v>244</v>
      </c>
    </row>
    <row r="20" spans="1:8" x14ac:dyDescent="0.25">
      <c r="A20" s="35">
        <v>438052</v>
      </c>
      <c r="B20" s="35">
        <v>1</v>
      </c>
      <c r="C20" s="36">
        <v>86000</v>
      </c>
      <c r="D20" s="36">
        <v>74000</v>
      </c>
      <c r="E20" s="35">
        <v>32</v>
      </c>
      <c r="F20" s="35">
        <v>9</v>
      </c>
      <c r="G20" s="35" t="s">
        <v>244</v>
      </c>
      <c r="H20" s="35" t="s">
        <v>244</v>
      </c>
    </row>
    <row r="21" spans="1:8" x14ac:dyDescent="0.25">
      <c r="A21" s="35">
        <v>438638</v>
      </c>
      <c r="B21" s="35">
        <v>2</v>
      </c>
      <c r="C21" s="36">
        <v>87000</v>
      </c>
      <c r="D21" s="36">
        <v>82857.142857142855</v>
      </c>
      <c r="E21" s="35">
        <v>47</v>
      </c>
      <c r="F21" s="35">
        <v>12</v>
      </c>
      <c r="G21" s="35" t="s">
        <v>244</v>
      </c>
      <c r="H21" s="35" t="s">
        <v>244</v>
      </c>
    </row>
    <row r="22" spans="1:8" x14ac:dyDescent="0.25">
      <c r="A22" s="35">
        <v>449418</v>
      </c>
      <c r="B22" s="35">
        <v>1</v>
      </c>
      <c r="C22" s="36">
        <v>76000</v>
      </c>
      <c r="D22" s="36">
        <v>64000</v>
      </c>
      <c r="E22" s="35">
        <v>45</v>
      </c>
      <c r="F22" s="35">
        <v>15</v>
      </c>
      <c r="G22" s="35" t="s">
        <v>244</v>
      </c>
      <c r="H22" s="35" t="s">
        <v>244</v>
      </c>
    </row>
    <row r="23" spans="1:8" x14ac:dyDescent="0.25">
      <c r="A23" s="35">
        <v>449944</v>
      </c>
      <c r="B23" s="35">
        <v>1</v>
      </c>
      <c r="C23" s="36">
        <v>86000</v>
      </c>
      <c r="D23" s="36">
        <v>80000</v>
      </c>
      <c r="E23" s="35">
        <v>45</v>
      </c>
      <c r="F23" s="35"/>
      <c r="G23" s="35" t="s">
        <v>250</v>
      </c>
      <c r="H23" s="35" t="s">
        <v>244</v>
      </c>
    </row>
    <row r="24" spans="1:8" x14ac:dyDescent="0.25">
      <c r="A24" s="35">
        <v>452656</v>
      </c>
      <c r="B24" s="35">
        <v>2</v>
      </c>
      <c r="C24" s="36">
        <v>93000</v>
      </c>
      <c r="D24" s="36">
        <v>88571.428571428565</v>
      </c>
      <c r="E24" s="35">
        <v>46</v>
      </c>
      <c r="F24" s="35">
        <v>18</v>
      </c>
      <c r="G24" s="35" t="s">
        <v>244</v>
      </c>
      <c r="H24" s="35" t="s">
        <v>244</v>
      </c>
    </row>
    <row r="25" spans="1:8" x14ac:dyDescent="0.25">
      <c r="A25" s="35">
        <v>463271</v>
      </c>
      <c r="B25" s="35">
        <v>1</v>
      </c>
      <c r="C25" s="36">
        <v>54000</v>
      </c>
      <c r="D25" s="36">
        <v>42000</v>
      </c>
      <c r="E25" s="35">
        <v>32</v>
      </c>
      <c r="F25" s="35">
        <v>8</v>
      </c>
      <c r="G25" s="35" t="s">
        <v>244</v>
      </c>
      <c r="H25" s="35" t="s">
        <v>244</v>
      </c>
    </row>
    <row r="26" spans="1:8" x14ac:dyDescent="0.25">
      <c r="A26" s="35">
        <v>463938</v>
      </c>
      <c r="B26" s="35">
        <v>1</v>
      </c>
      <c r="C26" s="36">
        <v>96000</v>
      </c>
      <c r="D26" s="36">
        <v>84000</v>
      </c>
      <c r="E26" s="35">
        <v>32</v>
      </c>
      <c r="F26" s="35">
        <v>2</v>
      </c>
      <c r="G26" s="35" t="s">
        <v>244</v>
      </c>
      <c r="H26" s="35" t="s">
        <v>244</v>
      </c>
    </row>
    <row r="27" spans="1:8" x14ac:dyDescent="0.25">
      <c r="A27" s="35">
        <v>479102</v>
      </c>
      <c r="B27" s="35">
        <v>3</v>
      </c>
      <c r="C27" s="36">
        <v>85000</v>
      </c>
      <c r="D27" s="36"/>
      <c r="E27" s="35">
        <v>48</v>
      </c>
      <c r="F27" s="35">
        <v>1</v>
      </c>
      <c r="G27" s="35" t="s">
        <v>244</v>
      </c>
      <c r="H27" s="35"/>
    </row>
    <row r="28" spans="1:8" x14ac:dyDescent="0.25">
      <c r="A28" s="35">
        <v>481800</v>
      </c>
      <c r="B28" s="35">
        <v>2</v>
      </c>
      <c r="C28" s="36"/>
      <c r="D28" s="36">
        <v>80000</v>
      </c>
      <c r="E28" s="35">
        <v>64</v>
      </c>
      <c r="F28" s="35"/>
      <c r="G28" s="35" t="s">
        <v>44</v>
      </c>
      <c r="H28" s="35" t="s">
        <v>44</v>
      </c>
    </row>
    <row r="29" spans="1:8" x14ac:dyDescent="0.25">
      <c r="A29" s="35">
        <v>482078</v>
      </c>
      <c r="B29" s="35">
        <v>1</v>
      </c>
      <c r="C29" s="36">
        <v>110000</v>
      </c>
      <c r="D29" s="36">
        <v>98000</v>
      </c>
      <c r="E29" s="35">
        <v>32</v>
      </c>
      <c r="F29" s="35">
        <v>8</v>
      </c>
      <c r="G29" s="35" t="s">
        <v>244</v>
      </c>
      <c r="H29" s="35" t="s">
        <v>244</v>
      </c>
    </row>
    <row r="30" spans="1:8" x14ac:dyDescent="0.25">
      <c r="A30" s="35">
        <v>486583</v>
      </c>
      <c r="B30" s="35">
        <v>1</v>
      </c>
      <c r="C30" s="36">
        <v>86000</v>
      </c>
      <c r="D30" s="36">
        <v>80000</v>
      </c>
      <c r="E30" s="35">
        <v>32</v>
      </c>
      <c r="F30" s="35"/>
      <c r="G30" s="35" t="s">
        <v>251</v>
      </c>
      <c r="H30" s="35" t="s">
        <v>244</v>
      </c>
    </row>
    <row r="31" spans="1:8" x14ac:dyDescent="0.25">
      <c r="A31" s="35">
        <v>492053</v>
      </c>
      <c r="B31" s="35">
        <v>1</v>
      </c>
      <c r="C31" s="36">
        <v>86000</v>
      </c>
      <c r="D31" s="36">
        <v>74000</v>
      </c>
      <c r="E31" s="35">
        <v>32</v>
      </c>
      <c r="F31" s="35">
        <v>2</v>
      </c>
      <c r="G31" s="35" t="s">
        <v>244</v>
      </c>
      <c r="H31" s="35" t="s">
        <v>244</v>
      </c>
    </row>
    <row r="32" spans="1:8" x14ac:dyDescent="0.25">
      <c r="A32" s="35">
        <v>492133</v>
      </c>
      <c r="B32" s="35">
        <v>1</v>
      </c>
      <c r="C32" s="36">
        <v>100000</v>
      </c>
      <c r="D32" s="36">
        <v>88000</v>
      </c>
      <c r="E32" s="35">
        <v>32</v>
      </c>
      <c r="F32" s="35">
        <v>10</v>
      </c>
      <c r="G32" s="35" t="s">
        <v>244</v>
      </c>
      <c r="H32" s="35" t="s">
        <v>244</v>
      </c>
    </row>
    <row r="33" spans="1:8" x14ac:dyDescent="0.25">
      <c r="A33" s="35">
        <v>492176</v>
      </c>
      <c r="B33" s="35">
        <v>1</v>
      </c>
      <c r="C33" s="36">
        <v>86000</v>
      </c>
      <c r="D33" s="36">
        <v>80000</v>
      </c>
      <c r="E33" s="35">
        <v>34</v>
      </c>
      <c r="F33" s="35"/>
      <c r="G33" s="35" t="s">
        <v>251</v>
      </c>
      <c r="H33" s="35" t="s">
        <v>244</v>
      </c>
    </row>
    <row r="34" spans="1:8" x14ac:dyDescent="0.25">
      <c r="A34" s="35">
        <v>496907</v>
      </c>
      <c r="B34" s="35">
        <v>2</v>
      </c>
      <c r="C34" s="36"/>
      <c r="D34" s="36">
        <v>80000</v>
      </c>
      <c r="E34" s="35">
        <v>59</v>
      </c>
      <c r="F34" s="35"/>
      <c r="G34" s="35" t="s">
        <v>44</v>
      </c>
      <c r="H34" s="35" t="s">
        <v>250</v>
      </c>
    </row>
    <row r="35" spans="1:8" x14ac:dyDescent="0.25">
      <c r="A35" s="35">
        <v>507242</v>
      </c>
      <c r="B35" s="35">
        <v>1</v>
      </c>
      <c r="C35" s="36">
        <v>92000</v>
      </c>
      <c r="D35" s="36">
        <v>40000</v>
      </c>
      <c r="E35" s="35">
        <v>44</v>
      </c>
      <c r="F35" s="35">
        <v>7</v>
      </c>
      <c r="G35" s="35" t="s">
        <v>244</v>
      </c>
      <c r="H35" s="35" t="s">
        <v>244</v>
      </c>
    </row>
    <row r="36" spans="1:8" x14ac:dyDescent="0.25">
      <c r="A36" s="35">
        <v>513820</v>
      </c>
      <c r="B36" s="35">
        <v>1</v>
      </c>
      <c r="C36" s="36"/>
      <c r="D36" s="36">
        <v>80000</v>
      </c>
      <c r="E36" s="35">
        <v>62</v>
      </c>
      <c r="F36" s="35"/>
      <c r="G36" s="35" t="s">
        <v>44</v>
      </c>
      <c r="H36" s="35" t="s">
        <v>250</v>
      </c>
    </row>
    <row r="37" spans="1:8" x14ac:dyDescent="0.25">
      <c r="A37" s="35">
        <v>514774</v>
      </c>
      <c r="B37" s="35">
        <v>3</v>
      </c>
      <c r="C37" s="36"/>
      <c r="D37" s="36">
        <v>80000</v>
      </c>
      <c r="E37" s="35">
        <v>44</v>
      </c>
      <c r="F37" s="35"/>
      <c r="G37" s="35" t="s">
        <v>250</v>
      </c>
      <c r="H37" s="35" t="s">
        <v>250</v>
      </c>
    </row>
    <row r="38" spans="1:8" x14ac:dyDescent="0.25">
      <c r="A38" s="35">
        <v>520201</v>
      </c>
      <c r="B38" s="35">
        <v>2</v>
      </c>
      <c r="C38" s="36"/>
      <c r="D38" s="36">
        <v>80000</v>
      </c>
      <c r="E38" s="35">
        <v>36</v>
      </c>
      <c r="F38" s="35"/>
      <c r="G38" s="35" t="s">
        <v>250</v>
      </c>
      <c r="H38" s="35" t="s">
        <v>250</v>
      </c>
    </row>
    <row r="39" spans="1:8" x14ac:dyDescent="0.25">
      <c r="A39" s="35">
        <v>520938</v>
      </c>
      <c r="B39" s="35">
        <v>1</v>
      </c>
      <c r="C39" s="36">
        <v>23000</v>
      </c>
      <c r="D39" s="36">
        <v>11000</v>
      </c>
      <c r="E39" s="35">
        <v>36</v>
      </c>
      <c r="F39" s="35">
        <v>10</v>
      </c>
      <c r="G39" s="35" t="s">
        <v>244</v>
      </c>
      <c r="H39" s="35" t="s">
        <v>244</v>
      </c>
    </row>
    <row r="40" spans="1:8" x14ac:dyDescent="0.25">
      <c r="A40" s="35">
        <v>521501</v>
      </c>
      <c r="B40" s="35">
        <v>1</v>
      </c>
      <c r="C40" s="36">
        <v>79000</v>
      </c>
      <c r="D40" s="36">
        <v>67000</v>
      </c>
      <c r="E40" s="35">
        <v>26</v>
      </c>
      <c r="F40" s="35">
        <v>8</v>
      </c>
      <c r="G40" s="35" t="s">
        <v>244</v>
      </c>
      <c r="H40" s="35" t="s">
        <v>244</v>
      </c>
    </row>
    <row r="41" spans="1:8" x14ac:dyDescent="0.25">
      <c r="A41" s="35">
        <v>526149</v>
      </c>
      <c r="B41" s="35">
        <v>3</v>
      </c>
      <c r="C41" s="36">
        <v>97000</v>
      </c>
      <c r="D41" s="36">
        <v>92380.952380952382</v>
      </c>
      <c r="E41" s="35">
        <v>55</v>
      </c>
      <c r="F41" s="35">
        <v>9</v>
      </c>
      <c r="G41" s="35" t="s">
        <v>244</v>
      </c>
      <c r="H41" s="35" t="s">
        <v>244</v>
      </c>
    </row>
    <row r="42" spans="1:8" x14ac:dyDescent="0.25">
      <c r="A42" s="35">
        <v>539134</v>
      </c>
      <c r="B42" s="35">
        <v>1</v>
      </c>
      <c r="C42" s="36">
        <v>94000</v>
      </c>
      <c r="D42" s="36">
        <v>82000</v>
      </c>
      <c r="E42" s="35">
        <v>32</v>
      </c>
      <c r="F42" s="35">
        <v>10</v>
      </c>
      <c r="G42" s="35" t="s">
        <v>244</v>
      </c>
      <c r="H42" s="35" t="s">
        <v>244</v>
      </c>
    </row>
    <row r="43" spans="1:8" x14ac:dyDescent="0.25">
      <c r="A43" s="35">
        <v>540346</v>
      </c>
      <c r="B43" s="35">
        <v>1</v>
      </c>
      <c r="C43" s="36">
        <v>95000</v>
      </c>
      <c r="D43" s="36">
        <v>90476.190476190473</v>
      </c>
      <c r="E43" s="35">
        <v>49</v>
      </c>
      <c r="F43" s="35">
        <v>10</v>
      </c>
      <c r="G43" s="35" t="s">
        <v>244</v>
      </c>
      <c r="H43" s="35" t="s">
        <v>244</v>
      </c>
    </row>
    <row r="44" spans="1:8" x14ac:dyDescent="0.25">
      <c r="A44" s="35">
        <v>547503</v>
      </c>
      <c r="B44" s="35">
        <v>2</v>
      </c>
      <c r="C44" s="36">
        <v>90000</v>
      </c>
      <c r="D44" s="36">
        <v>85714.28571428571</v>
      </c>
      <c r="E44" s="35">
        <v>49</v>
      </c>
      <c r="F44" s="35">
        <v>15</v>
      </c>
      <c r="G44" s="35" t="s">
        <v>244</v>
      </c>
      <c r="H44" s="35" t="s">
        <v>244</v>
      </c>
    </row>
    <row r="45" spans="1:8" x14ac:dyDescent="0.25">
      <c r="A45" s="35">
        <v>552468</v>
      </c>
      <c r="B45" s="35">
        <v>1</v>
      </c>
      <c r="C45" s="36">
        <v>86000</v>
      </c>
      <c r="D45" s="36">
        <v>74000</v>
      </c>
      <c r="E45" s="35">
        <v>67</v>
      </c>
      <c r="F45" s="35">
        <v>37</v>
      </c>
      <c r="G45" s="35" t="s">
        <v>244</v>
      </c>
      <c r="H45" s="35" t="s">
        <v>244</v>
      </c>
    </row>
    <row r="46" spans="1:8" x14ac:dyDescent="0.25">
      <c r="A46" s="35">
        <v>555539</v>
      </c>
      <c r="B46" s="35">
        <v>2</v>
      </c>
      <c r="C46" s="36">
        <v>86000</v>
      </c>
      <c r="D46" s="36">
        <v>80000</v>
      </c>
      <c r="E46" s="35">
        <v>58</v>
      </c>
      <c r="F46" s="35"/>
      <c r="G46" s="35" t="s">
        <v>44</v>
      </c>
      <c r="H46" s="35" t="s">
        <v>244</v>
      </c>
    </row>
    <row r="47" spans="1:8" x14ac:dyDescent="0.25">
      <c r="A47" s="35">
        <v>561821</v>
      </c>
      <c r="B47" s="35">
        <v>1</v>
      </c>
      <c r="C47" s="36">
        <v>86000</v>
      </c>
      <c r="D47" s="36">
        <v>81904.761904761908</v>
      </c>
      <c r="E47" s="35">
        <v>47</v>
      </c>
      <c r="F47" s="35">
        <v>10</v>
      </c>
      <c r="G47" s="35" t="s">
        <v>244</v>
      </c>
      <c r="H47" s="35" t="s">
        <v>244</v>
      </c>
    </row>
    <row r="48" spans="1:8" x14ac:dyDescent="0.25">
      <c r="A48" s="35">
        <v>564037</v>
      </c>
      <c r="B48" s="35">
        <v>1</v>
      </c>
      <c r="C48" s="36">
        <v>200000</v>
      </c>
      <c r="D48" s="36">
        <v>188000</v>
      </c>
      <c r="E48" s="35">
        <v>32</v>
      </c>
      <c r="F48" s="35">
        <v>8</v>
      </c>
      <c r="G48" s="35" t="s">
        <v>244</v>
      </c>
      <c r="H48" s="35" t="s">
        <v>244</v>
      </c>
    </row>
    <row r="49" spans="1:8" x14ac:dyDescent="0.25">
      <c r="A49" s="35">
        <v>564894</v>
      </c>
      <c r="B49" s="35">
        <v>3</v>
      </c>
      <c r="C49" s="36">
        <v>320000</v>
      </c>
      <c r="D49" s="36">
        <v>320000</v>
      </c>
      <c r="E49" s="35">
        <v>51</v>
      </c>
      <c r="F49" s="35">
        <v>20</v>
      </c>
      <c r="G49" s="35" t="s">
        <v>244</v>
      </c>
      <c r="H49" s="35" t="s">
        <v>244</v>
      </c>
    </row>
    <row r="50" spans="1:8" x14ac:dyDescent="0.25">
      <c r="A50" s="35">
        <v>568218</v>
      </c>
      <c r="B50" s="35">
        <v>1</v>
      </c>
      <c r="C50" s="36">
        <v>86000</v>
      </c>
      <c r="D50" s="36">
        <v>80000</v>
      </c>
      <c r="E50" s="35">
        <v>42</v>
      </c>
      <c r="F50" s="35">
        <v>22</v>
      </c>
      <c r="G50" s="35" t="s">
        <v>244</v>
      </c>
      <c r="H50" s="35" t="s">
        <v>244</v>
      </c>
    </row>
    <row r="51" spans="1:8" x14ac:dyDescent="0.25">
      <c r="A51" s="35">
        <v>568859</v>
      </c>
      <c r="B51" s="35">
        <v>1</v>
      </c>
      <c r="C51" s="36">
        <v>98000</v>
      </c>
      <c r="D51" s="36">
        <v>93333.333333333328</v>
      </c>
      <c r="E51" s="35">
        <v>47</v>
      </c>
      <c r="F51" s="35">
        <v>11</v>
      </c>
      <c r="G51" s="35" t="s">
        <v>244</v>
      </c>
      <c r="H51" s="35" t="s">
        <v>244</v>
      </c>
    </row>
    <row r="52" spans="1:8" x14ac:dyDescent="0.25">
      <c r="A52" s="35">
        <v>574304</v>
      </c>
      <c r="B52" s="35">
        <v>3</v>
      </c>
      <c r="C52" s="36">
        <v>88000</v>
      </c>
      <c r="D52" s="36">
        <v>83809.523809523802</v>
      </c>
      <c r="E52" s="35">
        <v>52</v>
      </c>
      <c r="F52" s="35">
        <v>14</v>
      </c>
      <c r="G52" s="35" t="s">
        <v>244</v>
      </c>
      <c r="H52" s="35" t="s">
        <v>244</v>
      </c>
    </row>
    <row r="53" spans="1:8" x14ac:dyDescent="0.25">
      <c r="A53" s="35">
        <v>574720</v>
      </c>
      <c r="B53" s="35">
        <v>2</v>
      </c>
      <c r="C53" s="36">
        <v>99000</v>
      </c>
      <c r="D53" s="36">
        <v>94285.714285714275</v>
      </c>
      <c r="E53" s="35">
        <v>52</v>
      </c>
      <c r="F53" s="35">
        <v>21</v>
      </c>
      <c r="G53" s="35" t="s">
        <v>244</v>
      </c>
      <c r="H53" s="35" t="s">
        <v>244</v>
      </c>
    </row>
    <row r="54" spans="1:8" x14ac:dyDescent="0.25">
      <c r="A54" s="35">
        <v>582664</v>
      </c>
      <c r="B54" s="35">
        <v>2</v>
      </c>
      <c r="C54" s="36">
        <v>84000</v>
      </c>
      <c r="D54" s="36">
        <v>80000</v>
      </c>
      <c r="E54" s="35">
        <v>52</v>
      </c>
      <c r="F54" s="35">
        <v>8</v>
      </c>
      <c r="G54" s="35" t="s">
        <v>244</v>
      </c>
      <c r="H54" s="35" t="s">
        <v>244</v>
      </c>
    </row>
  </sheetData>
  <sortState xmlns:xlrd2="http://schemas.microsoft.com/office/spreadsheetml/2017/richdata2" ref="A6:H54">
    <sortCondition ref="A6"/>
  </sortState>
  <mergeCells count="1">
    <mergeCell ref="A1:H1"/>
  </mergeCells>
  <pageMargins left="0.75" right="0.75" top="1" bottom="1" header="0.5" footer="0.5"/>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X27"/>
  <sheetViews>
    <sheetView workbookViewId="0">
      <selection activeCell="F12" sqref="F12"/>
    </sheetView>
  </sheetViews>
  <sheetFormatPr defaultColWidth="8.81640625" defaultRowHeight="14.5" x14ac:dyDescent="0.35"/>
  <cols>
    <col min="1" max="5" width="8.81640625" style="145"/>
    <col min="6" max="6" width="1.7265625" style="145" customWidth="1"/>
    <col min="7" max="16384" width="8.81640625" style="145"/>
  </cols>
  <sheetData>
    <row r="1" spans="1:24" ht="16" thickBot="1" x14ac:dyDescent="0.4">
      <c r="A1" s="180" t="s">
        <v>883</v>
      </c>
      <c r="B1" s="181"/>
      <c r="C1" s="181"/>
      <c r="D1" s="181"/>
      <c r="E1" s="181"/>
      <c r="F1" s="182"/>
    </row>
    <row r="2" spans="1:24" ht="16" thickBot="1" x14ac:dyDescent="0.4">
      <c r="A2" s="146"/>
      <c r="B2" s="147" t="s">
        <v>225</v>
      </c>
      <c r="C2" s="183" t="s">
        <v>884</v>
      </c>
      <c r="D2" s="183"/>
      <c r="E2" s="183"/>
      <c r="F2" s="148"/>
    </row>
    <row r="3" spans="1:24" ht="15" thickTop="1" x14ac:dyDescent="0.35">
      <c r="A3" s="149"/>
      <c r="B3" s="150" t="s">
        <v>244</v>
      </c>
      <c r="C3" s="151">
        <v>0.95</v>
      </c>
      <c r="D3" s="150" t="s">
        <v>885</v>
      </c>
      <c r="E3" s="152">
        <v>1</v>
      </c>
      <c r="F3" s="153"/>
    </row>
    <row r="4" spans="1:24" x14ac:dyDescent="0.35">
      <c r="A4" s="149"/>
      <c r="B4" s="150" t="s">
        <v>886</v>
      </c>
      <c r="C4" s="151">
        <v>0.92</v>
      </c>
      <c r="D4" s="150" t="s">
        <v>885</v>
      </c>
      <c r="E4" s="154">
        <v>0.94989999999999997</v>
      </c>
      <c r="F4" s="153"/>
    </row>
    <row r="5" spans="1:24" x14ac:dyDescent="0.35">
      <c r="A5" s="149"/>
      <c r="B5" s="150" t="s">
        <v>887</v>
      </c>
      <c r="C5" s="151">
        <v>0.9</v>
      </c>
      <c r="D5" s="150" t="s">
        <v>885</v>
      </c>
      <c r="E5" s="154">
        <v>0.91990000000000005</v>
      </c>
      <c r="F5" s="153"/>
    </row>
    <row r="6" spans="1:24" x14ac:dyDescent="0.35">
      <c r="A6" s="149"/>
      <c r="B6" s="150" t="s">
        <v>243</v>
      </c>
      <c r="C6" s="151">
        <v>0.85</v>
      </c>
      <c r="D6" s="150" t="s">
        <v>885</v>
      </c>
      <c r="E6" s="154">
        <v>0.89990000000000003</v>
      </c>
      <c r="F6" s="153"/>
    </row>
    <row r="7" spans="1:24" x14ac:dyDescent="0.35">
      <c r="A7" s="149"/>
      <c r="B7" s="150" t="s">
        <v>888</v>
      </c>
      <c r="C7" s="151">
        <v>0.82</v>
      </c>
      <c r="D7" s="150" t="s">
        <v>885</v>
      </c>
      <c r="E7" s="154">
        <v>0.84989999999999999</v>
      </c>
      <c r="F7" s="153"/>
    </row>
    <row r="8" spans="1:24" x14ac:dyDescent="0.35">
      <c r="A8" s="149"/>
      <c r="B8" s="150" t="s">
        <v>889</v>
      </c>
      <c r="C8" s="151">
        <v>0.8</v>
      </c>
      <c r="D8" s="150" t="s">
        <v>885</v>
      </c>
      <c r="E8" s="154">
        <v>0.81989999999999996</v>
      </c>
      <c r="F8" s="153"/>
    </row>
    <row r="9" spans="1:24" x14ac:dyDescent="0.35">
      <c r="A9" s="149"/>
      <c r="B9" s="150" t="s">
        <v>242</v>
      </c>
      <c r="C9" s="151">
        <v>0.77</v>
      </c>
      <c r="D9" s="150" t="s">
        <v>885</v>
      </c>
      <c r="E9" s="154">
        <v>0.79990000000000006</v>
      </c>
      <c r="F9" s="153"/>
    </row>
    <row r="10" spans="1:24" x14ac:dyDescent="0.35">
      <c r="A10" s="149"/>
      <c r="B10" s="150" t="s">
        <v>890</v>
      </c>
      <c r="C10" s="151">
        <v>0.75</v>
      </c>
      <c r="D10" s="150" t="s">
        <v>885</v>
      </c>
      <c r="E10" s="154">
        <v>0.76990000000000003</v>
      </c>
      <c r="F10" s="153"/>
    </row>
    <row r="11" spans="1:24" x14ac:dyDescent="0.35">
      <c r="A11" s="149"/>
      <c r="B11" s="150" t="s">
        <v>891</v>
      </c>
      <c r="C11" s="151">
        <v>0.65</v>
      </c>
      <c r="D11" s="150" t="s">
        <v>885</v>
      </c>
      <c r="E11" s="154">
        <v>0.74990000000000001</v>
      </c>
      <c r="F11" s="153"/>
    </row>
    <row r="12" spans="1:24" ht="15" thickBot="1" x14ac:dyDescent="0.4">
      <c r="A12" s="155"/>
      <c r="B12" s="156" t="s">
        <v>16</v>
      </c>
      <c r="C12" s="157">
        <v>0</v>
      </c>
      <c r="D12" s="156" t="s">
        <v>885</v>
      </c>
      <c r="E12" s="158">
        <v>0.64990000000000003</v>
      </c>
      <c r="F12" s="159"/>
    </row>
    <row r="14" spans="1:24" x14ac:dyDescent="0.35">
      <c r="A14" s="9"/>
      <c r="B14" s="9"/>
      <c r="C14" s="20" t="s">
        <v>221</v>
      </c>
      <c r="D14" s="9"/>
      <c r="E14" s="9"/>
      <c r="F14" s="20"/>
      <c r="G14" s="184" t="s">
        <v>222</v>
      </c>
      <c r="H14" s="184"/>
      <c r="I14" s="184"/>
      <c r="J14" s="184"/>
      <c r="K14" s="184"/>
      <c r="L14" s="184"/>
      <c r="M14" s="184" t="s">
        <v>223</v>
      </c>
      <c r="N14" s="184"/>
      <c r="O14" s="184"/>
      <c r="P14" s="184"/>
      <c r="Q14" s="184"/>
      <c r="R14" s="184"/>
      <c r="S14" s="184"/>
      <c r="T14" s="184"/>
      <c r="U14" s="184"/>
      <c r="V14" s="184"/>
      <c r="W14" s="184"/>
      <c r="X14" s="184"/>
    </row>
    <row r="15" spans="1:24" x14ac:dyDescent="0.35">
      <c r="A15" s="21" t="s">
        <v>31</v>
      </c>
      <c r="B15" s="21"/>
      <c r="C15" s="22" t="s">
        <v>226</v>
      </c>
      <c r="D15" s="22" t="s">
        <v>220</v>
      </c>
      <c r="E15" s="22" t="s">
        <v>227</v>
      </c>
      <c r="F15" s="22"/>
      <c r="G15" s="22">
        <v>1</v>
      </c>
      <c r="H15" s="22">
        <v>2</v>
      </c>
      <c r="I15" s="22">
        <v>3</v>
      </c>
      <c r="J15" s="22">
        <v>4</v>
      </c>
      <c r="K15" s="22">
        <v>5</v>
      </c>
      <c r="L15" s="22" t="s">
        <v>221</v>
      </c>
      <c r="M15" s="22">
        <v>1</v>
      </c>
      <c r="N15" s="22">
        <v>2</v>
      </c>
      <c r="O15" s="22">
        <v>3</v>
      </c>
      <c r="P15" s="22">
        <v>4</v>
      </c>
      <c r="Q15" s="22">
        <v>5</v>
      </c>
      <c r="R15" s="22">
        <v>6</v>
      </c>
      <c r="S15" s="22">
        <v>7</v>
      </c>
      <c r="T15" s="22">
        <v>8</v>
      </c>
      <c r="U15" s="22">
        <v>9</v>
      </c>
      <c r="V15" s="22">
        <v>10</v>
      </c>
      <c r="W15" s="22">
        <v>11</v>
      </c>
      <c r="X15" s="22" t="s">
        <v>221</v>
      </c>
    </row>
    <row r="16" spans="1:24" x14ac:dyDescent="0.35">
      <c r="A16" s="23" t="s">
        <v>207</v>
      </c>
      <c r="B16" s="160"/>
      <c r="C16" s="25">
        <v>488</v>
      </c>
      <c r="D16" s="26">
        <v>195</v>
      </c>
      <c r="E16" s="26">
        <v>98</v>
      </c>
      <c r="F16" s="25"/>
      <c r="G16" s="26">
        <v>24</v>
      </c>
      <c r="H16" s="26">
        <v>23</v>
      </c>
      <c r="I16" s="26">
        <v>18</v>
      </c>
      <c r="J16" s="26">
        <v>23</v>
      </c>
      <c r="K16" s="26">
        <v>21</v>
      </c>
      <c r="L16" s="25">
        <v>109</v>
      </c>
      <c r="M16" s="26">
        <v>10</v>
      </c>
      <c r="N16" s="26">
        <v>9</v>
      </c>
      <c r="O16" s="26">
        <v>7</v>
      </c>
      <c r="P16" s="26">
        <v>8</v>
      </c>
      <c r="Q16" s="26">
        <v>6</v>
      </c>
      <c r="R16" s="26">
        <v>8</v>
      </c>
      <c r="S16" s="26">
        <v>7</v>
      </c>
      <c r="T16" s="26">
        <v>6</v>
      </c>
      <c r="U16" s="26">
        <v>8</v>
      </c>
      <c r="V16" s="26">
        <v>10</v>
      </c>
      <c r="W16" s="26">
        <v>7</v>
      </c>
      <c r="X16" s="25">
        <v>86</v>
      </c>
    </row>
    <row r="17" spans="1:24" x14ac:dyDescent="0.35">
      <c r="A17" s="23" t="s">
        <v>208</v>
      </c>
      <c r="B17" s="160"/>
      <c r="C17" s="25">
        <v>439</v>
      </c>
      <c r="D17" s="26">
        <v>190</v>
      </c>
      <c r="E17" s="26">
        <v>96</v>
      </c>
      <c r="F17" s="25"/>
      <c r="G17" s="26">
        <v>23</v>
      </c>
      <c r="H17" s="26">
        <v>22</v>
      </c>
      <c r="I17" s="26">
        <v>17</v>
      </c>
      <c r="J17" s="26">
        <v>22</v>
      </c>
      <c r="K17" s="26">
        <v>20</v>
      </c>
      <c r="L17" s="25">
        <v>104</v>
      </c>
      <c r="M17" s="26">
        <v>9</v>
      </c>
      <c r="N17" s="26">
        <v>8</v>
      </c>
      <c r="O17" s="26">
        <v>0</v>
      </c>
      <c r="P17" s="26">
        <v>7</v>
      </c>
      <c r="Q17" s="26">
        <v>0</v>
      </c>
      <c r="R17" s="26">
        <v>2</v>
      </c>
      <c r="S17" s="26">
        <v>5</v>
      </c>
      <c r="T17" s="26">
        <v>4</v>
      </c>
      <c r="U17" s="26">
        <v>6</v>
      </c>
      <c r="V17" s="26">
        <v>8</v>
      </c>
      <c r="W17" s="26"/>
      <c r="X17" s="25">
        <v>49</v>
      </c>
    </row>
    <row r="18" spans="1:24" x14ac:dyDescent="0.35">
      <c r="A18" s="23" t="s">
        <v>209</v>
      </c>
      <c r="B18" s="160"/>
      <c r="C18" s="25">
        <v>458</v>
      </c>
      <c r="D18" s="26">
        <v>185</v>
      </c>
      <c r="E18" s="26">
        <v>94</v>
      </c>
      <c r="F18" s="25"/>
      <c r="G18" s="26">
        <v>22</v>
      </c>
      <c r="H18" s="26">
        <v>25</v>
      </c>
      <c r="I18" s="26">
        <v>25</v>
      </c>
      <c r="J18" s="26">
        <v>25</v>
      </c>
      <c r="K18" s="26">
        <v>25</v>
      </c>
      <c r="L18" s="25">
        <v>122</v>
      </c>
      <c r="M18" s="26">
        <v>8</v>
      </c>
      <c r="N18" s="26">
        <v>7</v>
      </c>
      <c r="O18" s="26">
        <v>9</v>
      </c>
      <c r="P18" s="26">
        <v>7</v>
      </c>
      <c r="Q18" s="26">
        <v>10</v>
      </c>
      <c r="R18" s="26">
        <v>7</v>
      </c>
      <c r="S18" s="26">
        <v>3</v>
      </c>
      <c r="T18" s="26">
        <v>2</v>
      </c>
      <c r="U18" s="26">
        <v>4</v>
      </c>
      <c r="V18" s="26"/>
      <c r="W18" s="26"/>
      <c r="X18" s="25">
        <v>57</v>
      </c>
    </row>
    <row r="19" spans="1:24" x14ac:dyDescent="0.35">
      <c r="A19" s="23" t="s">
        <v>210</v>
      </c>
      <c r="B19" s="160"/>
      <c r="C19" s="25">
        <v>430</v>
      </c>
      <c r="D19" s="26">
        <v>180</v>
      </c>
      <c r="E19" s="26">
        <v>92</v>
      </c>
      <c r="F19" s="25"/>
      <c r="G19" s="26">
        <v>21</v>
      </c>
      <c r="H19" s="26">
        <v>20</v>
      </c>
      <c r="I19" s="26">
        <v>25</v>
      </c>
      <c r="J19" s="26">
        <v>20</v>
      </c>
      <c r="K19" s="26">
        <v>22</v>
      </c>
      <c r="L19" s="25">
        <v>108</v>
      </c>
      <c r="M19" s="26">
        <v>7</v>
      </c>
      <c r="N19" s="26">
        <v>6</v>
      </c>
      <c r="O19" s="26">
        <v>8</v>
      </c>
      <c r="P19" s="26">
        <v>10</v>
      </c>
      <c r="Q19" s="26">
        <v>7</v>
      </c>
      <c r="R19" s="26">
        <v>9</v>
      </c>
      <c r="S19" s="26">
        <v>2</v>
      </c>
      <c r="T19" s="26">
        <v>1</v>
      </c>
      <c r="U19" s="26"/>
      <c r="V19" s="26"/>
      <c r="W19" s="26"/>
      <c r="X19" s="25">
        <v>50</v>
      </c>
    </row>
    <row r="20" spans="1:24" x14ac:dyDescent="0.35">
      <c r="A20" s="23" t="s">
        <v>211</v>
      </c>
      <c r="B20" s="160"/>
      <c r="C20" s="25">
        <v>458</v>
      </c>
      <c r="D20" s="26">
        <v>198</v>
      </c>
      <c r="E20" s="26">
        <v>90</v>
      </c>
      <c r="F20" s="25"/>
      <c r="G20" s="26">
        <v>25</v>
      </c>
      <c r="H20" s="26">
        <v>25</v>
      </c>
      <c r="I20" s="26">
        <v>25</v>
      </c>
      <c r="J20" s="26">
        <v>25</v>
      </c>
      <c r="K20" s="26">
        <v>21</v>
      </c>
      <c r="L20" s="25">
        <v>121</v>
      </c>
      <c r="M20" s="26">
        <v>6</v>
      </c>
      <c r="N20" s="26">
        <v>5</v>
      </c>
      <c r="O20" s="26">
        <v>7</v>
      </c>
      <c r="P20" s="26">
        <v>9</v>
      </c>
      <c r="Q20" s="26">
        <v>6</v>
      </c>
      <c r="R20" s="26">
        <v>8</v>
      </c>
      <c r="S20" s="26">
        <v>8</v>
      </c>
      <c r="T20" s="26"/>
      <c r="U20" s="26"/>
      <c r="V20" s="26"/>
      <c r="W20" s="26"/>
      <c r="X20" s="25">
        <v>49</v>
      </c>
    </row>
    <row r="21" spans="1:24" x14ac:dyDescent="0.35">
      <c r="A21" s="23" t="s">
        <v>212</v>
      </c>
      <c r="B21" s="160"/>
      <c r="C21" s="25">
        <v>391</v>
      </c>
      <c r="D21" s="26">
        <v>170</v>
      </c>
      <c r="E21" s="26">
        <v>88</v>
      </c>
      <c r="F21" s="25"/>
      <c r="G21" s="26">
        <v>19</v>
      </c>
      <c r="H21" s="26">
        <v>18</v>
      </c>
      <c r="I21" s="26">
        <v>23</v>
      </c>
      <c r="J21" s="26">
        <v>18</v>
      </c>
      <c r="K21" s="26">
        <v>20</v>
      </c>
      <c r="L21" s="25">
        <v>98</v>
      </c>
      <c r="M21" s="26">
        <v>5</v>
      </c>
      <c r="N21" s="26">
        <v>4</v>
      </c>
      <c r="O21" s="26">
        <v>6</v>
      </c>
      <c r="P21" s="26">
        <v>8</v>
      </c>
      <c r="Q21" s="26">
        <v>5</v>
      </c>
      <c r="R21" s="26">
        <v>7</v>
      </c>
      <c r="S21" s="26"/>
      <c r="T21" s="26"/>
      <c r="U21" s="26"/>
      <c r="V21" s="26"/>
      <c r="W21" s="26"/>
      <c r="X21" s="25">
        <v>35</v>
      </c>
    </row>
    <row r="22" spans="1:24" x14ac:dyDescent="0.35">
      <c r="A22" s="23" t="s">
        <v>213</v>
      </c>
      <c r="B22" s="160"/>
      <c r="C22" s="25">
        <v>420</v>
      </c>
      <c r="D22" s="26">
        <v>200</v>
      </c>
      <c r="E22" s="26">
        <v>86</v>
      </c>
      <c r="F22" s="25"/>
      <c r="G22" s="26">
        <v>18</v>
      </c>
      <c r="H22" s="26">
        <v>17</v>
      </c>
      <c r="I22" s="26">
        <v>22</v>
      </c>
      <c r="J22" s="26">
        <v>17</v>
      </c>
      <c r="K22" s="26">
        <v>19</v>
      </c>
      <c r="L22" s="25">
        <v>93</v>
      </c>
      <c r="M22" s="26">
        <v>10</v>
      </c>
      <c r="N22" s="26">
        <v>6</v>
      </c>
      <c r="O22" s="26">
        <v>8</v>
      </c>
      <c r="P22" s="26">
        <v>10</v>
      </c>
      <c r="Q22" s="26">
        <v>7</v>
      </c>
      <c r="R22" s="26"/>
      <c r="S22" s="26"/>
      <c r="T22" s="26"/>
      <c r="U22" s="26"/>
      <c r="V22" s="26"/>
      <c r="W22" s="26"/>
      <c r="X22" s="25">
        <v>41</v>
      </c>
    </row>
    <row r="23" spans="1:24" x14ac:dyDescent="0.35">
      <c r="A23" s="23" t="s">
        <v>214</v>
      </c>
      <c r="B23" s="160"/>
      <c r="C23" s="25">
        <v>319</v>
      </c>
      <c r="D23" s="26">
        <v>160</v>
      </c>
      <c r="E23" s="26">
        <v>84</v>
      </c>
      <c r="F23" s="25"/>
      <c r="G23" s="26">
        <v>17</v>
      </c>
      <c r="H23" s="26">
        <v>16</v>
      </c>
      <c r="I23" s="26">
        <v>25</v>
      </c>
      <c r="J23" s="26"/>
      <c r="K23" s="26">
        <v>2</v>
      </c>
      <c r="L23" s="25">
        <v>60</v>
      </c>
      <c r="M23" s="26">
        <v>3</v>
      </c>
      <c r="N23" s="26">
        <v>2</v>
      </c>
      <c r="O23" s="26">
        <v>4</v>
      </c>
      <c r="P23" s="26">
        <v>6</v>
      </c>
      <c r="Q23" s="26"/>
      <c r="R23" s="26"/>
      <c r="S23" s="26"/>
      <c r="T23" s="26"/>
      <c r="U23" s="26"/>
      <c r="V23" s="26"/>
      <c r="W23" s="26"/>
      <c r="X23" s="25">
        <v>15</v>
      </c>
    </row>
    <row r="24" spans="1:24" x14ac:dyDescent="0.35">
      <c r="A24" s="23" t="s">
        <v>215</v>
      </c>
      <c r="B24" s="160"/>
      <c r="C24" s="25">
        <v>416</v>
      </c>
      <c r="D24" s="26">
        <v>200</v>
      </c>
      <c r="E24" s="26">
        <v>100</v>
      </c>
      <c r="F24" s="25"/>
      <c r="G24" s="26">
        <v>16</v>
      </c>
      <c r="H24" s="26">
        <v>15</v>
      </c>
      <c r="I24" s="26">
        <v>20</v>
      </c>
      <c r="J24" s="26">
        <v>25</v>
      </c>
      <c r="K24" s="26">
        <v>23</v>
      </c>
      <c r="L24" s="25">
        <v>99</v>
      </c>
      <c r="M24" s="26">
        <v>10</v>
      </c>
      <c r="N24" s="26">
        <v>2</v>
      </c>
      <c r="O24" s="26">
        <v>5</v>
      </c>
      <c r="P24" s="26"/>
      <c r="Q24" s="26"/>
      <c r="R24" s="26"/>
      <c r="S24" s="26"/>
      <c r="T24" s="26"/>
      <c r="U24" s="26"/>
      <c r="V24" s="26"/>
      <c r="W24" s="26"/>
      <c r="X24" s="25">
        <v>17</v>
      </c>
    </row>
    <row r="25" spans="1:24" x14ac:dyDescent="0.35">
      <c r="A25" s="23" t="s">
        <v>216</v>
      </c>
      <c r="B25" s="160"/>
      <c r="C25" s="25">
        <v>305</v>
      </c>
      <c r="D25" s="26">
        <v>180</v>
      </c>
      <c r="E25" s="26">
        <v>90</v>
      </c>
      <c r="F25" s="25"/>
      <c r="G25" s="26">
        <v>15</v>
      </c>
      <c r="H25" s="26"/>
      <c r="I25" s="26"/>
      <c r="J25" s="26"/>
      <c r="K25" s="26"/>
      <c r="L25" s="25">
        <v>15</v>
      </c>
      <c r="M25" s="26">
        <v>10</v>
      </c>
      <c r="N25" s="26">
        <v>10</v>
      </c>
      <c r="O25" s="26"/>
      <c r="P25" s="26"/>
      <c r="Q25" s="26"/>
      <c r="R25" s="26"/>
      <c r="S25" s="26"/>
      <c r="T25" s="26"/>
      <c r="U25" s="26"/>
      <c r="V25" s="26"/>
      <c r="W25" s="26"/>
      <c r="X25" s="25">
        <v>20</v>
      </c>
    </row>
    <row r="26" spans="1:24" x14ac:dyDescent="0.35">
      <c r="A26" s="23" t="s">
        <v>217</v>
      </c>
      <c r="B26" s="160"/>
      <c r="C26" s="25">
        <v>234</v>
      </c>
      <c r="D26" s="26">
        <v>145</v>
      </c>
      <c r="E26" s="26">
        <v>78</v>
      </c>
      <c r="F26" s="25"/>
      <c r="G26" s="26"/>
      <c r="H26" s="26"/>
      <c r="I26" s="26"/>
      <c r="J26" s="26"/>
      <c r="K26" s="26">
        <v>2</v>
      </c>
      <c r="L26" s="25">
        <v>2</v>
      </c>
      <c r="M26" s="26">
        <v>9</v>
      </c>
      <c r="N26" s="26"/>
      <c r="O26" s="26"/>
      <c r="P26" s="26"/>
      <c r="Q26" s="26"/>
      <c r="R26" s="26"/>
      <c r="S26" s="26"/>
      <c r="T26" s="26"/>
      <c r="U26" s="26"/>
      <c r="V26" s="26"/>
      <c r="W26" s="26"/>
      <c r="X26" s="25">
        <v>9</v>
      </c>
    </row>
    <row r="27" spans="1:24" x14ac:dyDescent="0.35">
      <c r="A27" s="23" t="s">
        <v>218</v>
      </c>
      <c r="B27" s="160"/>
      <c r="C27" s="25">
        <v>447</v>
      </c>
      <c r="D27" s="26">
        <v>200</v>
      </c>
      <c r="E27" s="26">
        <v>100</v>
      </c>
      <c r="F27" s="25"/>
      <c r="G27" s="26">
        <v>13</v>
      </c>
      <c r="H27" s="26">
        <v>12</v>
      </c>
      <c r="I27" s="26">
        <v>17</v>
      </c>
      <c r="J27" s="26">
        <v>22</v>
      </c>
      <c r="K27" s="26">
        <v>20</v>
      </c>
      <c r="L27" s="25">
        <v>84</v>
      </c>
      <c r="M27" s="26">
        <v>5</v>
      </c>
      <c r="N27" s="26">
        <v>4</v>
      </c>
      <c r="O27" s="26">
        <v>6</v>
      </c>
      <c r="P27" s="26">
        <v>8</v>
      </c>
      <c r="Q27" s="26">
        <v>5</v>
      </c>
      <c r="R27" s="26">
        <v>7</v>
      </c>
      <c r="S27" s="26">
        <v>5</v>
      </c>
      <c r="T27" s="26">
        <v>4</v>
      </c>
      <c r="U27" s="26">
        <v>6</v>
      </c>
      <c r="V27" s="26">
        <v>8</v>
      </c>
      <c r="W27" s="26">
        <v>5</v>
      </c>
      <c r="X27" s="25">
        <v>63</v>
      </c>
    </row>
  </sheetData>
  <mergeCells count="4">
    <mergeCell ref="A1:F1"/>
    <mergeCell ref="C2:E2"/>
    <mergeCell ref="G14:L14"/>
    <mergeCell ref="M14:X1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Z16"/>
  <sheetViews>
    <sheetView workbookViewId="0">
      <selection activeCell="A16" sqref="A16"/>
    </sheetView>
  </sheetViews>
  <sheetFormatPr defaultColWidth="8.81640625" defaultRowHeight="12.5" x14ac:dyDescent="0.25"/>
  <cols>
    <col min="1" max="1" width="20.36328125" style="9" customWidth="1"/>
    <col min="2" max="2" width="9.36328125" style="9" customWidth="1"/>
    <col min="3" max="3" width="7.36328125" style="9" customWidth="1"/>
    <col min="4" max="6" width="8.81640625" style="9"/>
    <col min="7" max="7" width="1.1796875" style="9" customWidth="1"/>
    <col min="8" max="12" width="5.7265625" style="9" customWidth="1"/>
    <col min="13" max="13" width="5" style="9" bestFit="1" customWidth="1"/>
    <col min="14" max="14" width="0.7265625" style="9" customWidth="1"/>
    <col min="15" max="25" width="5.7265625" style="9" customWidth="1"/>
    <col min="26" max="26" width="5.54296875" style="9" bestFit="1" customWidth="1"/>
    <col min="27" max="16384" width="8.81640625" style="9"/>
  </cols>
  <sheetData>
    <row r="1" spans="1:26" ht="13" x14ac:dyDescent="0.3">
      <c r="C1" s="20" t="s">
        <v>220</v>
      </c>
      <c r="D1" s="20" t="s">
        <v>221</v>
      </c>
      <c r="G1" s="20"/>
      <c r="H1" s="184" t="s">
        <v>222</v>
      </c>
      <c r="I1" s="184"/>
      <c r="J1" s="184"/>
      <c r="K1" s="184"/>
      <c r="L1" s="184"/>
      <c r="M1" s="184"/>
      <c r="O1" s="184" t="s">
        <v>223</v>
      </c>
      <c r="P1" s="184"/>
      <c r="Q1" s="184"/>
      <c r="R1" s="184"/>
      <c r="S1" s="184"/>
      <c r="T1" s="184"/>
      <c r="U1" s="184"/>
      <c r="V1" s="184"/>
      <c r="W1" s="184"/>
      <c r="X1" s="184"/>
      <c r="Y1" s="184"/>
      <c r="Z1" s="184"/>
    </row>
    <row r="2" spans="1:26" ht="13" x14ac:dyDescent="0.3">
      <c r="A2" s="21" t="s">
        <v>31</v>
      </c>
      <c r="B2" s="21" t="s">
        <v>224</v>
      </c>
      <c r="C2" s="22" t="s">
        <v>225</v>
      </c>
      <c r="D2" s="22" t="s">
        <v>226</v>
      </c>
      <c r="E2" s="22" t="s">
        <v>220</v>
      </c>
      <c r="F2" s="22" t="s">
        <v>227</v>
      </c>
      <c r="G2" s="22"/>
      <c r="H2" s="22">
        <v>1</v>
      </c>
      <c r="I2" s="22">
        <v>2</v>
      </c>
      <c r="J2" s="22">
        <v>3</v>
      </c>
      <c r="K2" s="22">
        <v>4</v>
      </c>
      <c r="L2" s="22">
        <v>5</v>
      </c>
      <c r="M2" s="22" t="s">
        <v>221</v>
      </c>
      <c r="O2" s="22">
        <v>1</v>
      </c>
      <c r="P2" s="22">
        <v>2</v>
      </c>
      <c r="Q2" s="22">
        <v>3</v>
      </c>
      <c r="R2" s="22">
        <v>4</v>
      </c>
      <c r="S2" s="22">
        <v>5</v>
      </c>
      <c r="T2" s="22">
        <v>6</v>
      </c>
      <c r="U2" s="22">
        <v>7</v>
      </c>
      <c r="V2" s="22">
        <v>8</v>
      </c>
      <c r="W2" s="22">
        <v>9</v>
      </c>
      <c r="X2" s="22">
        <v>10</v>
      </c>
      <c r="Y2" s="22">
        <v>11</v>
      </c>
      <c r="Z2" s="22" t="s">
        <v>221</v>
      </c>
    </row>
    <row r="3" spans="1:26" x14ac:dyDescent="0.25">
      <c r="A3" s="23" t="s">
        <v>207</v>
      </c>
      <c r="B3" s="24" t="s">
        <v>229</v>
      </c>
      <c r="C3" s="25" t="s">
        <v>244</v>
      </c>
      <c r="D3" s="25">
        <f t="shared" ref="D3:D14" si="0">SUM(E3:G3,M3,Z3)</f>
        <v>488</v>
      </c>
      <c r="E3" s="26">
        <v>195</v>
      </c>
      <c r="F3" s="26">
        <v>98</v>
      </c>
      <c r="G3" s="25"/>
      <c r="H3" s="26">
        <v>24</v>
      </c>
      <c r="I3" s="26">
        <v>23</v>
      </c>
      <c r="J3" s="26">
        <v>18</v>
      </c>
      <c r="K3" s="26">
        <v>23</v>
      </c>
      <c r="L3" s="26">
        <v>21</v>
      </c>
      <c r="M3" s="25">
        <f>SUM(H3:L3)</f>
        <v>109</v>
      </c>
      <c r="O3" s="26">
        <v>10</v>
      </c>
      <c r="P3" s="26">
        <v>9</v>
      </c>
      <c r="Q3" s="26">
        <v>7</v>
      </c>
      <c r="R3" s="26">
        <v>8</v>
      </c>
      <c r="S3" s="26">
        <v>6</v>
      </c>
      <c r="T3" s="26">
        <v>8</v>
      </c>
      <c r="U3" s="26">
        <v>7</v>
      </c>
      <c r="V3" s="26">
        <v>6</v>
      </c>
      <c r="W3" s="26">
        <v>8</v>
      </c>
      <c r="X3" s="26">
        <v>10</v>
      </c>
      <c r="Y3" s="26">
        <v>7</v>
      </c>
      <c r="Z3" s="25">
        <f>SUM(O3:Y3)</f>
        <v>86</v>
      </c>
    </row>
    <row r="4" spans="1:26" x14ac:dyDescent="0.25">
      <c r="A4" s="23" t="s">
        <v>208</v>
      </c>
      <c r="B4" s="24" t="s">
        <v>230</v>
      </c>
      <c r="C4" s="25" t="s">
        <v>243</v>
      </c>
      <c r="D4" s="25">
        <f t="shared" si="0"/>
        <v>439</v>
      </c>
      <c r="E4" s="26">
        <v>190</v>
      </c>
      <c r="F4" s="26">
        <v>96</v>
      </c>
      <c r="G4" s="25"/>
      <c r="H4" s="26">
        <v>23</v>
      </c>
      <c r="I4" s="26">
        <v>22</v>
      </c>
      <c r="J4" s="26">
        <v>17</v>
      </c>
      <c r="K4" s="26">
        <v>22</v>
      </c>
      <c r="L4" s="26">
        <v>20</v>
      </c>
      <c r="M4" s="25">
        <f t="shared" ref="M4:M14" si="1">SUM(H4:L4)</f>
        <v>104</v>
      </c>
      <c r="O4" s="26">
        <v>9</v>
      </c>
      <c r="P4" s="26">
        <v>8</v>
      </c>
      <c r="Q4" s="26">
        <v>0</v>
      </c>
      <c r="R4" s="26">
        <v>7</v>
      </c>
      <c r="S4" s="26">
        <v>0</v>
      </c>
      <c r="T4" s="26">
        <v>2</v>
      </c>
      <c r="U4" s="26">
        <v>5</v>
      </c>
      <c r="V4" s="26">
        <v>4</v>
      </c>
      <c r="W4" s="26">
        <v>6</v>
      </c>
      <c r="X4" s="26">
        <v>8</v>
      </c>
      <c r="Y4" s="26"/>
      <c r="Z4" s="25">
        <f t="shared" ref="Z4:Z14" si="2">SUM(O4:Y4)</f>
        <v>49</v>
      </c>
    </row>
    <row r="5" spans="1:26" x14ac:dyDescent="0.25">
      <c r="A5" s="23" t="s">
        <v>209</v>
      </c>
      <c r="B5" s="24" t="s">
        <v>231</v>
      </c>
      <c r="C5" s="25" t="s">
        <v>244</v>
      </c>
      <c r="D5" s="25">
        <f t="shared" si="0"/>
        <v>458</v>
      </c>
      <c r="E5" s="26">
        <v>185</v>
      </c>
      <c r="F5" s="26">
        <v>94</v>
      </c>
      <c r="G5" s="25"/>
      <c r="H5" s="26">
        <v>22</v>
      </c>
      <c r="I5" s="26">
        <v>25</v>
      </c>
      <c r="J5" s="26">
        <v>25</v>
      </c>
      <c r="K5" s="26">
        <v>25</v>
      </c>
      <c r="L5" s="26">
        <v>25</v>
      </c>
      <c r="M5" s="25">
        <f t="shared" si="1"/>
        <v>122</v>
      </c>
      <c r="O5" s="26">
        <v>8</v>
      </c>
      <c r="P5" s="26">
        <v>7</v>
      </c>
      <c r="Q5" s="26">
        <v>9</v>
      </c>
      <c r="R5" s="26">
        <v>7</v>
      </c>
      <c r="S5" s="26">
        <v>10</v>
      </c>
      <c r="T5" s="26">
        <v>7</v>
      </c>
      <c r="U5" s="26">
        <v>3</v>
      </c>
      <c r="V5" s="26">
        <v>2</v>
      </c>
      <c r="W5" s="26">
        <v>4</v>
      </c>
      <c r="X5" s="26"/>
      <c r="Y5" s="26"/>
      <c r="Z5" s="25">
        <f t="shared" si="2"/>
        <v>57</v>
      </c>
    </row>
    <row r="6" spans="1:26" x14ac:dyDescent="0.25">
      <c r="A6" s="23" t="s">
        <v>210</v>
      </c>
      <c r="B6" s="24" t="s">
        <v>232</v>
      </c>
      <c r="C6" s="25" t="s">
        <v>243</v>
      </c>
      <c r="D6" s="25">
        <f t="shared" si="0"/>
        <v>430</v>
      </c>
      <c r="E6" s="26">
        <v>180</v>
      </c>
      <c r="F6" s="26">
        <v>92</v>
      </c>
      <c r="G6" s="25"/>
      <c r="H6" s="26">
        <v>21</v>
      </c>
      <c r="I6" s="26">
        <v>20</v>
      </c>
      <c r="J6" s="26">
        <v>25</v>
      </c>
      <c r="K6" s="26">
        <v>20</v>
      </c>
      <c r="L6" s="26">
        <v>22</v>
      </c>
      <c r="M6" s="25">
        <f t="shared" si="1"/>
        <v>108</v>
      </c>
      <c r="O6" s="26">
        <v>7</v>
      </c>
      <c r="P6" s="26">
        <v>6</v>
      </c>
      <c r="Q6" s="26">
        <v>8</v>
      </c>
      <c r="R6" s="26">
        <v>10</v>
      </c>
      <c r="S6" s="26">
        <v>7</v>
      </c>
      <c r="T6" s="26">
        <v>9</v>
      </c>
      <c r="U6" s="26">
        <v>2</v>
      </c>
      <c r="V6" s="26">
        <v>1</v>
      </c>
      <c r="W6" s="26"/>
      <c r="X6" s="26"/>
      <c r="Y6" s="26"/>
      <c r="Z6" s="25">
        <f t="shared" si="2"/>
        <v>50</v>
      </c>
    </row>
    <row r="7" spans="1:26" x14ac:dyDescent="0.25">
      <c r="A7" s="23" t="s">
        <v>211</v>
      </c>
      <c r="B7" s="24" t="s">
        <v>233</v>
      </c>
      <c r="C7" s="25" t="s">
        <v>244</v>
      </c>
      <c r="D7" s="25">
        <f t="shared" si="0"/>
        <v>458</v>
      </c>
      <c r="E7" s="26">
        <v>198</v>
      </c>
      <c r="F7" s="26">
        <v>90</v>
      </c>
      <c r="G7" s="25"/>
      <c r="H7" s="26">
        <v>25</v>
      </c>
      <c r="I7" s="26">
        <v>25</v>
      </c>
      <c r="J7" s="26">
        <v>25</v>
      </c>
      <c r="K7" s="26">
        <v>25</v>
      </c>
      <c r="L7" s="26">
        <v>21</v>
      </c>
      <c r="M7" s="25">
        <f t="shared" si="1"/>
        <v>121</v>
      </c>
      <c r="O7" s="26">
        <v>6</v>
      </c>
      <c r="P7" s="26">
        <v>5</v>
      </c>
      <c r="Q7" s="26">
        <v>7</v>
      </c>
      <c r="R7" s="26">
        <v>9</v>
      </c>
      <c r="S7" s="26">
        <v>6</v>
      </c>
      <c r="T7" s="26">
        <v>8</v>
      </c>
      <c r="U7" s="26">
        <v>8</v>
      </c>
      <c r="V7" s="26"/>
      <c r="W7" s="26"/>
      <c r="X7" s="26"/>
      <c r="Y7" s="26"/>
      <c r="Z7" s="25">
        <f t="shared" si="2"/>
        <v>49</v>
      </c>
    </row>
    <row r="8" spans="1:26" x14ac:dyDescent="0.25">
      <c r="A8" s="23" t="s">
        <v>212</v>
      </c>
      <c r="B8" s="24" t="s">
        <v>234</v>
      </c>
      <c r="C8" s="25" t="s">
        <v>242</v>
      </c>
      <c r="D8" s="25">
        <f t="shared" si="0"/>
        <v>391</v>
      </c>
      <c r="E8" s="26">
        <v>170</v>
      </c>
      <c r="F8" s="26">
        <v>88</v>
      </c>
      <c r="G8" s="25"/>
      <c r="H8" s="26">
        <v>19</v>
      </c>
      <c r="I8" s="26">
        <v>18</v>
      </c>
      <c r="J8" s="26">
        <v>23</v>
      </c>
      <c r="K8" s="26">
        <v>18</v>
      </c>
      <c r="L8" s="26">
        <v>20</v>
      </c>
      <c r="M8" s="25">
        <f t="shared" si="1"/>
        <v>98</v>
      </c>
      <c r="O8" s="26">
        <v>5</v>
      </c>
      <c r="P8" s="26">
        <v>4</v>
      </c>
      <c r="Q8" s="26">
        <v>6</v>
      </c>
      <c r="R8" s="26">
        <v>8</v>
      </c>
      <c r="S8" s="26">
        <v>5</v>
      </c>
      <c r="T8" s="26">
        <v>7</v>
      </c>
      <c r="U8" s="26"/>
      <c r="V8" s="26"/>
      <c r="W8" s="26"/>
      <c r="X8" s="26"/>
      <c r="Y8" s="26"/>
      <c r="Z8" s="25">
        <f t="shared" si="2"/>
        <v>35</v>
      </c>
    </row>
    <row r="9" spans="1:26" x14ac:dyDescent="0.25">
      <c r="A9" s="23" t="s">
        <v>213</v>
      </c>
      <c r="B9" s="24" t="s">
        <v>235</v>
      </c>
      <c r="C9" s="25" t="s">
        <v>243</v>
      </c>
      <c r="D9" s="25">
        <f t="shared" si="0"/>
        <v>420</v>
      </c>
      <c r="E9" s="26">
        <v>200</v>
      </c>
      <c r="F9" s="26">
        <v>86</v>
      </c>
      <c r="G9" s="25"/>
      <c r="H9" s="26">
        <v>18</v>
      </c>
      <c r="I9" s="26">
        <v>17</v>
      </c>
      <c r="J9" s="26">
        <v>22</v>
      </c>
      <c r="K9" s="26">
        <v>17</v>
      </c>
      <c r="L9" s="26">
        <v>19</v>
      </c>
      <c r="M9" s="25">
        <f t="shared" si="1"/>
        <v>93</v>
      </c>
      <c r="O9" s="26">
        <v>10</v>
      </c>
      <c r="P9" s="26">
        <v>6</v>
      </c>
      <c r="Q9" s="26">
        <v>8</v>
      </c>
      <c r="R9" s="26">
        <v>10</v>
      </c>
      <c r="S9" s="26">
        <v>7</v>
      </c>
      <c r="T9" s="26"/>
      <c r="U9" s="26"/>
      <c r="V9" s="26"/>
      <c r="W9" s="26"/>
      <c r="X9" s="26"/>
      <c r="Y9" s="26"/>
      <c r="Z9" s="25">
        <f t="shared" si="2"/>
        <v>41</v>
      </c>
    </row>
    <row r="10" spans="1:26" x14ac:dyDescent="0.25">
      <c r="A10" s="23" t="s">
        <v>214</v>
      </c>
      <c r="B10" s="24" t="s">
        <v>236</v>
      </c>
      <c r="C10" s="25" t="s">
        <v>242</v>
      </c>
      <c r="D10" s="25">
        <f t="shared" si="0"/>
        <v>319</v>
      </c>
      <c r="E10" s="26">
        <v>160</v>
      </c>
      <c r="F10" s="26">
        <v>84</v>
      </c>
      <c r="G10" s="25"/>
      <c r="H10" s="26">
        <v>17</v>
      </c>
      <c r="I10" s="26">
        <v>16</v>
      </c>
      <c r="J10" s="26">
        <v>25</v>
      </c>
      <c r="K10" s="26"/>
      <c r="L10" s="26">
        <v>2</v>
      </c>
      <c r="M10" s="25">
        <f t="shared" si="1"/>
        <v>60</v>
      </c>
      <c r="O10" s="26">
        <v>3</v>
      </c>
      <c r="P10" s="26">
        <v>2</v>
      </c>
      <c r="Q10" s="26">
        <v>4</v>
      </c>
      <c r="R10" s="26">
        <v>6</v>
      </c>
      <c r="S10" s="26"/>
      <c r="T10" s="26"/>
      <c r="U10" s="26"/>
      <c r="V10" s="26"/>
      <c r="W10" s="26"/>
      <c r="X10" s="26"/>
      <c r="Y10" s="26"/>
      <c r="Z10" s="25">
        <f t="shared" si="2"/>
        <v>15</v>
      </c>
    </row>
    <row r="11" spans="1:26" x14ac:dyDescent="0.25">
      <c r="A11" s="23" t="s">
        <v>215</v>
      </c>
      <c r="B11" s="24" t="s">
        <v>237</v>
      </c>
      <c r="C11" s="25" t="s">
        <v>243</v>
      </c>
      <c r="D11" s="25">
        <f t="shared" si="0"/>
        <v>416</v>
      </c>
      <c r="E11" s="26">
        <v>200</v>
      </c>
      <c r="F11" s="26">
        <v>100</v>
      </c>
      <c r="G11" s="25"/>
      <c r="H11" s="26">
        <v>16</v>
      </c>
      <c r="I11" s="26">
        <v>15</v>
      </c>
      <c r="J11" s="26">
        <v>20</v>
      </c>
      <c r="K11" s="26">
        <v>25</v>
      </c>
      <c r="L11" s="26">
        <v>23</v>
      </c>
      <c r="M11" s="25">
        <f t="shared" si="1"/>
        <v>99</v>
      </c>
      <c r="O11" s="26">
        <v>10</v>
      </c>
      <c r="P11" s="26">
        <v>2</v>
      </c>
      <c r="Q11" s="26">
        <v>5</v>
      </c>
      <c r="R11" s="26"/>
      <c r="S11" s="26"/>
      <c r="T11" s="26"/>
      <c r="U11" s="26"/>
      <c r="V11" s="26"/>
      <c r="W11" s="26"/>
      <c r="X11" s="26"/>
      <c r="Y11" s="26"/>
      <c r="Z11" s="25">
        <f t="shared" si="2"/>
        <v>17</v>
      </c>
    </row>
    <row r="12" spans="1:26" x14ac:dyDescent="0.25">
      <c r="A12" s="23" t="s">
        <v>216</v>
      </c>
      <c r="B12" s="24" t="s">
        <v>238</v>
      </c>
      <c r="C12" s="25" t="s">
        <v>242</v>
      </c>
      <c r="D12" s="25">
        <f t="shared" si="0"/>
        <v>305</v>
      </c>
      <c r="E12" s="26">
        <v>180</v>
      </c>
      <c r="F12" s="26">
        <v>90</v>
      </c>
      <c r="G12" s="25"/>
      <c r="H12" s="26">
        <v>15</v>
      </c>
      <c r="I12" s="26"/>
      <c r="J12" s="26"/>
      <c r="K12" s="26"/>
      <c r="L12" s="26"/>
      <c r="M12" s="25">
        <f t="shared" si="1"/>
        <v>15</v>
      </c>
      <c r="O12" s="26">
        <v>10</v>
      </c>
      <c r="P12" s="26">
        <v>10</v>
      </c>
      <c r="Q12" s="26"/>
      <c r="R12" s="26"/>
      <c r="S12" s="26"/>
      <c r="T12" s="26"/>
      <c r="U12" s="26"/>
      <c r="V12" s="26"/>
      <c r="W12" s="26"/>
      <c r="X12" s="26"/>
      <c r="Y12" s="26"/>
      <c r="Z12" s="25">
        <f t="shared" si="2"/>
        <v>20</v>
      </c>
    </row>
    <row r="13" spans="1:26" x14ac:dyDescent="0.25">
      <c r="A13" s="23" t="s">
        <v>217</v>
      </c>
      <c r="B13" s="24" t="s">
        <v>239</v>
      </c>
      <c r="C13" s="25" t="s">
        <v>16</v>
      </c>
      <c r="D13" s="25">
        <f t="shared" si="0"/>
        <v>234</v>
      </c>
      <c r="E13" s="26">
        <v>145</v>
      </c>
      <c r="F13" s="26">
        <v>78</v>
      </c>
      <c r="G13" s="25"/>
      <c r="H13" s="26"/>
      <c r="I13" s="26"/>
      <c r="J13" s="26"/>
      <c r="K13" s="26"/>
      <c r="L13" s="26">
        <v>2</v>
      </c>
      <c r="M13" s="25">
        <f t="shared" si="1"/>
        <v>2</v>
      </c>
      <c r="O13" s="26">
        <v>9</v>
      </c>
      <c r="P13" s="26"/>
      <c r="Q13" s="26"/>
      <c r="R13" s="26"/>
      <c r="S13" s="26"/>
      <c r="T13" s="26"/>
      <c r="U13" s="26"/>
      <c r="V13" s="26"/>
      <c r="W13" s="26"/>
      <c r="X13" s="26"/>
      <c r="Y13" s="26"/>
      <c r="Z13" s="25">
        <f t="shared" si="2"/>
        <v>9</v>
      </c>
    </row>
    <row r="14" spans="1:26" x14ac:dyDescent="0.25">
      <c r="A14" s="23" t="s">
        <v>218</v>
      </c>
      <c r="B14" s="24" t="s">
        <v>240</v>
      </c>
      <c r="C14" s="25" t="s">
        <v>243</v>
      </c>
      <c r="D14" s="25">
        <f t="shared" si="0"/>
        <v>447</v>
      </c>
      <c r="E14" s="26">
        <v>200</v>
      </c>
      <c r="F14" s="26">
        <v>100</v>
      </c>
      <c r="G14" s="25"/>
      <c r="H14" s="26">
        <v>13</v>
      </c>
      <c r="I14" s="26">
        <v>12</v>
      </c>
      <c r="J14" s="26">
        <v>17</v>
      </c>
      <c r="K14" s="26">
        <v>22</v>
      </c>
      <c r="L14" s="26">
        <v>20</v>
      </c>
      <c r="M14" s="25">
        <f t="shared" si="1"/>
        <v>84</v>
      </c>
      <c r="O14" s="26">
        <v>5</v>
      </c>
      <c r="P14" s="26">
        <v>4</v>
      </c>
      <c r="Q14" s="26">
        <v>6</v>
      </c>
      <c r="R14" s="26">
        <v>8</v>
      </c>
      <c r="S14" s="26">
        <v>5</v>
      </c>
      <c r="T14" s="26">
        <v>7</v>
      </c>
      <c r="U14" s="26">
        <v>5</v>
      </c>
      <c r="V14" s="26">
        <v>4</v>
      </c>
      <c r="W14" s="26">
        <v>6</v>
      </c>
      <c r="X14" s="26">
        <v>8</v>
      </c>
      <c r="Y14" s="26">
        <v>5</v>
      </c>
      <c r="Z14" s="25">
        <f t="shared" si="2"/>
        <v>63</v>
      </c>
    </row>
    <row r="15" spans="1:26" x14ac:dyDescent="0.25">
      <c r="C15" s="25"/>
      <c r="D15" s="25"/>
      <c r="E15" s="25"/>
      <c r="F15" s="25"/>
      <c r="G15" s="25"/>
    </row>
    <row r="16" spans="1:26" x14ac:dyDescent="0.25">
      <c r="C16" s="25"/>
      <c r="D16" s="25"/>
      <c r="E16" s="25"/>
      <c r="F16" s="25"/>
      <c r="G16" s="25"/>
    </row>
  </sheetData>
  <mergeCells count="2">
    <mergeCell ref="H1:M1"/>
    <mergeCell ref="O1:Z1"/>
  </mergeCells>
  <hyperlinks>
    <hyperlink ref="B3" r:id="rId1" xr:uid="{00000000-0004-0000-0400-000000000000}"/>
    <hyperlink ref="B4:B14" r:id="rId2" display="aa@maryville.edu" xr:uid="{00000000-0004-0000-0400-000001000000}"/>
    <hyperlink ref="B4" r:id="rId3" xr:uid="{00000000-0004-0000-0400-000002000000}"/>
    <hyperlink ref="B5" r:id="rId4" xr:uid="{00000000-0004-0000-0400-000003000000}"/>
    <hyperlink ref="B6" r:id="rId5" xr:uid="{00000000-0004-0000-0400-000004000000}"/>
    <hyperlink ref="B7" r:id="rId6" xr:uid="{00000000-0004-0000-0400-000005000000}"/>
    <hyperlink ref="B8" r:id="rId7" xr:uid="{00000000-0004-0000-0400-000006000000}"/>
    <hyperlink ref="B9" r:id="rId8" xr:uid="{00000000-0004-0000-0400-000007000000}"/>
    <hyperlink ref="B10" r:id="rId9" xr:uid="{00000000-0004-0000-0400-000008000000}"/>
    <hyperlink ref="B11" r:id="rId10" xr:uid="{00000000-0004-0000-0400-000009000000}"/>
    <hyperlink ref="B12" r:id="rId11" xr:uid="{00000000-0004-0000-0400-00000A000000}"/>
    <hyperlink ref="B13" r:id="rId12" xr:uid="{00000000-0004-0000-0400-00000B000000}"/>
    <hyperlink ref="B14" r:id="rId13" xr:uid="{00000000-0004-0000-0400-00000C000000}"/>
  </hyperlinks>
  <pageMargins left="0.75" right="0.75" top="1" bottom="1" header="0.5" footer="0.5"/>
  <pageSetup scale="74" orientation="landscape" r:id="rId14"/>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J12"/>
  <sheetViews>
    <sheetView workbookViewId="0">
      <selection activeCell="C15" sqref="C15"/>
    </sheetView>
  </sheetViews>
  <sheetFormatPr defaultRowHeight="12.5" x14ac:dyDescent="0.25"/>
  <cols>
    <col min="1" max="1" width="1.7265625" customWidth="1"/>
    <col min="3" max="10" width="12.36328125" customWidth="1"/>
  </cols>
  <sheetData>
    <row r="1" spans="2:10" ht="13" thickBot="1" x14ac:dyDescent="0.3"/>
    <row r="2" spans="2:10" ht="16" thickBot="1" x14ac:dyDescent="0.4">
      <c r="B2" s="188" t="s">
        <v>892</v>
      </c>
      <c r="C2" s="189"/>
      <c r="D2" s="189"/>
      <c r="E2" s="189"/>
      <c r="F2" s="189"/>
      <c r="G2" s="189"/>
      <c r="H2" s="189"/>
      <c r="I2" s="189"/>
      <c r="J2" s="190"/>
    </row>
    <row r="3" spans="2:10" ht="13.5" thickTop="1" x14ac:dyDescent="0.3">
      <c r="B3" s="191" t="s">
        <v>893</v>
      </c>
      <c r="C3" s="193" t="s">
        <v>894</v>
      </c>
      <c r="D3" s="194"/>
      <c r="E3" s="193" t="s">
        <v>895</v>
      </c>
      <c r="F3" s="194"/>
      <c r="G3" s="193" t="s">
        <v>896</v>
      </c>
      <c r="H3" s="194"/>
      <c r="I3" s="193" t="s">
        <v>897</v>
      </c>
      <c r="J3" s="195"/>
    </row>
    <row r="4" spans="2:10" ht="13" x14ac:dyDescent="0.3">
      <c r="B4" s="192"/>
      <c r="C4" s="161" t="s">
        <v>898</v>
      </c>
      <c r="D4" s="161" t="s">
        <v>899</v>
      </c>
      <c r="E4" s="161" t="s">
        <v>898</v>
      </c>
      <c r="F4" s="161" t="s">
        <v>899</v>
      </c>
      <c r="G4" s="161" t="s">
        <v>898</v>
      </c>
      <c r="H4" s="161" t="s">
        <v>899</v>
      </c>
      <c r="I4" s="161" t="s">
        <v>898</v>
      </c>
      <c r="J4" s="162" t="s">
        <v>899</v>
      </c>
    </row>
    <row r="5" spans="2:10" x14ac:dyDescent="0.25">
      <c r="B5" s="163">
        <v>0.1</v>
      </c>
      <c r="C5" s="164">
        <v>0</v>
      </c>
      <c r="D5" s="164">
        <f>C6</f>
        <v>8925</v>
      </c>
      <c r="E5" s="164">
        <v>0</v>
      </c>
      <c r="F5" s="164">
        <f>E6</f>
        <v>17850</v>
      </c>
      <c r="G5" s="164">
        <v>0</v>
      </c>
      <c r="H5" s="164">
        <f>G6</f>
        <v>8926</v>
      </c>
      <c r="I5" s="164">
        <v>0</v>
      </c>
      <c r="J5" s="165">
        <f>I6</f>
        <v>12750</v>
      </c>
    </row>
    <row r="6" spans="2:10" x14ac:dyDescent="0.25">
      <c r="B6" s="163">
        <v>0.15</v>
      </c>
      <c r="C6" s="164">
        <v>8925</v>
      </c>
      <c r="D6" s="164">
        <f t="shared" ref="D6:J10" si="0">C7</f>
        <v>36250</v>
      </c>
      <c r="E6" s="164">
        <v>17850</v>
      </c>
      <c r="F6" s="164">
        <f t="shared" si="0"/>
        <v>72500</v>
      </c>
      <c r="G6" s="164">
        <v>8926</v>
      </c>
      <c r="H6" s="164">
        <f t="shared" si="0"/>
        <v>36251</v>
      </c>
      <c r="I6" s="164">
        <v>12750</v>
      </c>
      <c r="J6" s="165">
        <f t="shared" si="0"/>
        <v>48600</v>
      </c>
    </row>
    <row r="7" spans="2:10" x14ac:dyDescent="0.25">
      <c r="B7" s="163">
        <v>0.25</v>
      </c>
      <c r="C7" s="164">
        <v>36250</v>
      </c>
      <c r="D7" s="164">
        <f t="shared" si="0"/>
        <v>87850</v>
      </c>
      <c r="E7" s="164">
        <v>72500</v>
      </c>
      <c r="F7" s="164">
        <f t="shared" si="0"/>
        <v>146400</v>
      </c>
      <c r="G7" s="164">
        <v>36251</v>
      </c>
      <c r="H7" s="164">
        <f t="shared" si="0"/>
        <v>73201</v>
      </c>
      <c r="I7" s="164">
        <v>48600</v>
      </c>
      <c r="J7" s="165">
        <f t="shared" si="0"/>
        <v>125450</v>
      </c>
    </row>
    <row r="8" spans="2:10" x14ac:dyDescent="0.25">
      <c r="B8" s="163">
        <v>0.28000000000000003</v>
      </c>
      <c r="C8" s="164">
        <v>87850</v>
      </c>
      <c r="D8" s="164">
        <f t="shared" si="0"/>
        <v>183250</v>
      </c>
      <c r="E8" s="164">
        <v>146400</v>
      </c>
      <c r="F8" s="164">
        <f t="shared" si="0"/>
        <v>223050</v>
      </c>
      <c r="G8" s="164">
        <v>73201</v>
      </c>
      <c r="H8" s="164">
        <f t="shared" si="0"/>
        <v>111526</v>
      </c>
      <c r="I8" s="164">
        <v>125450</v>
      </c>
      <c r="J8" s="165">
        <f t="shared" si="0"/>
        <v>203150</v>
      </c>
    </row>
    <row r="9" spans="2:10" x14ac:dyDescent="0.25">
      <c r="B9" s="163">
        <v>0.33</v>
      </c>
      <c r="C9" s="164">
        <v>183250</v>
      </c>
      <c r="D9" s="164">
        <f t="shared" si="0"/>
        <v>398350</v>
      </c>
      <c r="E9" s="164">
        <v>223050</v>
      </c>
      <c r="F9" s="164">
        <f t="shared" si="0"/>
        <v>398350</v>
      </c>
      <c r="G9" s="164">
        <v>111526</v>
      </c>
      <c r="H9" s="164">
        <f t="shared" si="0"/>
        <v>199176</v>
      </c>
      <c r="I9" s="164">
        <v>203150</v>
      </c>
      <c r="J9" s="165">
        <f t="shared" si="0"/>
        <v>398350</v>
      </c>
    </row>
    <row r="10" spans="2:10" x14ac:dyDescent="0.25">
      <c r="B10" s="163">
        <v>0.35</v>
      </c>
      <c r="C10" s="164">
        <v>398350</v>
      </c>
      <c r="D10" s="164">
        <f t="shared" si="0"/>
        <v>400000</v>
      </c>
      <c r="E10" s="164">
        <v>398350</v>
      </c>
      <c r="F10" s="164">
        <f t="shared" si="0"/>
        <v>450000</v>
      </c>
      <c r="G10" s="164">
        <v>199176</v>
      </c>
      <c r="H10" s="164">
        <f t="shared" si="0"/>
        <v>225001</v>
      </c>
      <c r="I10" s="164">
        <v>398350</v>
      </c>
      <c r="J10" s="165">
        <f t="shared" si="0"/>
        <v>425000</v>
      </c>
    </row>
    <row r="11" spans="2:10" ht="13" thickBot="1" x14ac:dyDescent="0.3">
      <c r="B11" s="166">
        <v>0.39600000000000002</v>
      </c>
      <c r="C11" s="167">
        <v>400000</v>
      </c>
      <c r="D11" s="167"/>
      <c r="E11" s="167">
        <v>450000</v>
      </c>
      <c r="F11" s="167"/>
      <c r="G11" s="167">
        <v>225001</v>
      </c>
      <c r="H11" s="167"/>
      <c r="I11" s="167">
        <v>425000</v>
      </c>
      <c r="J11" s="168"/>
    </row>
    <row r="12" spans="2:10" ht="13" thickBot="1" x14ac:dyDescent="0.3">
      <c r="B12" s="185" t="s">
        <v>900</v>
      </c>
      <c r="C12" s="186"/>
      <c r="D12" s="186"/>
      <c r="E12" s="186"/>
      <c r="F12" s="186"/>
      <c r="G12" s="186"/>
      <c r="H12" s="186"/>
      <c r="I12" s="186"/>
      <c r="J12" s="187"/>
    </row>
  </sheetData>
  <mergeCells count="7">
    <mergeCell ref="B12:J12"/>
    <mergeCell ref="B2:J2"/>
    <mergeCell ref="B3:B4"/>
    <mergeCell ref="C3:D3"/>
    <mergeCell ref="E3:F3"/>
    <mergeCell ref="G3:H3"/>
    <mergeCell ref="I3:J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dimension ref="A1:Z25"/>
  <sheetViews>
    <sheetView workbookViewId="0">
      <pane xSplit="2" ySplit="5" topLeftCell="C6" activePane="bottomRight" state="frozen"/>
      <selection activeCell="B5" sqref="B5"/>
      <selection pane="topRight" activeCell="B5" sqref="B5"/>
      <selection pane="bottomLeft" activeCell="B5" sqref="B5"/>
      <selection pane="bottomRight" activeCell="A4" sqref="A4:Z17"/>
    </sheetView>
  </sheetViews>
  <sheetFormatPr defaultColWidth="8.81640625" defaultRowHeight="12.5" x14ac:dyDescent="0.25"/>
  <cols>
    <col min="1" max="1" width="20.36328125" style="9" customWidth="1"/>
    <col min="2" max="2" width="9.26953125" style="9" customWidth="1"/>
    <col min="3" max="3" width="7.36328125" style="9" customWidth="1"/>
    <col min="4" max="6" width="8.81640625" style="9"/>
    <col min="7" max="7" width="1.1796875" style="9" customWidth="1"/>
    <col min="8" max="12" width="5.7265625" style="9" customWidth="1"/>
    <col min="13" max="13" width="5" style="9" bestFit="1" customWidth="1"/>
    <col min="14" max="14" width="0.7265625" style="9" customWidth="1"/>
    <col min="15" max="25" width="5.7265625" style="9" customWidth="1"/>
    <col min="26" max="26" width="5.54296875" style="9" bestFit="1" customWidth="1"/>
    <col min="27" max="16384" width="8.81640625" style="9"/>
  </cols>
  <sheetData>
    <row r="1" spans="1:26" ht="18" x14ac:dyDescent="0.4">
      <c r="A1" s="18" t="s">
        <v>219</v>
      </c>
    </row>
    <row r="2" spans="1:26" ht="15.5" x14ac:dyDescent="0.35">
      <c r="A2" s="19" t="s">
        <v>277</v>
      </c>
      <c r="D2"/>
      <c r="E2"/>
      <c r="F2"/>
      <c r="G2"/>
      <c r="H2"/>
      <c r="I2"/>
    </row>
    <row r="3" spans="1:26" ht="13" x14ac:dyDescent="0.3">
      <c r="G3" s="20"/>
    </row>
    <row r="4" spans="1:26" ht="13" x14ac:dyDescent="0.3">
      <c r="C4" s="20" t="s">
        <v>220</v>
      </c>
      <c r="D4" s="20" t="s">
        <v>221</v>
      </c>
      <c r="G4" s="20"/>
      <c r="H4" s="184" t="s">
        <v>222</v>
      </c>
      <c r="I4" s="184"/>
      <c r="J4" s="184"/>
      <c r="K4" s="184"/>
      <c r="L4" s="184"/>
      <c r="M4" s="184"/>
      <c r="O4" s="184" t="s">
        <v>223</v>
      </c>
      <c r="P4" s="184"/>
      <c r="Q4" s="184"/>
      <c r="R4" s="184"/>
      <c r="S4" s="184"/>
      <c r="T4" s="184"/>
      <c r="U4" s="184"/>
      <c r="V4" s="184"/>
      <c r="W4" s="184"/>
      <c r="X4" s="184"/>
      <c r="Y4" s="184"/>
      <c r="Z4" s="184"/>
    </row>
    <row r="5" spans="1:26" ht="13" x14ac:dyDescent="0.3">
      <c r="A5" s="21" t="s">
        <v>31</v>
      </c>
      <c r="B5" s="21" t="s">
        <v>224</v>
      </c>
      <c r="C5" s="22" t="s">
        <v>225</v>
      </c>
      <c r="D5" s="22" t="s">
        <v>226</v>
      </c>
      <c r="E5" s="22" t="s">
        <v>220</v>
      </c>
      <c r="F5" s="22" t="s">
        <v>227</v>
      </c>
      <c r="G5" s="22"/>
      <c r="H5" s="22">
        <v>1</v>
      </c>
      <c r="I5" s="22">
        <v>2</v>
      </c>
      <c r="J5" s="22">
        <v>3</v>
      </c>
      <c r="K5" s="22">
        <v>4</v>
      </c>
      <c r="L5" s="22">
        <v>5</v>
      </c>
      <c r="M5" s="22" t="s">
        <v>221</v>
      </c>
      <c r="O5" s="22">
        <v>1</v>
      </c>
      <c r="P5" s="22">
        <v>2</v>
      </c>
      <c r="Q5" s="22">
        <v>3</v>
      </c>
      <c r="R5" s="22">
        <v>4</v>
      </c>
      <c r="S5" s="22">
        <v>5</v>
      </c>
      <c r="T5" s="22">
        <v>6</v>
      </c>
      <c r="U5" s="22">
        <v>7</v>
      </c>
      <c r="V5" s="22">
        <v>8</v>
      </c>
      <c r="W5" s="22">
        <v>9</v>
      </c>
      <c r="X5" s="22">
        <v>10</v>
      </c>
      <c r="Y5" s="22">
        <v>11</v>
      </c>
      <c r="Z5" s="22" t="s">
        <v>221</v>
      </c>
    </row>
    <row r="6" spans="1:26" x14ac:dyDescent="0.25">
      <c r="A6" s="23" t="s">
        <v>207</v>
      </c>
      <c r="B6" s="24" t="s">
        <v>229</v>
      </c>
      <c r="C6" s="25" t="str">
        <f>VLOOKUP(D6,$A$22:$B$25,2)</f>
        <v>A</v>
      </c>
      <c r="D6" s="25">
        <f t="shared" ref="D6:D17" si="0">SUM(E6:G6,M6,Z6)</f>
        <v>488</v>
      </c>
      <c r="E6" s="26">
        <v>195</v>
      </c>
      <c r="F6" s="26">
        <v>98</v>
      </c>
      <c r="G6" s="25"/>
      <c r="H6" s="26">
        <v>24</v>
      </c>
      <c r="I6" s="26">
        <v>23</v>
      </c>
      <c r="J6" s="26">
        <v>18</v>
      </c>
      <c r="K6" s="26">
        <v>23</v>
      </c>
      <c r="L6" s="26">
        <v>21</v>
      </c>
      <c r="M6" s="25">
        <f>SUM(H6:L6)</f>
        <v>109</v>
      </c>
      <c r="O6" s="26">
        <v>10</v>
      </c>
      <c r="P6" s="26">
        <v>9</v>
      </c>
      <c r="Q6" s="26">
        <v>7</v>
      </c>
      <c r="R6" s="26">
        <v>8</v>
      </c>
      <c r="S6" s="26">
        <v>6</v>
      </c>
      <c r="T6" s="26">
        <v>8</v>
      </c>
      <c r="U6" s="26">
        <v>7</v>
      </c>
      <c r="V6" s="26">
        <v>6</v>
      </c>
      <c r="W6" s="26">
        <v>8</v>
      </c>
      <c r="X6" s="26">
        <v>10</v>
      </c>
      <c r="Y6" s="26">
        <v>7</v>
      </c>
      <c r="Z6" s="25">
        <f>SUM(O6:Y6)</f>
        <v>86</v>
      </c>
    </row>
    <row r="7" spans="1:26" x14ac:dyDescent="0.25">
      <c r="A7" s="23" t="s">
        <v>208</v>
      </c>
      <c r="B7" s="24" t="s">
        <v>230</v>
      </c>
      <c r="C7" s="25" t="str">
        <f t="shared" ref="C7:C17" si="1">VLOOKUP(D7,$A$22:$B$25,2)</f>
        <v>B</v>
      </c>
      <c r="D7" s="25">
        <f t="shared" si="0"/>
        <v>439</v>
      </c>
      <c r="E7" s="26">
        <v>190</v>
      </c>
      <c r="F7" s="26">
        <v>96</v>
      </c>
      <c r="G7" s="25"/>
      <c r="H7" s="26">
        <v>23</v>
      </c>
      <c r="I7" s="26">
        <v>22</v>
      </c>
      <c r="J7" s="26">
        <v>17</v>
      </c>
      <c r="K7" s="26">
        <v>22</v>
      </c>
      <c r="L7" s="26">
        <v>20</v>
      </c>
      <c r="M7" s="25">
        <f t="shared" ref="M7:M17" si="2">SUM(H7:L7)</f>
        <v>104</v>
      </c>
      <c r="O7" s="26">
        <v>9</v>
      </c>
      <c r="P7" s="26">
        <v>8</v>
      </c>
      <c r="Q7" s="26">
        <v>0</v>
      </c>
      <c r="R7" s="26">
        <v>7</v>
      </c>
      <c r="S7" s="26">
        <v>0</v>
      </c>
      <c r="T7" s="26">
        <v>2</v>
      </c>
      <c r="U7" s="26">
        <v>5</v>
      </c>
      <c r="V7" s="26">
        <v>4</v>
      </c>
      <c r="W7" s="26">
        <v>6</v>
      </c>
      <c r="X7" s="26">
        <v>8</v>
      </c>
      <c r="Y7" s="26"/>
      <c r="Z7" s="25">
        <f t="shared" ref="Z7:Z17" si="3">SUM(O7:Y7)</f>
        <v>49</v>
      </c>
    </row>
    <row r="8" spans="1:26" x14ac:dyDescent="0.25">
      <c r="A8" s="23" t="s">
        <v>209</v>
      </c>
      <c r="B8" s="24" t="s">
        <v>231</v>
      </c>
      <c r="C8" s="25" t="str">
        <f t="shared" si="1"/>
        <v>A</v>
      </c>
      <c r="D8" s="25">
        <f t="shared" si="0"/>
        <v>458</v>
      </c>
      <c r="E8" s="26">
        <v>185</v>
      </c>
      <c r="F8" s="26">
        <v>94</v>
      </c>
      <c r="G8" s="25"/>
      <c r="H8" s="26">
        <v>22</v>
      </c>
      <c r="I8" s="26">
        <v>25</v>
      </c>
      <c r="J8" s="26">
        <v>25</v>
      </c>
      <c r="K8" s="26">
        <v>25</v>
      </c>
      <c r="L8" s="26">
        <v>25</v>
      </c>
      <c r="M8" s="25">
        <f t="shared" si="2"/>
        <v>122</v>
      </c>
      <c r="O8" s="26">
        <v>8</v>
      </c>
      <c r="P8" s="26">
        <v>7</v>
      </c>
      <c r="Q8" s="26">
        <v>9</v>
      </c>
      <c r="R8" s="26">
        <v>7</v>
      </c>
      <c r="S8" s="26">
        <v>10</v>
      </c>
      <c r="T8" s="26">
        <v>7</v>
      </c>
      <c r="U8" s="26">
        <v>3</v>
      </c>
      <c r="V8" s="26">
        <v>2</v>
      </c>
      <c r="W8" s="26">
        <v>4</v>
      </c>
      <c r="X8" s="26"/>
      <c r="Y8" s="26"/>
      <c r="Z8" s="25">
        <f t="shared" si="3"/>
        <v>57</v>
      </c>
    </row>
    <row r="9" spans="1:26" x14ac:dyDescent="0.25">
      <c r="A9" s="23" t="s">
        <v>210</v>
      </c>
      <c r="B9" s="24" t="s">
        <v>232</v>
      </c>
      <c r="C9" s="25" t="str">
        <f t="shared" si="1"/>
        <v>B</v>
      </c>
      <c r="D9" s="25">
        <f t="shared" si="0"/>
        <v>430</v>
      </c>
      <c r="E9" s="26">
        <v>180</v>
      </c>
      <c r="F9" s="26">
        <v>92</v>
      </c>
      <c r="G9" s="25"/>
      <c r="H9" s="26">
        <v>21</v>
      </c>
      <c r="I9" s="26">
        <v>20</v>
      </c>
      <c r="J9" s="26">
        <v>25</v>
      </c>
      <c r="K9" s="26">
        <v>20</v>
      </c>
      <c r="L9" s="26">
        <v>22</v>
      </c>
      <c r="M9" s="25">
        <f t="shared" si="2"/>
        <v>108</v>
      </c>
      <c r="O9" s="26">
        <v>7</v>
      </c>
      <c r="P9" s="26">
        <v>6</v>
      </c>
      <c r="Q9" s="26">
        <v>8</v>
      </c>
      <c r="R9" s="26">
        <v>10</v>
      </c>
      <c r="S9" s="26">
        <v>7</v>
      </c>
      <c r="T9" s="26">
        <v>9</v>
      </c>
      <c r="U9" s="26">
        <v>2</v>
      </c>
      <c r="V9" s="26">
        <v>1</v>
      </c>
      <c r="W9" s="26"/>
      <c r="X9" s="26"/>
      <c r="Y9" s="26"/>
      <c r="Z9" s="25">
        <f t="shared" si="3"/>
        <v>50</v>
      </c>
    </row>
    <row r="10" spans="1:26" x14ac:dyDescent="0.25">
      <c r="A10" s="23" t="s">
        <v>211</v>
      </c>
      <c r="B10" s="24" t="s">
        <v>233</v>
      </c>
      <c r="C10" s="25" t="str">
        <f t="shared" si="1"/>
        <v>A</v>
      </c>
      <c r="D10" s="25">
        <f t="shared" si="0"/>
        <v>458</v>
      </c>
      <c r="E10" s="26">
        <v>198</v>
      </c>
      <c r="F10" s="26">
        <v>90</v>
      </c>
      <c r="G10" s="25"/>
      <c r="H10" s="26">
        <v>25</v>
      </c>
      <c r="I10" s="26">
        <v>25</v>
      </c>
      <c r="J10" s="26">
        <v>25</v>
      </c>
      <c r="K10" s="26">
        <v>25</v>
      </c>
      <c r="L10" s="26">
        <v>21</v>
      </c>
      <c r="M10" s="25">
        <f t="shared" si="2"/>
        <v>121</v>
      </c>
      <c r="O10" s="26">
        <v>6</v>
      </c>
      <c r="P10" s="26">
        <v>5</v>
      </c>
      <c r="Q10" s="26">
        <v>7</v>
      </c>
      <c r="R10" s="26">
        <v>9</v>
      </c>
      <c r="S10" s="26">
        <v>6</v>
      </c>
      <c r="T10" s="26">
        <v>8</v>
      </c>
      <c r="U10" s="26">
        <v>8</v>
      </c>
      <c r="V10" s="26"/>
      <c r="W10" s="26"/>
      <c r="X10" s="26"/>
      <c r="Y10" s="26"/>
      <c r="Z10" s="25">
        <f t="shared" si="3"/>
        <v>49</v>
      </c>
    </row>
    <row r="11" spans="1:26" x14ac:dyDescent="0.25">
      <c r="A11" s="23" t="s">
        <v>212</v>
      </c>
      <c r="B11" s="24" t="s">
        <v>234</v>
      </c>
      <c r="C11" s="25" t="str">
        <f t="shared" si="1"/>
        <v>C</v>
      </c>
      <c r="D11" s="25">
        <f t="shared" si="0"/>
        <v>391</v>
      </c>
      <c r="E11" s="26">
        <v>170</v>
      </c>
      <c r="F11" s="26">
        <v>88</v>
      </c>
      <c r="G11" s="25"/>
      <c r="H11" s="26">
        <v>19</v>
      </c>
      <c r="I11" s="26">
        <v>18</v>
      </c>
      <c r="J11" s="26">
        <v>23</v>
      </c>
      <c r="K11" s="26">
        <v>18</v>
      </c>
      <c r="L11" s="26">
        <v>20</v>
      </c>
      <c r="M11" s="25">
        <f t="shared" si="2"/>
        <v>98</v>
      </c>
      <c r="O11" s="26">
        <v>5</v>
      </c>
      <c r="P11" s="26">
        <v>4</v>
      </c>
      <c r="Q11" s="26">
        <v>6</v>
      </c>
      <c r="R11" s="26">
        <v>8</v>
      </c>
      <c r="S11" s="26">
        <v>5</v>
      </c>
      <c r="T11" s="26">
        <v>7</v>
      </c>
      <c r="U11" s="26"/>
      <c r="V11" s="26"/>
      <c r="W11" s="26"/>
      <c r="X11" s="26"/>
      <c r="Y11" s="26"/>
      <c r="Z11" s="25">
        <f t="shared" si="3"/>
        <v>35</v>
      </c>
    </row>
    <row r="12" spans="1:26" x14ac:dyDescent="0.25">
      <c r="A12" s="23" t="s">
        <v>213</v>
      </c>
      <c r="B12" s="24" t="s">
        <v>235</v>
      </c>
      <c r="C12" s="25" t="str">
        <f t="shared" si="1"/>
        <v>B</v>
      </c>
      <c r="D12" s="25">
        <f t="shared" si="0"/>
        <v>420</v>
      </c>
      <c r="E12" s="26">
        <v>200</v>
      </c>
      <c r="F12" s="26">
        <v>86</v>
      </c>
      <c r="G12" s="25"/>
      <c r="H12" s="26">
        <v>18</v>
      </c>
      <c r="I12" s="26">
        <v>17</v>
      </c>
      <c r="J12" s="26">
        <v>22</v>
      </c>
      <c r="K12" s="26">
        <v>17</v>
      </c>
      <c r="L12" s="26">
        <v>19</v>
      </c>
      <c r="M12" s="25">
        <f t="shared" si="2"/>
        <v>93</v>
      </c>
      <c r="O12" s="26">
        <v>10</v>
      </c>
      <c r="P12" s="26">
        <v>6</v>
      </c>
      <c r="Q12" s="26">
        <v>8</v>
      </c>
      <c r="R12" s="26">
        <v>10</v>
      </c>
      <c r="S12" s="26">
        <v>7</v>
      </c>
      <c r="T12" s="26"/>
      <c r="U12" s="26"/>
      <c r="V12" s="26"/>
      <c r="W12" s="26"/>
      <c r="X12" s="26"/>
      <c r="Y12" s="26"/>
      <c r="Z12" s="25">
        <f t="shared" si="3"/>
        <v>41</v>
      </c>
    </row>
    <row r="13" spans="1:26" x14ac:dyDescent="0.25">
      <c r="A13" s="23" t="s">
        <v>214</v>
      </c>
      <c r="B13" s="24" t="s">
        <v>236</v>
      </c>
      <c r="C13" s="25" t="str">
        <f t="shared" si="1"/>
        <v>C</v>
      </c>
      <c r="D13" s="25">
        <f t="shared" si="0"/>
        <v>319</v>
      </c>
      <c r="E13" s="26">
        <v>160</v>
      </c>
      <c r="F13" s="26">
        <v>84</v>
      </c>
      <c r="G13" s="25"/>
      <c r="H13" s="26">
        <v>17</v>
      </c>
      <c r="I13" s="26">
        <v>16</v>
      </c>
      <c r="J13" s="26">
        <v>25</v>
      </c>
      <c r="K13" s="26"/>
      <c r="L13" s="26">
        <v>2</v>
      </c>
      <c r="M13" s="25">
        <f t="shared" si="2"/>
        <v>60</v>
      </c>
      <c r="O13" s="26">
        <v>3</v>
      </c>
      <c r="P13" s="26">
        <v>2</v>
      </c>
      <c r="Q13" s="26">
        <v>4</v>
      </c>
      <c r="R13" s="26">
        <v>6</v>
      </c>
      <c r="S13" s="26"/>
      <c r="T13" s="26"/>
      <c r="U13" s="26"/>
      <c r="V13" s="26"/>
      <c r="W13" s="26"/>
      <c r="X13" s="26"/>
      <c r="Y13" s="26"/>
      <c r="Z13" s="25">
        <f t="shared" si="3"/>
        <v>15</v>
      </c>
    </row>
    <row r="14" spans="1:26" x14ac:dyDescent="0.25">
      <c r="A14" s="23" t="s">
        <v>215</v>
      </c>
      <c r="B14" s="24" t="s">
        <v>237</v>
      </c>
      <c r="C14" s="25" t="str">
        <f t="shared" si="1"/>
        <v>B</v>
      </c>
      <c r="D14" s="25">
        <f t="shared" si="0"/>
        <v>416</v>
      </c>
      <c r="E14" s="26">
        <v>200</v>
      </c>
      <c r="F14" s="26">
        <v>100</v>
      </c>
      <c r="G14" s="25"/>
      <c r="H14" s="26">
        <v>16</v>
      </c>
      <c r="I14" s="26">
        <v>15</v>
      </c>
      <c r="J14" s="26">
        <v>20</v>
      </c>
      <c r="K14" s="26">
        <v>25</v>
      </c>
      <c r="L14" s="26">
        <v>23</v>
      </c>
      <c r="M14" s="25">
        <f t="shared" si="2"/>
        <v>99</v>
      </c>
      <c r="O14" s="26">
        <v>10</v>
      </c>
      <c r="P14" s="26">
        <v>2</v>
      </c>
      <c r="Q14" s="26">
        <v>5</v>
      </c>
      <c r="R14" s="26"/>
      <c r="S14" s="26"/>
      <c r="T14" s="26"/>
      <c r="U14" s="26"/>
      <c r="V14" s="26"/>
      <c r="W14" s="26"/>
      <c r="X14" s="26"/>
      <c r="Y14" s="26"/>
      <c r="Z14" s="25">
        <f t="shared" si="3"/>
        <v>17</v>
      </c>
    </row>
    <row r="15" spans="1:26" x14ac:dyDescent="0.25">
      <c r="A15" s="23" t="s">
        <v>216</v>
      </c>
      <c r="B15" s="24" t="s">
        <v>238</v>
      </c>
      <c r="C15" s="25" t="str">
        <f t="shared" si="1"/>
        <v>C</v>
      </c>
      <c r="D15" s="25">
        <f t="shared" si="0"/>
        <v>305</v>
      </c>
      <c r="E15" s="26">
        <v>180</v>
      </c>
      <c r="F15" s="26">
        <v>90</v>
      </c>
      <c r="G15" s="25"/>
      <c r="H15" s="26">
        <v>15</v>
      </c>
      <c r="I15" s="26"/>
      <c r="J15" s="26"/>
      <c r="K15" s="26"/>
      <c r="L15" s="26"/>
      <c r="M15" s="25">
        <f t="shared" si="2"/>
        <v>15</v>
      </c>
      <c r="O15" s="26">
        <v>10</v>
      </c>
      <c r="P15" s="26">
        <v>10</v>
      </c>
      <c r="Q15" s="26"/>
      <c r="R15" s="26"/>
      <c r="S15" s="26"/>
      <c r="T15" s="26"/>
      <c r="U15" s="26"/>
      <c r="V15" s="26"/>
      <c r="W15" s="26"/>
      <c r="X15" s="26"/>
      <c r="Y15" s="26"/>
      <c r="Z15" s="25">
        <f t="shared" si="3"/>
        <v>20</v>
      </c>
    </row>
    <row r="16" spans="1:26" x14ac:dyDescent="0.25">
      <c r="A16" s="23" t="s">
        <v>217</v>
      </c>
      <c r="B16" s="24" t="s">
        <v>239</v>
      </c>
      <c r="C16" s="25" t="str">
        <f t="shared" si="1"/>
        <v>F</v>
      </c>
      <c r="D16" s="25">
        <f t="shared" si="0"/>
        <v>234</v>
      </c>
      <c r="E16" s="26">
        <v>145</v>
      </c>
      <c r="F16" s="26">
        <v>78</v>
      </c>
      <c r="G16" s="25"/>
      <c r="H16" s="26"/>
      <c r="I16" s="26"/>
      <c r="J16" s="26"/>
      <c r="K16" s="26"/>
      <c r="L16" s="26">
        <v>2</v>
      </c>
      <c r="M16" s="25">
        <f t="shared" si="2"/>
        <v>2</v>
      </c>
      <c r="O16" s="26">
        <v>9</v>
      </c>
      <c r="P16" s="26"/>
      <c r="Q16" s="26"/>
      <c r="R16" s="26"/>
      <c r="S16" s="26"/>
      <c r="T16" s="26"/>
      <c r="U16" s="26"/>
      <c r="V16" s="26"/>
      <c r="W16" s="26"/>
      <c r="X16" s="26"/>
      <c r="Y16" s="26"/>
      <c r="Z16" s="25">
        <f t="shared" si="3"/>
        <v>9</v>
      </c>
    </row>
    <row r="17" spans="1:26" x14ac:dyDescent="0.25">
      <c r="A17" s="23" t="s">
        <v>218</v>
      </c>
      <c r="B17" s="24" t="s">
        <v>240</v>
      </c>
      <c r="C17" s="25" t="str">
        <f t="shared" si="1"/>
        <v>B</v>
      </c>
      <c r="D17" s="25">
        <f t="shared" si="0"/>
        <v>447</v>
      </c>
      <c r="E17" s="26">
        <v>200</v>
      </c>
      <c r="F17" s="26">
        <v>100</v>
      </c>
      <c r="G17" s="25"/>
      <c r="H17" s="26">
        <v>13</v>
      </c>
      <c r="I17" s="26">
        <v>12</v>
      </c>
      <c r="J17" s="26">
        <v>17</v>
      </c>
      <c r="K17" s="26">
        <v>22</v>
      </c>
      <c r="L17" s="26">
        <v>20</v>
      </c>
      <c r="M17" s="25">
        <f t="shared" si="2"/>
        <v>84</v>
      </c>
      <c r="O17" s="26">
        <v>5</v>
      </c>
      <c r="P17" s="26">
        <v>4</v>
      </c>
      <c r="Q17" s="26">
        <v>6</v>
      </c>
      <c r="R17" s="26">
        <v>8</v>
      </c>
      <c r="S17" s="26">
        <v>5</v>
      </c>
      <c r="T17" s="26">
        <v>7</v>
      </c>
      <c r="U17" s="26">
        <v>5</v>
      </c>
      <c r="V17" s="26">
        <v>4</v>
      </c>
      <c r="W17" s="26">
        <v>6</v>
      </c>
      <c r="X17" s="26">
        <v>8</v>
      </c>
      <c r="Y17" s="26">
        <v>5</v>
      </c>
      <c r="Z17" s="25">
        <f t="shared" si="3"/>
        <v>63</v>
      </c>
    </row>
    <row r="18" spans="1:26" x14ac:dyDescent="0.25">
      <c r="C18" s="25"/>
      <c r="D18" s="25"/>
      <c r="E18" s="25"/>
      <c r="F18" s="25"/>
      <c r="G18" s="25"/>
    </row>
    <row r="19" spans="1:26" x14ac:dyDescent="0.25">
      <c r="C19" s="25"/>
      <c r="D19" s="25"/>
      <c r="E19" s="25"/>
      <c r="F19" s="25"/>
      <c r="G19" s="25"/>
    </row>
    <row r="20" spans="1:26" ht="13" thickBot="1" x14ac:dyDescent="0.3">
      <c r="C20" s="25"/>
      <c r="D20" s="25"/>
      <c r="E20" s="25"/>
      <c r="F20" s="25"/>
      <c r="G20" s="25"/>
    </row>
    <row r="21" spans="1:26" ht="13.5" thickBot="1" x14ac:dyDescent="0.35">
      <c r="A21" s="196" t="s">
        <v>241</v>
      </c>
      <c r="B21" s="197"/>
      <c r="C21" s="25"/>
      <c r="D21" s="25"/>
      <c r="E21" s="25"/>
      <c r="F21" s="25"/>
      <c r="G21" s="25"/>
    </row>
    <row r="22" spans="1:26" x14ac:dyDescent="0.25">
      <c r="A22" s="27">
        <v>0</v>
      </c>
      <c r="B22" s="28" t="s">
        <v>16</v>
      </c>
    </row>
    <row r="23" spans="1:26" x14ac:dyDescent="0.25">
      <c r="A23" s="29">
        <v>300</v>
      </c>
      <c r="B23" s="30" t="s">
        <v>242</v>
      </c>
    </row>
    <row r="24" spans="1:26" x14ac:dyDescent="0.25">
      <c r="A24" s="29">
        <v>400</v>
      </c>
      <c r="B24" s="30" t="s">
        <v>243</v>
      </c>
    </row>
    <row r="25" spans="1:26" ht="13" thickBot="1" x14ac:dyDescent="0.3">
      <c r="A25" s="31">
        <v>450</v>
      </c>
      <c r="B25" s="32" t="s">
        <v>244</v>
      </c>
    </row>
  </sheetData>
  <mergeCells count="3">
    <mergeCell ref="H4:M4"/>
    <mergeCell ref="O4:Z4"/>
    <mergeCell ref="A21:B21"/>
  </mergeCells>
  <hyperlinks>
    <hyperlink ref="B6" r:id="rId1" xr:uid="{00000000-0004-0000-0600-000000000000}"/>
    <hyperlink ref="B7:B17" r:id="rId2" display="aa@maryville.edu" xr:uid="{00000000-0004-0000-0600-000001000000}"/>
    <hyperlink ref="B7" r:id="rId3" xr:uid="{00000000-0004-0000-0600-000002000000}"/>
    <hyperlink ref="B8" r:id="rId4" xr:uid="{00000000-0004-0000-0600-000003000000}"/>
    <hyperlink ref="B9" r:id="rId5" xr:uid="{00000000-0004-0000-0600-000004000000}"/>
    <hyperlink ref="B10" r:id="rId6" xr:uid="{00000000-0004-0000-0600-000005000000}"/>
    <hyperlink ref="B11" r:id="rId7" xr:uid="{00000000-0004-0000-0600-000006000000}"/>
    <hyperlink ref="B12" r:id="rId8" xr:uid="{00000000-0004-0000-0600-000007000000}"/>
    <hyperlink ref="B13" r:id="rId9" xr:uid="{00000000-0004-0000-0600-000008000000}"/>
    <hyperlink ref="B14" r:id="rId10" xr:uid="{00000000-0004-0000-0600-000009000000}"/>
    <hyperlink ref="B15" r:id="rId11" xr:uid="{00000000-0004-0000-0600-00000A000000}"/>
    <hyperlink ref="B16" r:id="rId12" xr:uid="{00000000-0004-0000-0600-00000B000000}"/>
    <hyperlink ref="B17" r:id="rId13" xr:uid="{00000000-0004-0000-0600-00000C000000}"/>
  </hyperlinks>
  <pageMargins left="0.75" right="0.75" top="1" bottom="1" header="0.5" footer="0.5"/>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pageSetUpPr fitToPage="1"/>
  </sheetPr>
  <dimension ref="A1:AH685"/>
  <sheetViews>
    <sheetView showGridLines="0" workbookViewId="0">
      <pane ySplit="3" topLeftCell="A4" activePane="bottomLeft" state="frozen"/>
      <selection activeCell="F14" sqref="F14"/>
      <selection pane="bottomLeft" activeCell="B28" sqref="B28"/>
    </sheetView>
  </sheetViews>
  <sheetFormatPr defaultColWidth="9.1796875" defaultRowHeight="11.5" x14ac:dyDescent="0.25"/>
  <cols>
    <col min="1" max="1" width="2.7265625" style="39" customWidth="1"/>
    <col min="2" max="2" width="12.1796875" style="38" customWidth="1"/>
    <col min="3" max="3" width="12.54296875" style="38" customWidth="1"/>
    <col min="4" max="4" width="13.81640625" style="59" customWidth="1"/>
    <col min="5" max="5" width="13.7265625" style="39" customWidth="1"/>
    <col min="6" max="6" width="4.81640625" style="39" customWidth="1"/>
    <col min="7" max="7" width="12.81640625" style="38" customWidth="1"/>
    <col min="8" max="8" width="13.26953125" style="39" customWidth="1"/>
    <col min="9" max="256" width="9.1796875" style="39"/>
    <col min="257" max="257" width="2.7265625" style="39" customWidth="1"/>
    <col min="258" max="264" width="18.26953125" style="39" customWidth="1"/>
    <col min="265" max="512" width="9.1796875" style="39"/>
    <col min="513" max="513" width="2.7265625" style="39" customWidth="1"/>
    <col min="514" max="520" width="18.26953125" style="39" customWidth="1"/>
    <col min="521" max="768" width="9.1796875" style="39"/>
    <col min="769" max="769" width="2.7265625" style="39" customWidth="1"/>
    <col min="770" max="776" width="18.26953125" style="39" customWidth="1"/>
    <col min="777" max="1024" width="9.1796875" style="39"/>
    <col min="1025" max="1025" width="2.7265625" style="39" customWidth="1"/>
    <col min="1026" max="1032" width="18.26953125" style="39" customWidth="1"/>
    <col min="1033" max="1280" width="9.1796875" style="39"/>
    <col min="1281" max="1281" width="2.7265625" style="39" customWidth="1"/>
    <col min="1282" max="1288" width="18.26953125" style="39" customWidth="1"/>
    <col min="1289" max="1536" width="9.1796875" style="39"/>
    <col min="1537" max="1537" width="2.7265625" style="39" customWidth="1"/>
    <col min="1538" max="1544" width="18.26953125" style="39" customWidth="1"/>
    <col min="1545" max="1792" width="9.1796875" style="39"/>
    <col min="1793" max="1793" width="2.7265625" style="39" customWidth="1"/>
    <col min="1794" max="1800" width="18.26953125" style="39" customWidth="1"/>
    <col min="1801" max="2048" width="9.1796875" style="39"/>
    <col min="2049" max="2049" width="2.7265625" style="39" customWidth="1"/>
    <col min="2050" max="2056" width="18.26953125" style="39" customWidth="1"/>
    <col min="2057" max="2304" width="9.1796875" style="39"/>
    <col min="2305" max="2305" width="2.7265625" style="39" customWidth="1"/>
    <col min="2306" max="2312" width="18.26953125" style="39" customWidth="1"/>
    <col min="2313" max="2560" width="9.1796875" style="39"/>
    <col min="2561" max="2561" width="2.7265625" style="39" customWidth="1"/>
    <col min="2562" max="2568" width="18.26953125" style="39" customWidth="1"/>
    <col min="2569" max="2816" width="9.1796875" style="39"/>
    <col min="2817" max="2817" width="2.7265625" style="39" customWidth="1"/>
    <col min="2818" max="2824" width="18.26953125" style="39" customWidth="1"/>
    <col min="2825" max="3072" width="9.1796875" style="39"/>
    <col min="3073" max="3073" width="2.7265625" style="39" customWidth="1"/>
    <col min="3074" max="3080" width="18.26953125" style="39" customWidth="1"/>
    <col min="3081" max="3328" width="9.1796875" style="39"/>
    <col min="3329" max="3329" width="2.7265625" style="39" customWidth="1"/>
    <col min="3330" max="3336" width="18.26953125" style="39" customWidth="1"/>
    <col min="3337" max="3584" width="9.1796875" style="39"/>
    <col min="3585" max="3585" width="2.7265625" style="39" customWidth="1"/>
    <col min="3586" max="3592" width="18.26953125" style="39" customWidth="1"/>
    <col min="3593" max="3840" width="9.1796875" style="39"/>
    <col min="3841" max="3841" width="2.7265625" style="39" customWidth="1"/>
    <col min="3842" max="3848" width="18.26953125" style="39" customWidth="1"/>
    <col min="3849" max="4096" width="9.1796875" style="39"/>
    <col min="4097" max="4097" width="2.7265625" style="39" customWidth="1"/>
    <col min="4098" max="4104" width="18.26953125" style="39" customWidth="1"/>
    <col min="4105" max="4352" width="9.1796875" style="39"/>
    <col min="4353" max="4353" width="2.7265625" style="39" customWidth="1"/>
    <col min="4354" max="4360" width="18.26953125" style="39" customWidth="1"/>
    <col min="4361" max="4608" width="9.1796875" style="39"/>
    <col min="4609" max="4609" width="2.7265625" style="39" customWidth="1"/>
    <col min="4610" max="4616" width="18.26953125" style="39" customWidth="1"/>
    <col min="4617" max="4864" width="9.1796875" style="39"/>
    <col min="4865" max="4865" width="2.7265625" style="39" customWidth="1"/>
    <col min="4866" max="4872" width="18.26953125" style="39" customWidth="1"/>
    <col min="4873" max="5120" width="9.1796875" style="39"/>
    <col min="5121" max="5121" width="2.7265625" style="39" customWidth="1"/>
    <col min="5122" max="5128" width="18.26953125" style="39" customWidth="1"/>
    <col min="5129" max="5376" width="9.1796875" style="39"/>
    <col min="5377" max="5377" width="2.7265625" style="39" customWidth="1"/>
    <col min="5378" max="5384" width="18.26953125" style="39" customWidth="1"/>
    <col min="5385" max="5632" width="9.1796875" style="39"/>
    <col min="5633" max="5633" width="2.7265625" style="39" customWidth="1"/>
    <col min="5634" max="5640" width="18.26953125" style="39" customWidth="1"/>
    <col min="5641" max="5888" width="9.1796875" style="39"/>
    <col min="5889" max="5889" width="2.7265625" style="39" customWidth="1"/>
    <col min="5890" max="5896" width="18.26953125" style="39" customWidth="1"/>
    <col min="5897" max="6144" width="9.1796875" style="39"/>
    <col min="6145" max="6145" width="2.7265625" style="39" customWidth="1"/>
    <col min="6146" max="6152" width="18.26953125" style="39" customWidth="1"/>
    <col min="6153" max="6400" width="9.1796875" style="39"/>
    <col min="6401" max="6401" width="2.7265625" style="39" customWidth="1"/>
    <col min="6402" max="6408" width="18.26953125" style="39" customWidth="1"/>
    <col min="6409" max="6656" width="9.1796875" style="39"/>
    <col min="6657" max="6657" width="2.7265625" style="39" customWidth="1"/>
    <col min="6658" max="6664" width="18.26953125" style="39" customWidth="1"/>
    <col min="6665" max="6912" width="9.1796875" style="39"/>
    <col min="6913" max="6913" width="2.7265625" style="39" customWidth="1"/>
    <col min="6914" max="6920" width="18.26953125" style="39" customWidth="1"/>
    <col min="6921" max="7168" width="9.1796875" style="39"/>
    <col min="7169" max="7169" width="2.7265625" style="39" customWidth="1"/>
    <col min="7170" max="7176" width="18.26953125" style="39" customWidth="1"/>
    <col min="7177" max="7424" width="9.1796875" style="39"/>
    <col min="7425" max="7425" width="2.7265625" style="39" customWidth="1"/>
    <col min="7426" max="7432" width="18.26953125" style="39" customWidth="1"/>
    <col min="7433" max="7680" width="9.1796875" style="39"/>
    <col min="7681" max="7681" width="2.7265625" style="39" customWidth="1"/>
    <col min="7682" max="7688" width="18.26953125" style="39" customWidth="1"/>
    <col min="7689" max="7936" width="9.1796875" style="39"/>
    <col min="7937" max="7937" width="2.7265625" style="39" customWidth="1"/>
    <col min="7938" max="7944" width="18.26953125" style="39" customWidth="1"/>
    <col min="7945" max="8192" width="9.1796875" style="39"/>
    <col min="8193" max="8193" width="2.7265625" style="39" customWidth="1"/>
    <col min="8194" max="8200" width="18.26953125" style="39" customWidth="1"/>
    <col min="8201" max="8448" width="9.1796875" style="39"/>
    <col min="8449" max="8449" width="2.7265625" style="39" customWidth="1"/>
    <col min="8450" max="8456" width="18.26953125" style="39" customWidth="1"/>
    <col min="8457" max="8704" width="9.1796875" style="39"/>
    <col min="8705" max="8705" width="2.7265625" style="39" customWidth="1"/>
    <col min="8706" max="8712" width="18.26953125" style="39" customWidth="1"/>
    <col min="8713" max="8960" width="9.1796875" style="39"/>
    <col min="8961" max="8961" width="2.7265625" style="39" customWidth="1"/>
    <col min="8962" max="8968" width="18.26953125" style="39" customWidth="1"/>
    <col min="8969" max="9216" width="9.1796875" style="39"/>
    <col min="9217" max="9217" width="2.7265625" style="39" customWidth="1"/>
    <col min="9218" max="9224" width="18.26953125" style="39" customWidth="1"/>
    <col min="9225" max="9472" width="9.1796875" style="39"/>
    <col min="9473" max="9473" width="2.7265625" style="39" customWidth="1"/>
    <col min="9474" max="9480" width="18.26953125" style="39" customWidth="1"/>
    <col min="9481" max="9728" width="9.1796875" style="39"/>
    <col min="9729" max="9729" width="2.7265625" style="39" customWidth="1"/>
    <col min="9730" max="9736" width="18.26953125" style="39" customWidth="1"/>
    <col min="9737" max="9984" width="9.1796875" style="39"/>
    <col min="9985" max="9985" width="2.7265625" style="39" customWidth="1"/>
    <col min="9986" max="9992" width="18.26953125" style="39" customWidth="1"/>
    <col min="9993" max="10240" width="9.1796875" style="39"/>
    <col min="10241" max="10241" width="2.7265625" style="39" customWidth="1"/>
    <col min="10242" max="10248" width="18.26953125" style="39" customWidth="1"/>
    <col min="10249" max="10496" width="9.1796875" style="39"/>
    <col min="10497" max="10497" width="2.7265625" style="39" customWidth="1"/>
    <col min="10498" max="10504" width="18.26953125" style="39" customWidth="1"/>
    <col min="10505" max="10752" width="9.1796875" style="39"/>
    <col min="10753" max="10753" width="2.7265625" style="39" customWidth="1"/>
    <col min="10754" max="10760" width="18.26953125" style="39" customWidth="1"/>
    <col min="10761" max="11008" width="9.1796875" style="39"/>
    <col min="11009" max="11009" width="2.7265625" style="39" customWidth="1"/>
    <col min="11010" max="11016" width="18.26953125" style="39" customWidth="1"/>
    <col min="11017" max="11264" width="9.1796875" style="39"/>
    <col min="11265" max="11265" width="2.7265625" style="39" customWidth="1"/>
    <col min="11266" max="11272" width="18.26953125" style="39" customWidth="1"/>
    <col min="11273" max="11520" width="9.1796875" style="39"/>
    <col min="11521" max="11521" width="2.7265625" style="39" customWidth="1"/>
    <col min="11522" max="11528" width="18.26953125" style="39" customWidth="1"/>
    <col min="11529" max="11776" width="9.1796875" style="39"/>
    <col min="11777" max="11777" width="2.7265625" style="39" customWidth="1"/>
    <col min="11778" max="11784" width="18.26953125" style="39" customWidth="1"/>
    <col min="11785" max="12032" width="9.1796875" style="39"/>
    <col min="12033" max="12033" width="2.7265625" style="39" customWidth="1"/>
    <col min="12034" max="12040" width="18.26953125" style="39" customWidth="1"/>
    <col min="12041" max="12288" width="9.1796875" style="39"/>
    <col min="12289" max="12289" width="2.7265625" style="39" customWidth="1"/>
    <col min="12290" max="12296" width="18.26953125" style="39" customWidth="1"/>
    <col min="12297" max="12544" width="9.1796875" style="39"/>
    <col min="12545" max="12545" width="2.7265625" style="39" customWidth="1"/>
    <col min="12546" max="12552" width="18.26953125" style="39" customWidth="1"/>
    <col min="12553" max="12800" width="9.1796875" style="39"/>
    <col min="12801" max="12801" width="2.7265625" style="39" customWidth="1"/>
    <col min="12802" max="12808" width="18.26953125" style="39" customWidth="1"/>
    <col min="12809" max="13056" width="9.1796875" style="39"/>
    <col min="13057" max="13057" width="2.7265625" style="39" customWidth="1"/>
    <col min="13058" max="13064" width="18.26953125" style="39" customWidth="1"/>
    <col min="13065" max="13312" width="9.1796875" style="39"/>
    <col min="13313" max="13313" width="2.7265625" style="39" customWidth="1"/>
    <col min="13314" max="13320" width="18.26953125" style="39" customWidth="1"/>
    <col min="13321" max="13568" width="9.1796875" style="39"/>
    <col min="13569" max="13569" width="2.7265625" style="39" customWidth="1"/>
    <col min="13570" max="13576" width="18.26953125" style="39" customWidth="1"/>
    <col min="13577" max="13824" width="9.1796875" style="39"/>
    <col min="13825" max="13825" width="2.7265625" style="39" customWidth="1"/>
    <col min="13826" max="13832" width="18.26953125" style="39" customWidth="1"/>
    <col min="13833" max="14080" width="9.1796875" style="39"/>
    <col min="14081" max="14081" width="2.7265625" style="39" customWidth="1"/>
    <col min="14082" max="14088" width="18.26953125" style="39" customWidth="1"/>
    <col min="14089" max="14336" width="9.1796875" style="39"/>
    <col min="14337" max="14337" width="2.7265625" style="39" customWidth="1"/>
    <col min="14338" max="14344" width="18.26953125" style="39" customWidth="1"/>
    <col min="14345" max="14592" width="9.1796875" style="39"/>
    <col min="14593" max="14593" width="2.7265625" style="39" customWidth="1"/>
    <col min="14594" max="14600" width="18.26953125" style="39" customWidth="1"/>
    <col min="14601" max="14848" width="9.1796875" style="39"/>
    <col min="14849" max="14849" width="2.7265625" style="39" customWidth="1"/>
    <col min="14850" max="14856" width="18.26953125" style="39" customWidth="1"/>
    <col min="14857" max="15104" width="9.1796875" style="39"/>
    <col min="15105" max="15105" width="2.7265625" style="39" customWidth="1"/>
    <col min="15106" max="15112" width="18.26953125" style="39" customWidth="1"/>
    <col min="15113" max="15360" width="9.1796875" style="39"/>
    <col min="15361" max="15361" width="2.7265625" style="39" customWidth="1"/>
    <col min="15362" max="15368" width="18.26953125" style="39" customWidth="1"/>
    <col min="15369" max="15616" width="9.1796875" style="39"/>
    <col min="15617" max="15617" width="2.7265625" style="39" customWidth="1"/>
    <col min="15618" max="15624" width="18.26953125" style="39" customWidth="1"/>
    <col min="15625" max="15872" width="9.1796875" style="39"/>
    <col min="15873" max="15873" width="2.7265625" style="39" customWidth="1"/>
    <col min="15874" max="15880" width="18.26953125" style="39" customWidth="1"/>
    <col min="15881" max="16128" width="9.1796875" style="39"/>
    <col min="16129" max="16129" width="2.7265625" style="39" customWidth="1"/>
    <col min="16130" max="16136" width="18.26953125" style="39" customWidth="1"/>
    <col min="16137" max="16384" width="9.1796875" style="39"/>
  </cols>
  <sheetData>
    <row r="1" spans="1:33" x14ac:dyDescent="0.25">
      <c r="A1" s="37"/>
      <c r="D1" s="39"/>
    </row>
    <row r="2" spans="1:33" x14ac:dyDescent="0.25">
      <c r="A2" s="37"/>
      <c r="B2" s="198" t="s">
        <v>252</v>
      </c>
      <c r="C2" s="199"/>
      <c r="D2" s="199"/>
      <c r="E2" s="200"/>
      <c r="F2" s="40"/>
      <c r="G2" s="198" t="s">
        <v>253</v>
      </c>
      <c r="H2" s="201"/>
      <c r="K2" s="41" t="s">
        <v>254</v>
      </c>
      <c r="L2" s="42">
        <v>41275</v>
      </c>
      <c r="AB2" s="43" t="s">
        <v>255</v>
      </c>
    </row>
    <row r="3" spans="1:33" ht="24" customHeight="1" x14ac:dyDescent="0.25">
      <c r="B3" s="44" t="s">
        <v>256</v>
      </c>
      <c r="C3" s="45" t="s">
        <v>257</v>
      </c>
      <c r="D3" s="46" t="s">
        <v>258</v>
      </c>
      <c r="E3" s="47" t="s">
        <v>259</v>
      </c>
      <c r="F3" s="48"/>
      <c r="G3" s="45" t="s">
        <v>260</v>
      </c>
      <c r="H3" s="47" t="s">
        <v>261</v>
      </c>
      <c r="AB3" s="39" t="s">
        <v>262</v>
      </c>
      <c r="AC3" s="49">
        <f>MIN(B4:C282)</f>
        <v>40544</v>
      </c>
      <c r="AD3" s="50" t="str">
        <f>TEXT(DATE(YEAR(AC4),MONTH(AC4),VLOOKUP(MONTH(AC4),$AD$4:$AE$15,2)),"mm/dd/yy")</f>
        <v>12/31/12</v>
      </c>
      <c r="AE3" s="50" t="str">
        <f>TEXT(DATE(YEAR(AC4+32),MONTH(AC4+32),1),"mm/yy")</f>
        <v>01/13</v>
      </c>
      <c r="AF3" s="50" t="str">
        <f>TEXT(DATE(YEAR(AC4+31*6),MONTH(AC4+31*6),1),"mm/yy")</f>
        <v>06/13</v>
      </c>
      <c r="AG3" s="51" t="str">
        <f>TEXT(DATE(YEAR(AC4+6*31),MONTH(AC4+6*31),VLOOKUP(MONTH(AC4+6*31),AD4:AE15,2)),"mm/dd/yy")</f>
        <v>06/30/13</v>
      </c>
    </row>
    <row r="4" spans="1:33" x14ac:dyDescent="0.25">
      <c r="A4" s="52">
        <v>24</v>
      </c>
      <c r="B4" s="53">
        <f>EDATE($L$2,-A4)</f>
        <v>40544</v>
      </c>
      <c r="C4" s="53">
        <f>IF(B4&lt;&gt;B3,B4,EDATE(C3,1))</f>
        <v>40544</v>
      </c>
      <c r="D4" s="54">
        <v>1649000</v>
      </c>
      <c r="E4" s="54">
        <v>329000</v>
      </c>
      <c r="F4" s="52"/>
      <c r="G4" s="53">
        <f>B4</f>
        <v>40544</v>
      </c>
      <c r="H4" s="55">
        <v>47760</v>
      </c>
      <c r="AB4" s="39" t="s">
        <v>263</v>
      </c>
      <c r="AC4" s="49">
        <f>MAX(B4:C282)</f>
        <v>41244</v>
      </c>
      <c r="AD4" s="39">
        <v>1</v>
      </c>
      <c r="AE4" s="39">
        <v>31</v>
      </c>
    </row>
    <row r="5" spans="1:33" x14ac:dyDescent="0.25">
      <c r="A5" s="52">
        <v>24</v>
      </c>
      <c r="B5" s="53">
        <f t="shared" ref="B5:B68" si="0">EDATE($L$2,-A5)</f>
        <v>40544</v>
      </c>
      <c r="C5" s="53">
        <f t="shared" ref="C5:C68" si="1">IF(B5&lt;&gt;B4,B5,EDATE(C4,1))</f>
        <v>40575</v>
      </c>
      <c r="D5" s="55">
        <v>4580000</v>
      </c>
      <c r="E5" s="56">
        <v>8000</v>
      </c>
      <c r="F5" s="52"/>
      <c r="G5" s="53">
        <f>EDATE(G4,1)</f>
        <v>40575</v>
      </c>
      <c r="H5" s="55">
        <v>46980</v>
      </c>
      <c r="AB5" s="39" t="s">
        <v>264</v>
      </c>
      <c r="AC5" s="49">
        <f>DATE(YEAR(AC4)-1,MONTH(AC4),DAY(AC4))</f>
        <v>40878</v>
      </c>
      <c r="AD5" s="39">
        <v>2</v>
      </c>
      <c r="AE5" s="39">
        <v>28</v>
      </c>
    </row>
    <row r="6" spans="1:33" x14ac:dyDescent="0.25">
      <c r="A6" s="52">
        <v>24</v>
      </c>
      <c r="B6" s="53">
        <f t="shared" si="0"/>
        <v>40544</v>
      </c>
      <c r="C6" s="53">
        <f t="shared" si="1"/>
        <v>40603</v>
      </c>
      <c r="D6" s="55">
        <v>1934000</v>
      </c>
      <c r="E6" s="56">
        <v>17000</v>
      </c>
      <c r="F6" s="52"/>
      <c r="G6" s="53">
        <f t="shared" ref="G6:G27" si="2">EDATE(G5,1)</f>
        <v>40603</v>
      </c>
      <c r="H6" s="55">
        <v>46300</v>
      </c>
      <c r="AD6" s="39">
        <v>3</v>
      </c>
      <c r="AE6" s="39">
        <v>31</v>
      </c>
    </row>
    <row r="7" spans="1:33" x14ac:dyDescent="0.25">
      <c r="A7" s="52">
        <v>24</v>
      </c>
      <c r="B7" s="53">
        <f t="shared" si="0"/>
        <v>40544</v>
      </c>
      <c r="C7" s="53">
        <f t="shared" si="1"/>
        <v>40634</v>
      </c>
      <c r="D7" s="55">
        <v>1152000</v>
      </c>
      <c r="E7" s="56">
        <v>10000</v>
      </c>
      <c r="F7" s="52"/>
      <c r="G7" s="53">
        <f t="shared" si="2"/>
        <v>40634</v>
      </c>
      <c r="H7" s="55">
        <v>45520</v>
      </c>
      <c r="AD7" s="39">
        <v>4</v>
      </c>
      <c r="AE7" s="39">
        <v>30</v>
      </c>
    </row>
    <row r="8" spans="1:33" x14ac:dyDescent="0.25">
      <c r="A8" s="52">
        <v>24</v>
      </c>
      <c r="B8" s="53">
        <f t="shared" si="0"/>
        <v>40544</v>
      </c>
      <c r="C8" s="53">
        <f t="shared" si="1"/>
        <v>40664</v>
      </c>
      <c r="D8" s="55">
        <v>221000</v>
      </c>
      <c r="E8" s="56">
        <v>4000</v>
      </c>
      <c r="F8" s="52"/>
      <c r="G8" s="53">
        <f t="shared" si="2"/>
        <v>40664</v>
      </c>
      <c r="H8" s="55">
        <v>45380</v>
      </c>
      <c r="AD8" s="39">
        <v>5</v>
      </c>
      <c r="AE8" s="39">
        <v>31</v>
      </c>
    </row>
    <row r="9" spans="1:33" x14ac:dyDescent="0.25">
      <c r="A9" s="52">
        <v>24</v>
      </c>
      <c r="B9" s="53">
        <f t="shared" si="0"/>
        <v>40544</v>
      </c>
      <c r="C9" s="53">
        <f t="shared" si="1"/>
        <v>40695</v>
      </c>
      <c r="D9" s="55">
        <v>173000</v>
      </c>
      <c r="E9" s="56">
        <v>3000</v>
      </c>
      <c r="F9" s="52"/>
      <c r="G9" s="53">
        <f t="shared" si="2"/>
        <v>40695</v>
      </c>
      <c r="H9" s="55">
        <v>44720</v>
      </c>
      <c r="AD9" s="39">
        <v>6</v>
      </c>
      <c r="AE9" s="39">
        <v>30</v>
      </c>
    </row>
    <row r="10" spans="1:33" x14ac:dyDescent="0.25">
      <c r="A10" s="52">
        <v>24</v>
      </c>
      <c r="B10" s="53">
        <f t="shared" si="0"/>
        <v>40544</v>
      </c>
      <c r="C10" s="53">
        <f t="shared" si="1"/>
        <v>40725</v>
      </c>
      <c r="D10" s="55">
        <v>60000</v>
      </c>
      <c r="E10" s="56">
        <v>2000</v>
      </c>
      <c r="F10" s="52"/>
      <c r="G10" s="53">
        <f t="shared" si="2"/>
        <v>40725</v>
      </c>
      <c r="H10" s="55">
        <v>43520</v>
      </c>
      <c r="AD10" s="39">
        <v>7</v>
      </c>
      <c r="AE10" s="39">
        <v>31</v>
      </c>
    </row>
    <row r="11" spans="1:33" x14ac:dyDescent="0.25">
      <c r="A11" s="52">
        <v>24</v>
      </c>
      <c r="B11" s="53">
        <f t="shared" si="0"/>
        <v>40544</v>
      </c>
      <c r="C11" s="53">
        <f t="shared" si="1"/>
        <v>40756</v>
      </c>
      <c r="D11" s="55">
        <v>16000</v>
      </c>
      <c r="E11" s="56">
        <v>3000</v>
      </c>
      <c r="F11" s="52"/>
      <c r="G11" s="53">
        <f t="shared" si="2"/>
        <v>40756</v>
      </c>
      <c r="H11" s="55">
        <v>42500</v>
      </c>
      <c r="AD11" s="39">
        <v>8</v>
      </c>
      <c r="AE11" s="39">
        <v>31</v>
      </c>
    </row>
    <row r="12" spans="1:33" x14ac:dyDescent="0.25">
      <c r="A12" s="52">
        <v>24</v>
      </c>
      <c r="B12" s="53">
        <f t="shared" si="0"/>
        <v>40544</v>
      </c>
      <c r="C12" s="53">
        <f t="shared" si="1"/>
        <v>40787</v>
      </c>
      <c r="D12" s="55">
        <v>6000</v>
      </c>
      <c r="E12" s="56">
        <v>1000</v>
      </c>
      <c r="F12" s="52"/>
      <c r="G12" s="53">
        <f t="shared" si="2"/>
        <v>40787</v>
      </c>
      <c r="H12" s="55">
        <v>42360</v>
      </c>
      <c r="AD12" s="39">
        <v>9</v>
      </c>
      <c r="AE12" s="39">
        <v>30</v>
      </c>
    </row>
    <row r="13" spans="1:33" x14ac:dyDescent="0.25">
      <c r="A13" s="52">
        <v>24</v>
      </c>
      <c r="B13" s="53">
        <f t="shared" si="0"/>
        <v>40544</v>
      </c>
      <c r="C13" s="53">
        <f t="shared" si="1"/>
        <v>40817</v>
      </c>
      <c r="D13" s="55">
        <v>52000</v>
      </c>
      <c r="E13" s="56">
        <v>9000</v>
      </c>
      <c r="F13" s="52"/>
      <c r="G13" s="53">
        <f t="shared" si="2"/>
        <v>40817</v>
      </c>
      <c r="H13" s="55">
        <v>42020</v>
      </c>
      <c r="AD13" s="39">
        <v>10</v>
      </c>
      <c r="AE13" s="39">
        <v>31</v>
      </c>
    </row>
    <row r="14" spans="1:33" x14ac:dyDescent="0.25">
      <c r="A14" s="52">
        <v>24</v>
      </c>
      <c r="B14" s="53">
        <f t="shared" si="0"/>
        <v>40544</v>
      </c>
      <c r="C14" s="53">
        <f t="shared" si="1"/>
        <v>40848</v>
      </c>
      <c r="D14" s="55">
        <v>21000</v>
      </c>
      <c r="E14" s="56">
        <v>1000</v>
      </c>
      <c r="F14" s="52"/>
      <c r="G14" s="53">
        <f t="shared" si="2"/>
        <v>40848</v>
      </c>
      <c r="H14" s="55">
        <v>41850</v>
      </c>
      <c r="AD14" s="39">
        <v>11</v>
      </c>
      <c r="AE14" s="39">
        <v>30</v>
      </c>
    </row>
    <row r="15" spans="1:33" x14ac:dyDescent="0.25">
      <c r="A15" s="52">
        <v>24</v>
      </c>
      <c r="B15" s="53">
        <f t="shared" si="0"/>
        <v>40544</v>
      </c>
      <c r="C15" s="53">
        <f t="shared" si="1"/>
        <v>40878</v>
      </c>
      <c r="D15" s="55">
        <v>85000</v>
      </c>
      <c r="E15" s="56">
        <v>3000</v>
      </c>
      <c r="F15" s="52"/>
      <c r="G15" s="53">
        <f t="shared" si="2"/>
        <v>40878</v>
      </c>
      <c r="H15" s="55">
        <v>42250</v>
      </c>
      <c r="AD15" s="39">
        <v>12</v>
      </c>
      <c r="AE15" s="39">
        <v>31</v>
      </c>
    </row>
    <row r="16" spans="1:33" x14ac:dyDescent="0.25">
      <c r="A16" s="52">
        <v>24</v>
      </c>
      <c r="B16" s="53">
        <f t="shared" si="0"/>
        <v>40544</v>
      </c>
      <c r="C16" s="53">
        <f t="shared" si="1"/>
        <v>40909</v>
      </c>
      <c r="D16" s="55">
        <v>2000</v>
      </c>
      <c r="E16" s="56">
        <v>0</v>
      </c>
      <c r="F16" s="52"/>
      <c r="G16" s="53">
        <f t="shared" si="2"/>
        <v>40909</v>
      </c>
      <c r="H16" s="55">
        <v>37430</v>
      </c>
    </row>
    <row r="17" spans="1:8" x14ac:dyDescent="0.25">
      <c r="A17" s="52">
        <v>24</v>
      </c>
      <c r="B17" s="53">
        <f t="shared" si="0"/>
        <v>40544</v>
      </c>
      <c r="C17" s="53">
        <f t="shared" si="1"/>
        <v>40940</v>
      </c>
      <c r="D17" s="55">
        <v>9000</v>
      </c>
      <c r="E17" s="56">
        <v>0</v>
      </c>
      <c r="F17" s="52"/>
      <c r="G17" s="53">
        <f t="shared" si="2"/>
        <v>40940</v>
      </c>
      <c r="H17" s="55">
        <v>39350</v>
      </c>
    </row>
    <row r="18" spans="1:8" x14ac:dyDescent="0.25">
      <c r="A18" s="52">
        <v>24</v>
      </c>
      <c r="B18" s="53">
        <f t="shared" si="0"/>
        <v>40544</v>
      </c>
      <c r="C18" s="53">
        <f t="shared" si="1"/>
        <v>40969</v>
      </c>
      <c r="D18" s="55">
        <v>5000</v>
      </c>
      <c r="E18" s="56">
        <v>0</v>
      </c>
      <c r="F18" s="52"/>
      <c r="G18" s="53">
        <f t="shared" si="2"/>
        <v>40969</v>
      </c>
      <c r="H18" s="55">
        <v>40060</v>
      </c>
    </row>
    <row r="19" spans="1:8" x14ac:dyDescent="0.25">
      <c r="A19" s="52">
        <v>24</v>
      </c>
      <c r="B19" s="53">
        <f t="shared" si="0"/>
        <v>40544</v>
      </c>
      <c r="C19" s="53">
        <f t="shared" si="1"/>
        <v>41000</v>
      </c>
      <c r="D19" s="55">
        <v>2000</v>
      </c>
      <c r="E19" s="56">
        <v>0</v>
      </c>
      <c r="F19" s="52"/>
      <c r="G19" s="53">
        <f t="shared" si="2"/>
        <v>41000</v>
      </c>
      <c r="H19" s="55">
        <v>40170</v>
      </c>
    </row>
    <row r="20" spans="1:8" x14ac:dyDescent="0.25">
      <c r="A20" s="52">
        <v>24</v>
      </c>
      <c r="B20" s="53">
        <f t="shared" si="0"/>
        <v>40544</v>
      </c>
      <c r="C20" s="53">
        <f t="shared" si="1"/>
        <v>41030</v>
      </c>
      <c r="D20" s="55">
        <v>2000</v>
      </c>
      <c r="E20" s="56">
        <v>0</v>
      </c>
      <c r="F20" s="52"/>
      <c r="G20" s="53">
        <f t="shared" si="2"/>
        <v>41030</v>
      </c>
      <c r="H20" s="55">
        <v>40220</v>
      </c>
    </row>
    <row r="21" spans="1:8" x14ac:dyDescent="0.25">
      <c r="A21" s="52">
        <v>24</v>
      </c>
      <c r="B21" s="53">
        <f t="shared" si="0"/>
        <v>40544</v>
      </c>
      <c r="C21" s="53">
        <f t="shared" si="1"/>
        <v>41061</v>
      </c>
      <c r="D21" s="55">
        <v>2000</v>
      </c>
      <c r="E21" s="56">
        <v>0</v>
      </c>
      <c r="F21" s="52"/>
      <c r="G21" s="53">
        <f t="shared" si="2"/>
        <v>41061</v>
      </c>
      <c r="H21" s="55">
        <v>40420</v>
      </c>
    </row>
    <row r="22" spans="1:8" x14ac:dyDescent="0.25">
      <c r="A22" s="52">
        <v>23</v>
      </c>
      <c r="B22" s="53">
        <f t="shared" si="0"/>
        <v>40575</v>
      </c>
      <c r="C22" s="53">
        <f t="shared" si="1"/>
        <v>40575</v>
      </c>
      <c r="D22" s="55">
        <v>1173000</v>
      </c>
      <c r="E22" s="56">
        <v>675000</v>
      </c>
      <c r="F22" s="52"/>
      <c r="G22" s="53">
        <f t="shared" si="2"/>
        <v>41091</v>
      </c>
      <c r="H22" s="55">
        <v>40800</v>
      </c>
    </row>
    <row r="23" spans="1:8" x14ac:dyDescent="0.25">
      <c r="A23" s="52">
        <v>23</v>
      </c>
      <c r="B23" s="53">
        <f t="shared" si="0"/>
        <v>40575</v>
      </c>
      <c r="C23" s="53">
        <f t="shared" si="1"/>
        <v>40603</v>
      </c>
      <c r="D23" s="55">
        <v>4406000</v>
      </c>
      <c r="E23" s="56">
        <v>13000</v>
      </c>
      <c r="F23" s="52"/>
      <c r="G23" s="53">
        <f t="shared" si="2"/>
        <v>41122</v>
      </c>
      <c r="H23" s="55">
        <v>40690</v>
      </c>
    </row>
    <row r="24" spans="1:8" x14ac:dyDescent="0.25">
      <c r="A24" s="52">
        <v>23</v>
      </c>
      <c r="B24" s="53">
        <f t="shared" si="0"/>
        <v>40575</v>
      </c>
      <c r="C24" s="53">
        <f t="shared" si="1"/>
        <v>40634</v>
      </c>
      <c r="D24" s="55">
        <v>1671000</v>
      </c>
      <c r="E24" s="56">
        <v>8000</v>
      </c>
      <c r="F24" s="52"/>
      <c r="G24" s="53">
        <f t="shared" si="2"/>
        <v>41153</v>
      </c>
      <c r="H24" s="55">
        <v>40490</v>
      </c>
    </row>
    <row r="25" spans="1:8" x14ac:dyDescent="0.25">
      <c r="A25" s="52">
        <v>23</v>
      </c>
      <c r="B25" s="53">
        <f t="shared" si="0"/>
        <v>40575</v>
      </c>
      <c r="C25" s="53">
        <f t="shared" si="1"/>
        <v>40664</v>
      </c>
      <c r="D25" s="55">
        <v>571000</v>
      </c>
      <c r="E25" s="56">
        <v>11000</v>
      </c>
      <c r="F25" s="52"/>
      <c r="G25" s="53">
        <f t="shared" si="2"/>
        <v>41183</v>
      </c>
      <c r="H25" s="55">
        <v>40480</v>
      </c>
    </row>
    <row r="26" spans="1:8" x14ac:dyDescent="0.25">
      <c r="A26" s="52">
        <v>23</v>
      </c>
      <c r="B26" s="53">
        <f t="shared" si="0"/>
        <v>40575</v>
      </c>
      <c r="C26" s="53">
        <f t="shared" si="1"/>
        <v>40695</v>
      </c>
      <c r="D26" s="55">
        <v>93000</v>
      </c>
      <c r="E26" s="56">
        <v>9000</v>
      </c>
      <c r="F26" s="52"/>
      <c r="G26" s="53">
        <f t="shared" si="2"/>
        <v>41214</v>
      </c>
      <c r="H26" s="55">
        <v>40400</v>
      </c>
    </row>
    <row r="27" spans="1:8" x14ac:dyDescent="0.25">
      <c r="A27" s="52">
        <v>23</v>
      </c>
      <c r="B27" s="53">
        <f t="shared" si="0"/>
        <v>40575</v>
      </c>
      <c r="C27" s="53">
        <f t="shared" si="1"/>
        <v>40725</v>
      </c>
      <c r="D27" s="55">
        <v>129000</v>
      </c>
      <c r="E27" s="56">
        <v>13000</v>
      </c>
      <c r="F27" s="52"/>
      <c r="G27" s="53">
        <f t="shared" si="2"/>
        <v>41244</v>
      </c>
      <c r="H27" s="55">
        <v>40110</v>
      </c>
    </row>
    <row r="28" spans="1:8" x14ac:dyDescent="0.25">
      <c r="A28" s="52">
        <v>23</v>
      </c>
      <c r="B28" s="53">
        <f t="shared" si="0"/>
        <v>40575</v>
      </c>
      <c r="C28" s="53">
        <f t="shared" si="1"/>
        <v>40756</v>
      </c>
      <c r="D28" s="55">
        <v>102000</v>
      </c>
      <c r="E28" s="56">
        <v>5000</v>
      </c>
      <c r="F28" s="57"/>
      <c r="G28" s="58"/>
      <c r="H28" s="59"/>
    </row>
    <row r="29" spans="1:8" x14ac:dyDescent="0.25">
      <c r="A29" s="52">
        <v>23</v>
      </c>
      <c r="B29" s="53">
        <f t="shared" si="0"/>
        <v>40575</v>
      </c>
      <c r="C29" s="53">
        <f t="shared" si="1"/>
        <v>40787</v>
      </c>
      <c r="D29" s="55">
        <v>23000</v>
      </c>
      <c r="E29" s="56">
        <v>4000</v>
      </c>
      <c r="F29" s="57"/>
      <c r="G29" s="58"/>
      <c r="H29" s="59"/>
    </row>
    <row r="30" spans="1:8" x14ac:dyDescent="0.25">
      <c r="A30" s="52">
        <v>23</v>
      </c>
      <c r="B30" s="53">
        <f t="shared" si="0"/>
        <v>40575</v>
      </c>
      <c r="C30" s="53">
        <f t="shared" si="1"/>
        <v>40817</v>
      </c>
      <c r="D30" s="55">
        <v>11000</v>
      </c>
      <c r="E30" s="56">
        <v>6000</v>
      </c>
      <c r="F30" s="57"/>
      <c r="G30" s="58"/>
      <c r="H30" s="59"/>
    </row>
    <row r="31" spans="1:8" x14ac:dyDescent="0.25">
      <c r="A31" s="52">
        <v>23</v>
      </c>
      <c r="B31" s="53">
        <f t="shared" si="0"/>
        <v>40575</v>
      </c>
      <c r="C31" s="53">
        <f t="shared" si="1"/>
        <v>40848</v>
      </c>
      <c r="D31" s="55">
        <v>24000</v>
      </c>
      <c r="E31" s="56">
        <v>0</v>
      </c>
      <c r="F31" s="57"/>
      <c r="G31" s="58"/>
      <c r="H31" s="59"/>
    </row>
    <row r="32" spans="1:8" x14ac:dyDescent="0.25">
      <c r="A32" s="52">
        <v>23</v>
      </c>
      <c r="B32" s="53">
        <f t="shared" si="0"/>
        <v>40575</v>
      </c>
      <c r="C32" s="53">
        <f t="shared" si="1"/>
        <v>40878</v>
      </c>
      <c r="D32" s="55">
        <v>29000</v>
      </c>
      <c r="E32" s="56">
        <v>1000</v>
      </c>
      <c r="F32" s="57"/>
      <c r="G32" s="58"/>
      <c r="H32" s="59"/>
    </row>
    <row r="33" spans="1:34" x14ac:dyDescent="0.25">
      <c r="A33" s="52">
        <v>23</v>
      </c>
      <c r="B33" s="53">
        <f t="shared" si="0"/>
        <v>40575</v>
      </c>
      <c r="C33" s="53">
        <f t="shared" si="1"/>
        <v>40909</v>
      </c>
      <c r="D33" s="55">
        <v>10000</v>
      </c>
      <c r="E33" s="56">
        <v>0</v>
      </c>
      <c r="F33" s="57"/>
      <c r="G33" s="58"/>
      <c r="H33" s="59"/>
    </row>
    <row r="34" spans="1:34" x14ac:dyDescent="0.25">
      <c r="A34" s="52">
        <v>23</v>
      </c>
      <c r="B34" s="53">
        <f t="shared" si="0"/>
        <v>40575</v>
      </c>
      <c r="C34" s="53">
        <f t="shared" si="1"/>
        <v>40940</v>
      </c>
      <c r="D34" s="55">
        <v>2000</v>
      </c>
      <c r="E34" s="56">
        <v>0</v>
      </c>
      <c r="F34" s="57"/>
      <c r="G34" s="58"/>
      <c r="H34" s="59"/>
    </row>
    <row r="35" spans="1:34" x14ac:dyDescent="0.25">
      <c r="A35" s="52">
        <v>23</v>
      </c>
      <c r="B35" s="53">
        <f t="shared" si="0"/>
        <v>40575</v>
      </c>
      <c r="C35" s="53">
        <f t="shared" si="1"/>
        <v>40969</v>
      </c>
      <c r="D35" s="55">
        <v>67000</v>
      </c>
      <c r="E35" s="56">
        <v>1000</v>
      </c>
      <c r="F35" s="57"/>
      <c r="G35" s="58"/>
      <c r="H35" s="59"/>
    </row>
    <row r="36" spans="1:34" x14ac:dyDescent="0.25">
      <c r="A36" s="52">
        <v>23</v>
      </c>
      <c r="B36" s="53">
        <f t="shared" si="0"/>
        <v>40575</v>
      </c>
      <c r="C36" s="53">
        <f t="shared" si="1"/>
        <v>41000</v>
      </c>
      <c r="D36" s="55">
        <v>19000</v>
      </c>
      <c r="E36" s="56">
        <v>0</v>
      </c>
      <c r="F36" s="57"/>
      <c r="G36" s="58"/>
      <c r="H36" s="59"/>
    </row>
    <row r="37" spans="1:34" x14ac:dyDescent="0.25">
      <c r="A37" s="52">
        <v>23</v>
      </c>
      <c r="B37" s="53">
        <f t="shared" si="0"/>
        <v>40575</v>
      </c>
      <c r="C37" s="53">
        <f t="shared" si="1"/>
        <v>41030</v>
      </c>
      <c r="D37" s="55">
        <v>2000</v>
      </c>
      <c r="E37" s="56">
        <v>0</v>
      </c>
      <c r="F37" s="57"/>
      <c r="G37" s="58"/>
      <c r="H37" s="59"/>
    </row>
    <row r="38" spans="1:34" x14ac:dyDescent="0.25">
      <c r="A38" s="52">
        <v>23</v>
      </c>
      <c r="B38" s="53">
        <f t="shared" si="0"/>
        <v>40575</v>
      </c>
      <c r="C38" s="53">
        <f t="shared" si="1"/>
        <v>41061</v>
      </c>
      <c r="D38" s="55">
        <v>7000</v>
      </c>
      <c r="E38" s="56">
        <v>0</v>
      </c>
      <c r="F38" s="57"/>
      <c r="G38" s="58"/>
      <c r="H38" s="59"/>
    </row>
    <row r="39" spans="1:34" x14ac:dyDescent="0.25">
      <c r="A39" s="52">
        <v>23</v>
      </c>
      <c r="B39" s="53">
        <f t="shared" si="0"/>
        <v>40575</v>
      </c>
      <c r="C39" s="53">
        <f t="shared" si="1"/>
        <v>41091</v>
      </c>
      <c r="D39" s="55">
        <v>12000</v>
      </c>
      <c r="E39" s="56">
        <v>0</v>
      </c>
      <c r="F39" s="57"/>
      <c r="G39" s="58"/>
      <c r="H39" s="59"/>
    </row>
    <row r="40" spans="1:34" x14ac:dyDescent="0.25">
      <c r="A40" s="52">
        <v>22</v>
      </c>
      <c r="B40" s="53">
        <f t="shared" si="0"/>
        <v>40603</v>
      </c>
      <c r="C40" s="53">
        <f t="shared" si="1"/>
        <v>40603</v>
      </c>
      <c r="D40" s="55">
        <v>1503000</v>
      </c>
      <c r="E40" s="56">
        <v>618000</v>
      </c>
      <c r="F40" s="57"/>
    </row>
    <row r="41" spans="1:34" x14ac:dyDescent="0.25">
      <c r="A41" s="52">
        <v>22</v>
      </c>
      <c r="B41" s="53">
        <f t="shared" si="0"/>
        <v>40603</v>
      </c>
      <c r="C41" s="53">
        <f t="shared" si="1"/>
        <v>40634</v>
      </c>
      <c r="D41" s="55">
        <v>6462000</v>
      </c>
      <c r="E41" s="56">
        <v>88000</v>
      </c>
      <c r="F41" s="57"/>
    </row>
    <row r="42" spans="1:34" x14ac:dyDescent="0.25">
      <c r="A42" s="52">
        <v>22</v>
      </c>
      <c r="B42" s="53">
        <f t="shared" si="0"/>
        <v>40603</v>
      </c>
      <c r="C42" s="53">
        <f t="shared" si="1"/>
        <v>40664</v>
      </c>
      <c r="D42" s="55">
        <v>1417000</v>
      </c>
      <c r="E42" s="56">
        <v>20000</v>
      </c>
      <c r="F42" s="57"/>
    </row>
    <row r="43" spans="1:34" s="38" customFormat="1" x14ac:dyDescent="0.25">
      <c r="A43" s="52">
        <v>22</v>
      </c>
      <c r="B43" s="53">
        <f t="shared" si="0"/>
        <v>40603</v>
      </c>
      <c r="C43" s="53">
        <f t="shared" si="1"/>
        <v>40695</v>
      </c>
      <c r="D43" s="55">
        <v>861000</v>
      </c>
      <c r="E43" s="56">
        <v>23000</v>
      </c>
      <c r="F43" s="57"/>
      <c r="H43" s="39"/>
      <c r="I43" s="39"/>
      <c r="J43" s="39"/>
      <c r="K43" s="39"/>
      <c r="L43" s="39"/>
      <c r="M43" s="39"/>
      <c r="N43" s="39"/>
      <c r="O43" s="39"/>
      <c r="P43" s="39"/>
      <c r="Q43" s="39"/>
      <c r="R43" s="39"/>
      <c r="S43" s="39"/>
      <c r="T43" s="39"/>
      <c r="U43" s="39"/>
      <c r="V43" s="39"/>
      <c r="W43" s="39"/>
      <c r="X43" s="39"/>
      <c r="Y43" s="39"/>
      <c r="Z43" s="39"/>
      <c r="AA43" s="39"/>
      <c r="AB43" s="39"/>
      <c r="AC43" s="39"/>
      <c r="AD43" s="39"/>
      <c r="AE43" s="39"/>
      <c r="AF43" s="39"/>
      <c r="AG43" s="39"/>
      <c r="AH43" s="39"/>
    </row>
    <row r="44" spans="1:34" s="38" customFormat="1" x14ac:dyDescent="0.25">
      <c r="A44" s="52">
        <v>22</v>
      </c>
      <c r="B44" s="53">
        <f t="shared" si="0"/>
        <v>40603</v>
      </c>
      <c r="C44" s="53">
        <f t="shared" si="1"/>
        <v>40725</v>
      </c>
      <c r="D44" s="55">
        <v>243000</v>
      </c>
      <c r="E44" s="56">
        <v>20000</v>
      </c>
      <c r="F44" s="57"/>
      <c r="H44" s="39"/>
      <c r="I44" s="39"/>
      <c r="J44" s="39"/>
      <c r="K44" s="39"/>
      <c r="L44" s="39"/>
      <c r="M44" s="39"/>
      <c r="N44" s="39"/>
      <c r="O44" s="39"/>
      <c r="P44" s="39"/>
      <c r="Q44" s="39"/>
      <c r="R44" s="39"/>
      <c r="S44" s="39"/>
      <c r="T44" s="39"/>
      <c r="U44" s="39"/>
      <c r="V44" s="39"/>
      <c r="W44" s="39"/>
      <c r="X44" s="39"/>
      <c r="Y44" s="39"/>
      <c r="Z44" s="39"/>
      <c r="AA44" s="39"/>
      <c r="AB44" s="39"/>
      <c r="AC44" s="39"/>
      <c r="AD44" s="39"/>
      <c r="AE44" s="39"/>
      <c r="AF44" s="39"/>
      <c r="AG44" s="39"/>
      <c r="AH44" s="39"/>
    </row>
    <row r="45" spans="1:34" s="38" customFormat="1" x14ac:dyDescent="0.25">
      <c r="A45" s="52">
        <v>22</v>
      </c>
      <c r="B45" s="53">
        <f t="shared" si="0"/>
        <v>40603</v>
      </c>
      <c r="C45" s="53">
        <f t="shared" si="1"/>
        <v>40756</v>
      </c>
      <c r="D45" s="55">
        <v>93000</v>
      </c>
      <c r="E45" s="56">
        <v>25000</v>
      </c>
      <c r="F45" s="57"/>
      <c r="H45" s="39"/>
      <c r="I45" s="39"/>
      <c r="J45" s="39"/>
      <c r="K45" s="39"/>
      <c r="L45" s="39"/>
      <c r="M45" s="39"/>
      <c r="N45" s="39"/>
      <c r="O45" s="39"/>
      <c r="P45" s="39"/>
      <c r="Q45" s="39"/>
      <c r="R45" s="39"/>
      <c r="S45" s="39"/>
      <c r="T45" s="39"/>
      <c r="U45" s="39"/>
      <c r="V45" s="39"/>
      <c r="W45" s="39"/>
      <c r="X45" s="39"/>
      <c r="Y45" s="39"/>
      <c r="Z45" s="39"/>
      <c r="AA45" s="39"/>
      <c r="AB45" s="39"/>
      <c r="AC45" s="39"/>
      <c r="AD45" s="39"/>
      <c r="AE45" s="39"/>
      <c r="AF45" s="39"/>
      <c r="AG45" s="39"/>
      <c r="AH45" s="39"/>
    </row>
    <row r="46" spans="1:34" s="38" customFormat="1" x14ac:dyDescent="0.25">
      <c r="A46" s="52">
        <v>22</v>
      </c>
      <c r="B46" s="53">
        <f t="shared" si="0"/>
        <v>40603</v>
      </c>
      <c r="C46" s="53">
        <f t="shared" si="1"/>
        <v>40787</v>
      </c>
      <c r="D46" s="55">
        <v>65000</v>
      </c>
      <c r="E46" s="56">
        <v>8000</v>
      </c>
      <c r="F46" s="57"/>
      <c r="H46" s="39"/>
      <c r="I46" s="39"/>
      <c r="J46" s="39"/>
      <c r="K46" s="39"/>
      <c r="L46" s="39"/>
      <c r="M46" s="39"/>
      <c r="N46" s="39"/>
      <c r="O46" s="39"/>
      <c r="P46" s="39"/>
      <c r="Q46" s="39"/>
      <c r="R46" s="39"/>
      <c r="S46" s="39"/>
      <c r="T46" s="39"/>
      <c r="U46" s="39"/>
      <c r="V46" s="39"/>
      <c r="W46" s="39"/>
      <c r="X46" s="39"/>
      <c r="Y46" s="39"/>
      <c r="Z46" s="39"/>
      <c r="AA46" s="39"/>
      <c r="AB46" s="39"/>
      <c r="AC46" s="39"/>
      <c r="AD46" s="39"/>
      <c r="AE46" s="39"/>
      <c r="AF46" s="39"/>
      <c r="AG46" s="39"/>
      <c r="AH46" s="39"/>
    </row>
    <row r="47" spans="1:34" s="38" customFormat="1" x14ac:dyDescent="0.25">
      <c r="A47" s="52">
        <v>22</v>
      </c>
      <c r="B47" s="53">
        <f t="shared" si="0"/>
        <v>40603</v>
      </c>
      <c r="C47" s="53">
        <f t="shared" si="1"/>
        <v>40817</v>
      </c>
      <c r="D47" s="55">
        <v>17000</v>
      </c>
      <c r="E47" s="56">
        <v>5000</v>
      </c>
      <c r="F47" s="57"/>
      <c r="H47" s="39"/>
      <c r="I47" s="39"/>
      <c r="J47" s="39"/>
      <c r="K47" s="39"/>
      <c r="L47" s="39"/>
      <c r="M47" s="39"/>
      <c r="N47" s="39"/>
      <c r="O47" s="39"/>
      <c r="P47" s="39"/>
      <c r="Q47" s="39"/>
      <c r="R47" s="39"/>
      <c r="S47" s="39"/>
      <c r="T47" s="39"/>
      <c r="U47" s="39"/>
      <c r="V47" s="39"/>
      <c r="W47" s="39"/>
      <c r="X47" s="39"/>
      <c r="Y47" s="39"/>
      <c r="Z47" s="39"/>
      <c r="AA47" s="39"/>
      <c r="AB47" s="39"/>
      <c r="AC47" s="39"/>
      <c r="AD47" s="39"/>
      <c r="AE47" s="39"/>
      <c r="AF47" s="39"/>
      <c r="AG47" s="39"/>
      <c r="AH47" s="39"/>
    </row>
    <row r="48" spans="1:34" s="38" customFormat="1" x14ac:dyDescent="0.25">
      <c r="A48" s="52">
        <v>22</v>
      </c>
      <c r="B48" s="53">
        <f t="shared" si="0"/>
        <v>40603</v>
      </c>
      <c r="C48" s="53">
        <f t="shared" si="1"/>
        <v>40848</v>
      </c>
      <c r="D48" s="55">
        <v>16000</v>
      </c>
      <c r="E48" s="56">
        <v>3000</v>
      </c>
      <c r="F48" s="57"/>
      <c r="H48" s="39"/>
      <c r="I48" s="39"/>
      <c r="J48" s="39"/>
      <c r="K48" s="39"/>
      <c r="L48" s="39"/>
      <c r="M48" s="39"/>
      <c r="N48" s="39"/>
      <c r="O48" s="39"/>
      <c r="P48" s="39"/>
      <c r="Q48" s="39"/>
      <c r="R48" s="39"/>
      <c r="S48" s="39"/>
      <c r="T48" s="39"/>
      <c r="U48" s="39"/>
      <c r="V48" s="39"/>
      <c r="W48" s="39"/>
      <c r="X48" s="39"/>
      <c r="Y48" s="39"/>
      <c r="Z48" s="39"/>
      <c r="AA48" s="39"/>
      <c r="AB48" s="39"/>
      <c r="AC48" s="39"/>
      <c r="AD48" s="39"/>
      <c r="AE48" s="39"/>
      <c r="AF48" s="39"/>
      <c r="AG48" s="39"/>
      <c r="AH48" s="39"/>
    </row>
    <row r="49" spans="1:34" s="38" customFormat="1" x14ac:dyDescent="0.25">
      <c r="A49" s="52">
        <v>22</v>
      </c>
      <c r="B49" s="53">
        <f t="shared" si="0"/>
        <v>40603</v>
      </c>
      <c r="C49" s="53">
        <f t="shared" si="1"/>
        <v>40878</v>
      </c>
      <c r="D49" s="55">
        <v>29000</v>
      </c>
      <c r="E49" s="56">
        <v>1000</v>
      </c>
      <c r="F49" s="57"/>
      <c r="H49" s="39"/>
      <c r="I49" s="39"/>
      <c r="J49" s="39"/>
      <c r="K49" s="39"/>
      <c r="L49" s="39"/>
      <c r="M49" s="39"/>
      <c r="N49" s="39"/>
      <c r="O49" s="39"/>
      <c r="P49" s="39"/>
      <c r="Q49" s="39"/>
      <c r="R49" s="39"/>
      <c r="S49" s="39"/>
      <c r="T49" s="39"/>
      <c r="U49" s="39"/>
      <c r="V49" s="39"/>
      <c r="W49" s="39"/>
      <c r="X49" s="39"/>
      <c r="Y49" s="39"/>
      <c r="Z49" s="39"/>
      <c r="AA49" s="39"/>
      <c r="AB49" s="39"/>
      <c r="AC49" s="39"/>
      <c r="AD49" s="39"/>
      <c r="AE49" s="39"/>
      <c r="AF49" s="39"/>
      <c r="AG49" s="39"/>
      <c r="AH49" s="39"/>
    </row>
    <row r="50" spans="1:34" s="38" customFormat="1" x14ac:dyDescent="0.25">
      <c r="A50" s="52">
        <v>22</v>
      </c>
      <c r="B50" s="53">
        <f t="shared" si="0"/>
        <v>40603</v>
      </c>
      <c r="C50" s="53">
        <f t="shared" si="1"/>
        <v>40909</v>
      </c>
      <c r="D50" s="55">
        <v>21000</v>
      </c>
      <c r="E50" s="56">
        <v>0</v>
      </c>
      <c r="F50" s="57"/>
      <c r="H50" s="39"/>
      <c r="I50" s="39"/>
      <c r="J50" s="39"/>
      <c r="K50" s="39"/>
      <c r="L50" s="39"/>
      <c r="M50" s="39"/>
      <c r="N50" s="39"/>
      <c r="O50" s="39"/>
      <c r="P50" s="39"/>
      <c r="Q50" s="39"/>
      <c r="R50" s="39"/>
      <c r="S50" s="39"/>
      <c r="T50" s="39"/>
      <c r="U50" s="39"/>
      <c r="V50" s="39"/>
      <c r="W50" s="39"/>
      <c r="X50" s="39"/>
      <c r="Y50" s="39"/>
      <c r="Z50" s="39"/>
      <c r="AA50" s="39"/>
      <c r="AB50" s="39"/>
      <c r="AC50" s="39"/>
      <c r="AD50" s="39"/>
      <c r="AE50" s="39"/>
      <c r="AF50" s="39"/>
      <c r="AG50" s="39"/>
      <c r="AH50" s="39"/>
    </row>
    <row r="51" spans="1:34" s="38" customFormat="1" x14ac:dyDescent="0.25">
      <c r="A51" s="52">
        <v>22</v>
      </c>
      <c r="B51" s="53">
        <f t="shared" si="0"/>
        <v>40603</v>
      </c>
      <c r="C51" s="53">
        <f t="shared" si="1"/>
        <v>40940</v>
      </c>
      <c r="D51" s="55">
        <v>10000</v>
      </c>
      <c r="E51" s="56">
        <v>1000</v>
      </c>
      <c r="F51" s="57"/>
      <c r="H51" s="39"/>
      <c r="I51" s="39"/>
      <c r="J51" s="39"/>
      <c r="K51" s="39"/>
      <c r="L51" s="39"/>
      <c r="M51" s="39"/>
      <c r="N51" s="39"/>
      <c r="O51" s="39"/>
      <c r="P51" s="39"/>
      <c r="Q51" s="39"/>
      <c r="R51" s="39"/>
      <c r="S51" s="39"/>
      <c r="T51" s="39"/>
      <c r="U51" s="39"/>
      <c r="V51" s="39"/>
      <c r="W51" s="39"/>
      <c r="X51" s="39"/>
      <c r="Y51" s="39"/>
      <c r="Z51" s="39"/>
      <c r="AA51" s="39"/>
      <c r="AB51" s="39"/>
      <c r="AC51" s="39"/>
      <c r="AD51" s="39"/>
      <c r="AE51" s="39"/>
      <c r="AF51" s="39"/>
      <c r="AG51" s="39"/>
      <c r="AH51" s="39"/>
    </row>
    <row r="52" spans="1:34" s="38" customFormat="1" x14ac:dyDescent="0.25">
      <c r="A52" s="52">
        <v>22</v>
      </c>
      <c r="B52" s="53">
        <f t="shared" si="0"/>
        <v>40603</v>
      </c>
      <c r="C52" s="53">
        <f t="shared" si="1"/>
        <v>40969</v>
      </c>
      <c r="D52" s="55">
        <v>10000</v>
      </c>
      <c r="E52" s="56">
        <v>0</v>
      </c>
      <c r="F52" s="57"/>
      <c r="H52" s="39"/>
      <c r="I52" s="39"/>
      <c r="J52" s="39"/>
      <c r="K52" s="39"/>
      <c r="L52" s="39"/>
      <c r="M52" s="39"/>
      <c r="N52" s="39"/>
      <c r="O52" s="39"/>
      <c r="P52" s="39"/>
      <c r="Q52" s="39"/>
      <c r="R52" s="39"/>
      <c r="S52" s="39"/>
      <c r="T52" s="39"/>
      <c r="U52" s="39"/>
      <c r="V52" s="39"/>
      <c r="W52" s="39"/>
      <c r="X52" s="39"/>
      <c r="Y52" s="39"/>
      <c r="Z52" s="39"/>
      <c r="AA52" s="39"/>
      <c r="AB52" s="39"/>
      <c r="AC52" s="39"/>
      <c r="AD52" s="39"/>
      <c r="AE52" s="39"/>
      <c r="AF52" s="39"/>
      <c r="AG52" s="39"/>
      <c r="AH52" s="39"/>
    </row>
    <row r="53" spans="1:34" s="38" customFormat="1" x14ac:dyDescent="0.25">
      <c r="A53" s="52">
        <v>22</v>
      </c>
      <c r="B53" s="53">
        <f t="shared" si="0"/>
        <v>40603</v>
      </c>
      <c r="C53" s="53">
        <f t="shared" si="1"/>
        <v>41000</v>
      </c>
      <c r="D53" s="55">
        <v>12000</v>
      </c>
      <c r="E53" s="56">
        <v>0</v>
      </c>
      <c r="F53" s="57"/>
      <c r="H53" s="39"/>
      <c r="I53" s="39"/>
      <c r="J53" s="39"/>
      <c r="K53" s="39"/>
      <c r="L53" s="39"/>
      <c r="M53" s="39"/>
      <c r="N53" s="39"/>
      <c r="O53" s="39"/>
      <c r="P53" s="39"/>
      <c r="Q53" s="39"/>
      <c r="R53" s="39"/>
      <c r="S53" s="39"/>
      <c r="T53" s="39"/>
      <c r="U53" s="39"/>
      <c r="V53" s="39"/>
      <c r="W53" s="39"/>
      <c r="X53" s="39"/>
      <c r="Y53" s="39"/>
      <c r="Z53" s="39"/>
      <c r="AA53" s="39"/>
      <c r="AB53" s="39"/>
      <c r="AC53" s="39"/>
      <c r="AD53" s="39"/>
      <c r="AE53" s="39"/>
      <c r="AF53" s="39"/>
      <c r="AG53" s="39"/>
      <c r="AH53" s="39"/>
    </row>
    <row r="54" spans="1:34" s="38" customFormat="1" x14ac:dyDescent="0.25">
      <c r="A54" s="52">
        <v>22</v>
      </c>
      <c r="B54" s="53">
        <f t="shared" si="0"/>
        <v>40603</v>
      </c>
      <c r="C54" s="53">
        <f t="shared" si="1"/>
        <v>41030</v>
      </c>
      <c r="D54" s="55">
        <v>-1000</v>
      </c>
      <c r="E54" s="56">
        <v>0</v>
      </c>
      <c r="F54" s="57"/>
      <c r="H54" s="39"/>
      <c r="I54" s="39"/>
      <c r="J54" s="39"/>
      <c r="K54" s="39"/>
      <c r="L54" s="39"/>
      <c r="M54" s="39"/>
      <c r="N54" s="39"/>
      <c r="O54" s="39"/>
      <c r="P54" s="39"/>
      <c r="Q54" s="39"/>
      <c r="R54" s="39"/>
      <c r="S54" s="39"/>
      <c r="T54" s="39"/>
      <c r="U54" s="39"/>
      <c r="V54" s="39"/>
      <c r="W54" s="39"/>
      <c r="X54" s="39"/>
      <c r="Y54" s="39"/>
      <c r="Z54" s="39"/>
      <c r="AA54" s="39"/>
      <c r="AB54" s="39"/>
      <c r="AC54" s="39"/>
      <c r="AD54" s="39"/>
      <c r="AE54" s="39"/>
      <c r="AF54" s="39"/>
      <c r="AG54" s="39"/>
      <c r="AH54" s="39"/>
    </row>
    <row r="55" spans="1:34" s="38" customFormat="1" x14ac:dyDescent="0.25">
      <c r="A55" s="52">
        <v>22</v>
      </c>
      <c r="B55" s="53">
        <f t="shared" si="0"/>
        <v>40603</v>
      </c>
      <c r="C55" s="53">
        <f t="shared" si="1"/>
        <v>41061</v>
      </c>
      <c r="D55" s="55">
        <v>9000</v>
      </c>
      <c r="E55" s="56">
        <v>2000</v>
      </c>
      <c r="F55" s="57"/>
      <c r="H55" s="39"/>
      <c r="I55" s="39"/>
      <c r="J55" s="39"/>
      <c r="K55" s="39"/>
      <c r="L55" s="39"/>
      <c r="M55" s="39"/>
      <c r="N55" s="39"/>
      <c r="O55" s="39"/>
      <c r="P55" s="39"/>
      <c r="Q55" s="39"/>
      <c r="R55" s="39"/>
      <c r="S55" s="39"/>
      <c r="T55" s="39"/>
      <c r="U55" s="39"/>
      <c r="V55" s="39"/>
      <c r="W55" s="39"/>
      <c r="X55" s="39"/>
      <c r="Y55" s="39"/>
      <c r="Z55" s="39"/>
      <c r="AA55" s="39"/>
      <c r="AB55" s="39"/>
      <c r="AC55" s="39"/>
      <c r="AD55" s="39"/>
      <c r="AE55" s="39"/>
      <c r="AF55" s="39"/>
      <c r="AG55" s="39"/>
      <c r="AH55" s="39"/>
    </row>
    <row r="56" spans="1:34" s="38" customFormat="1" x14ac:dyDescent="0.25">
      <c r="A56" s="52">
        <v>22</v>
      </c>
      <c r="B56" s="53">
        <f t="shared" si="0"/>
        <v>40603</v>
      </c>
      <c r="C56" s="53">
        <f t="shared" si="1"/>
        <v>41091</v>
      </c>
      <c r="D56" s="55">
        <v>22000</v>
      </c>
      <c r="E56" s="56">
        <v>0</v>
      </c>
      <c r="F56" s="57"/>
      <c r="H56" s="39"/>
      <c r="I56" s="39"/>
      <c r="J56" s="39"/>
      <c r="K56" s="39"/>
      <c r="L56" s="39"/>
      <c r="M56" s="39"/>
      <c r="N56" s="39"/>
      <c r="O56" s="39"/>
      <c r="P56" s="39"/>
      <c r="Q56" s="39"/>
      <c r="R56" s="39"/>
      <c r="S56" s="39"/>
      <c r="T56" s="39"/>
      <c r="U56" s="39"/>
      <c r="V56" s="39"/>
      <c r="W56" s="39"/>
      <c r="X56" s="39"/>
      <c r="Y56" s="39"/>
      <c r="Z56" s="39"/>
      <c r="AA56" s="39"/>
      <c r="AB56" s="39"/>
      <c r="AC56" s="39"/>
      <c r="AD56" s="39"/>
      <c r="AE56" s="39"/>
      <c r="AF56" s="39"/>
      <c r="AG56" s="39"/>
      <c r="AH56" s="39"/>
    </row>
    <row r="57" spans="1:34" s="38" customFormat="1" x14ac:dyDescent="0.25">
      <c r="A57" s="52">
        <v>22</v>
      </c>
      <c r="B57" s="53">
        <f t="shared" si="0"/>
        <v>40603</v>
      </c>
      <c r="C57" s="53">
        <f t="shared" si="1"/>
        <v>41122</v>
      </c>
      <c r="D57" s="55">
        <v>8000</v>
      </c>
      <c r="E57" s="56">
        <v>3000</v>
      </c>
      <c r="F57" s="57"/>
      <c r="H57" s="39"/>
      <c r="I57" s="39"/>
      <c r="J57" s="39"/>
      <c r="K57" s="39"/>
      <c r="L57" s="39"/>
      <c r="M57" s="39"/>
      <c r="N57" s="39"/>
      <c r="O57" s="39"/>
      <c r="P57" s="39"/>
      <c r="Q57" s="39"/>
      <c r="R57" s="39"/>
      <c r="S57" s="39"/>
      <c r="T57" s="39"/>
      <c r="U57" s="39"/>
      <c r="V57" s="39"/>
      <c r="W57" s="39"/>
      <c r="X57" s="39"/>
      <c r="Y57" s="39"/>
      <c r="Z57" s="39"/>
      <c r="AA57" s="39"/>
      <c r="AB57" s="39"/>
      <c r="AC57" s="39"/>
      <c r="AD57" s="39"/>
      <c r="AE57" s="39"/>
      <c r="AF57" s="39"/>
      <c r="AG57" s="39"/>
      <c r="AH57" s="39"/>
    </row>
    <row r="58" spans="1:34" s="38" customFormat="1" x14ac:dyDescent="0.25">
      <c r="A58" s="52">
        <v>21</v>
      </c>
      <c r="B58" s="53">
        <f t="shared" si="0"/>
        <v>40634</v>
      </c>
      <c r="C58" s="53">
        <f t="shared" si="1"/>
        <v>40634</v>
      </c>
      <c r="D58" s="55">
        <v>2085000</v>
      </c>
      <c r="E58" s="56">
        <v>113000</v>
      </c>
      <c r="F58" s="57"/>
      <c r="H58" s="39"/>
      <c r="I58" s="39"/>
      <c r="J58" s="39"/>
      <c r="K58" s="39"/>
      <c r="L58" s="39"/>
      <c r="M58" s="39"/>
      <c r="N58" s="39"/>
      <c r="O58" s="39"/>
      <c r="P58" s="39"/>
      <c r="Q58" s="39"/>
      <c r="R58" s="39"/>
      <c r="S58" s="39"/>
      <c r="T58" s="39"/>
      <c r="U58" s="39"/>
      <c r="V58" s="39"/>
      <c r="W58" s="39"/>
      <c r="X58" s="39"/>
      <c r="Y58" s="39"/>
      <c r="Z58" s="39"/>
      <c r="AA58" s="39"/>
      <c r="AB58" s="39"/>
      <c r="AC58" s="39"/>
      <c r="AD58" s="39"/>
      <c r="AE58" s="39"/>
      <c r="AF58" s="39"/>
      <c r="AG58" s="39"/>
      <c r="AH58" s="39"/>
    </row>
    <row r="59" spans="1:34" s="38" customFormat="1" x14ac:dyDescent="0.25">
      <c r="A59" s="52">
        <v>21</v>
      </c>
      <c r="B59" s="53">
        <f t="shared" si="0"/>
        <v>40634</v>
      </c>
      <c r="C59" s="53">
        <f t="shared" si="1"/>
        <v>40664</v>
      </c>
      <c r="D59" s="55">
        <v>5009000</v>
      </c>
      <c r="E59" s="56">
        <v>16000</v>
      </c>
      <c r="F59" s="57"/>
      <c r="H59" s="39"/>
      <c r="I59" s="39"/>
      <c r="J59" s="39"/>
      <c r="K59" s="39"/>
      <c r="L59" s="39"/>
      <c r="M59" s="39"/>
      <c r="N59" s="39"/>
      <c r="O59" s="39"/>
      <c r="P59" s="39"/>
      <c r="Q59" s="39"/>
      <c r="R59" s="39"/>
      <c r="S59" s="39"/>
      <c r="T59" s="39"/>
      <c r="U59" s="39"/>
      <c r="V59" s="39"/>
      <c r="W59" s="39"/>
      <c r="X59" s="39"/>
      <c r="Y59" s="39"/>
      <c r="Z59" s="39"/>
      <c r="AA59" s="39"/>
      <c r="AB59" s="39"/>
      <c r="AC59" s="39"/>
      <c r="AD59" s="39"/>
      <c r="AE59" s="39"/>
      <c r="AF59" s="39"/>
      <c r="AG59" s="39"/>
      <c r="AH59" s="39"/>
    </row>
    <row r="60" spans="1:34" s="38" customFormat="1" x14ac:dyDescent="0.25">
      <c r="A60" s="52">
        <v>21</v>
      </c>
      <c r="B60" s="53">
        <f t="shared" si="0"/>
        <v>40634</v>
      </c>
      <c r="C60" s="53">
        <f t="shared" si="1"/>
        <v>40695</v>
      </c>
      <c r="D60" s="55">
        <v>1164000</v>
      </c>
      <c r="E60" s="56">
        <v>15000</v>
      </c>
      <c r="F60" s="57"/>
      <c r="H60" s="39"/>
      <c r="I60" s="39"/>
      <c r="J60" s="39"/>
      <c r="K60" s="39"/>
      <c r="L60" s="39"/>
      <c r="M60" s="39"/>
      <c r="N60" s="39"/>
      <c r="O60" s="39"/>
      <c r="P60" s="39"/>
      <c r="Q60" s="39"/>
      <c r="R60" s="39"/>
      <c r="S60" s="39"/>
      <c r="T60" s="39"/>
      <c r="U60" s="39"/>
      <c r="V60" s="39"/>
      <c r="W60" s="39"/>
      <c r="X60" s="39"/>
      <c r="Y60" s="39"/>
      <c r="Z60" s="39"/>
      <c r="AA60" s="39"/>
      <c r="AB60" s="39"/>
      <c r="AC60" s="39"/>
      <c r="AD60" s="39"/>
      <c r="AE60" s="39"/>
      <c r="AF60" s="39"/>
      <c r="AG60" s="39"/>
      <c r="AH60" s="39"/>
    </row>
    <row r="61" spans="1:34" s="38" customFormat="1" x14ac:dyDescent="0.25">
      <c r="A61" s="52">
        <v>21</v>
      </c>
      <c r="B61" s="53">
        <f t="shared" si="0"/>
        <v>40634</v>
      </c>
      <c r="C61" s="53">
        <f t="shared" si="1"/>
        <v>40725</v>
      </c>
      <c r="D61" s="55">
        <v>388000</v>
      </c>
      <c r="E61" s="56">
        <v>8000</v>
      </c>
      <c r="F61" s="57"/>
      <c r="H61" s="39"/>
      <c r="I61" s="39"/>
      <c r="J61" s="39"/>
      <c r="K61" s="39"/>
      <c r="L61" s="39"/>
      <c r="M61" s="39"/>
      <c r="N61" s="39"/>
      <c r="O61" s="39"/>
      <c r="P61" s="39"/>
      <c r="Q61" s="39"/>
      <c r="R61" s="39"/>
      <c r="S61" s="39"/>
      <c r="T61" s="39"/>
      <c r="U61" s="39"/>
      <c r="V61" s="39"/>
      <c r="W61" s="39"/>
      <c r="X61" s="39"/>
      <c r="Y61" s="39"/>
      <c r="Z61" s="39"/>
      <c r="AA61" s="39"/>
      <c r="AB61" s="39"/>
      <c r="AC61" s="39"/>
      <c r="AD61" s="39"/>
      <c r="AE61" s="39"/>
      <c r="AF61" s="39"/>
      <c r="AG61" s="39"/>
      <c r="AH61" s="39"/>
    </row>
    <row r="62" spans="1:34" s="38" customFormat="1" x14ac:dyDescent="0.25">
      <c r="A62" s="52">
        <v>21</v>
      </c>
      <c r="B62" s="53">
        <f t="shared" si="0"/>
        <v>40634</v>
      </c>
      <c r="C62" s="53">
        <f t="shared" si="1"/>
        <v>40756</v>
      </c>
      <c r="D62" s="55">
        <v>283000</v>
      </c>
      <c r="E62" s="56">
        <v>9000</v>
      </c>
      <c r="F62" s="57"/>
      <c r="H62" s="39"/>
      <c r="I62" s="39"/>
      <c r="J62" s="39"/>
      <c r="K62" s="39"/>
      <c r="L62" s="39"/>
      <c r="M62" s="39"/>
      <c r="N62" s="39"/>
      <c r="O62" s="39"/>
      <c r="P62" s="39"/>
      <c r="Q62" s="39"/>
      <c r="R62" s="39"/>
      <c r="S62" s="39"/>
      <c r="T62" s="39"/>
      <c r="U62" s="39"/>
      <c r="V62" s="39"/>
      <c r="W62" s="39"/>
      <c r="X62" s="39"/>
      <c r="Y62" s="39"/>
      <c r="Z62" s="39"/>
      <c r="AA62" s="39"/>
      <c r="AB62" s="39"/>
      <c r="AC62" s="39"/>
      <c r="AD62" s="39"/>
      <c r="AE62" s="39"/>
      <c r="AF62" s="39"/>
      <c r="AG62" s="39"/>
      <c r="AH62" s="39"/>
    </row>
    <row r="63" spans="1:34" s="38" customFormat="1" x14ac:dyDescent="0.25">
      <c r="A63" s="52">
        <v>21</v>
      </c>
      <c r="B63" s="53">
        <f t="shared" si="0"/>
        <v>40634</v>
      </c>
      <c r="C63" s="53">
        <f t="shared" si="1"/>
        <v>40787</v>
      </c>
      <c r="D63" s="55">
        <v>261000</v>
      </c>
      <c r="E63" s="56">
        <v>4000</v>
      </c>
      <c r="F63" s="57"/>
      <c r="H63" s="39"/>
      <c r="I63" s="39"/>
      <c r="J63" s="39"/>
      <c r="K63" s="39"/>
      <c r="L63" s="39"/>
      <c r="M63" s="39"/>
      <c r="N63" s="39"/>
      <c r="O63" s="39"/>
      <c r="P63" s="39"/>
      <c r="Q63" s="39"/>
      <c r="R63" s="39"/>
      <c r="S63" s="39"/>
      <c r="T63" s="39"/>
      <c r="U63" s="39"/>
      <c r="V63" s="39"/>
      <c r="W63" s="39"/>
      <c r="X63" s="39"/>
      <c r="Y63" s="39"/>
      <c r="Z63" s="39"/>
      <c r="AA63" s="39"/>
      <c r="AB63" s="39"/>
      <c r="AC63" s="39"/>
      <c r="AD63" s="39"/>
      <c r="AE63" s="39"/>
      <c r="AF63" s="39"/>
      <c r="AG63" s="39"/>
      <c r="AH63" s="39"/>
    </row>
    <row r="64" spans="1:34" s="38" customFormat="1" x14ac:dyDescent="0.25">
      <c r="A64" s="52">
        <v>21</v>
      </c>
      <c r="B64" s="53">
        <f t="shared" si="0"/>
        <v>40634</v>
      </c>
      <c r="C64" s="53">
        <f t="shared" si="1"/>
        <v>40817</v>
      </c>
      <c r="D64" s="55">
        <v>35000</v>
      </c>
      <c r="E64" s="56">
        <v>21000</v>
      </c>
      <c r="F64" s="57"/>
      <c r="H64" s="39"/>
      <c r="I64" s="39"/>
      <c r="J64" s="39"/>
      <c r="K64" s="39"/>
      <c r="L64" s="39"/>
      <c r="M64" s="39"/>
      <c r="N64" s="39"/>
      <c r="O64" s="39"/>
      <c r="P64" s="39"/>
      <c r="Q64" s="39"/>
      <c r="R64" s="39"/>
      <c r="S64" s="39"/>
      <c r="T64" s="39"/>
      <c r="U64" s="39"/>
      <c r="V64" s="39"/>
      <c r="W64" s="39"/>
      <c r="X64" s="39"/>
      <c r="Y64" s="39"/>
      <c r="Z64" s="39"/>
      <c r="AA64" s="39"/>
      <c r="AB64" s="39"/>
      <c r="AC64" s="39"/>
      <c r="AD64" s="39"/>
      <c r="AE64" s="39"/>
      <c r="AF64" s="39"/>
      <c r="AG64" s="39"/>
      <c r="AH64" s="39"/>
    </row>
    <row r="65" spans="1:34" s="38" customFormat="1" x14ac:dyDescent="0.25">
      <c r="A65" s="52">
        <v>21</v>
      </c>
      <c r="B65" s="53">
        <f t="shared" si="0"/>
        <v>40634</v>
      </c>
      <c r="C65" s="53">
        <f t="shared" si="1"/>
        <v>40848</v>
      </c>
      <c r="D65" s="55">
        <v>26000</v>
      </c>
      <c r="E65" s="56">
        <v>1000</v>
      </c>
      <c r="F65" s="57"/>
      <c r="H65" s="39"/>
      <c r="I65" s="39"/>
      <c r="J65" s="39"/>
      <c r="K65" s="39"/>
      <c r="L65" s="39"/>
      <c r="M65" s="39"/>
      <c r="N65" s="39"/>
      <c r="O65" s="39"/>
      <c r="P65" s="39"/>
      <c r="Q65" s="39"/>
      <c r="R65" s="39"/>
      <c r="S65" s="39"/>
      <c r="T65" s="39"/>
      <c r="U65" s="39"/>
      <c r="V65" s="39"/>
      <c r="W65" s="39"/>
      <c r="X65" s="39"/>
      <c r="Y65" s="39"/>
      <c r="Z65" s="39"/>
      <c r="AA65" s="39"/>
      <c r="AB65" s="39"/>
      <c r="AC65" s="39"/>
      <c r="AD65" s="39"/>
      <c r="AE65" s="39"/>
      <c r="AF65" s="39"/>
      <c r="AG65" s="39"/>
      <c r="AH65" s="39"/>
    </row>
    <row r="66" spans="1:34" s="38" customFormat="1" x14ac:dyDescent="0.25">
      <c r="A66" s="52">
        <v>21</v>
      </c>
      <c r="B66" s="53">
        <f t="shared" si="0"/>
        <v>40634</v>
      </c>
      <c r="C66" s="53">
        <f t="shared" si="1"/>
        <v>40878</v>
      </c>
      <c r="D66" s="55">
        <v>17000</v>
      </c>
      <c r="E66" s="56">
        <v>4000</v>
      </c>
      <c r="F66" s="57"/>
      <c r="H66" s="39"/>
      <c r="I66" s="39"/>
      <c r="J66" s="39"/>
      <c r="K66" s="39"/>
      <c r="L66" s="39"/>
      <c r="M66" s="39"/>
      <c r="N66" s="39"/>
      <c r="O66" s="39"/>
      <c r="P66" s="39"/>
      <c r="Q66" s="39"/>
      <c r="R66" s="39"/>
      <c r="S66" s="39"/>
      <c r="T66" s="39"/>
      <c r="U66" s="39"/>
      <c r="V66" s="39"/>
      <c r="W66" s="39"/>
      <c r="X66" s="39"/>
      <c r="Y66" s="39"/>
      <c r="Z66" s="39"/>
      <c r="AA66" s="39"/>
      <c r="AB66" s="39"/>
      <c r="AC66" s="39"/>
      <c r="AD66" s="39"/>
      <c r="AE66" s="39"/>
      <c r="AF66" s="39"/>
      <c r="AG66" s="39"/>
      <c r="AH66" s="39"/>
    </row>
    <row r="67" spans="1:34" s="38" customFormat="1" x14ac:dyDescent="0.25">
      <c r="A67" s="52">
        <v>21</v>
      </c>
      <c r="B67" s="53">
        <f t="shared" si="0"/>
        <v>40634</v>
      </c>
      <c r="C67" s="53">
        <f t="shared" si="1"/>
        <v>40909</v>
      </c>
      <c r="D67" s="55">
        <v>10000</v>
      </c>
      <c r="E67" s="56">
        <v>1000</v>
      </c>
      <c r="F67" s="57"/>
      <c r="H67" s="39"/>
      <c r="I67" s="39"/>
      <c r="J67" s="39"/>
      <c r="K67" s="39"/>
      <c r="L67" s="39"/>
      <c r="M67" s="39"/>
      <c r="N67" s="39"/>
      <c r="O67" s="39"/>
      <c r="P67" s="39"/>
      <c r="Q67" s="39"/>
      <c r="R67" s="39"/>
      <c r="S67" s="39"/>
      <c r="T67" s="39"/>
      <c r="U67" s="39"/>
      <c r="V67" s="39"/>
      <c r="W67" s="39"/>
      <c r="X67" s="39"/>
      <c r="Y67" s="39"/>
      <c r="Z67" s="39"/>
      <c r="AA67" s="39"/>
      <c r="AB67" s="39"/>
      <c r="AC67" s="39"/>
      <c r="AD67" s="39"/>
      <c r="AE67" s="39"/>
      <c r="AF67" s="39"/>
      <c r="AG67" s="39"/>
      <c r="AH67" s="39"/>
    </row>
    <row r="68" spans="1:34" s="38" customFormat="1" x14ac:dyDescent="0.25">
      <c r="A68" s="52">
        <v>21</v>
      </c>
      <c r="B68" s="53">
        <f t="shared" si="0"/>
        <v>40634</v>
      </c>
      <c r="C68" s="53">
        <f t="shared" si="1"/>
        <v>40940</v>
      </c>
      <c r="D68" s="55">
        <v>8000</v>
      </c>
      <c r="E68" s="56">
        <v>0</v>
      </c>
      <c r="F68" s="57"/>
      <c r="H68" s="39"/>
      <c r="I68" s="39"/>
      <c r="J68" s="39"/>
      <c r="K68" s="39"/>
      <c r="L68" s="39"/>
      <c r="M68" s="39"/>
      <c r="N68" s="39"/>
      <c r="O68" s="39"/>
      <c r="P68" s="39"/>
      <c r="Q68" s="39"/>
      <c r="R68" s="39"/>
      <c r="S68" s="39"/>
      <c r="T68" s="39"/>
      <c r="U68" s="39"/>
      <c r="V68" s="39"/>
      <c r="W68" s="39"/>
      <c r="X68" s="39"/>
      <c r="Y68" s="39"/>
      <c r="Z68" s="39"/>
      <c r="AA68" s="39"/>
      <c r="AB68" s="39"/>
      <c r="AC68" s="39"/>
      <c r="AD68" s="39"/>
      <c r="AE68" s="39"/>
      <c r="AF68" s="39"/>
      <c r="AG68" s="39"/>
      <c r="AH68" s="39"/>
    </row>
    <row r="69" spans="1:34" s="38" customFormat="1" x14ac:dyDescent="0.25">
      <c r="A69" s="52">
        <v>21</v>
      </c>
      <c r="B69" s="53">
        <f t="shared" ref="B69:B132" si="3">EDATE($L$2,-A69)</f>
        <v>40634</v>
      </c>
      <c r="C69" s="53">
        <f t="shared" ref="C69:C132" si="4">IF(B69&lt;&gt;B68,B69,EDATE(C68,1))</f>
        <v>40969</v>
      </c>
      <c r="D69" s="55">
        <v>40000</v>
      </c>
      <c r="E69" s="56">
        <v>0</v>
      </c>
      <c r="F69" s="57"/>
      <c r="H69" s="39"/>
      <c r="I69" s="39"/>
      <c r="J69" s="39"/>
      <c r="K69" s="39"/>
      <c r="L69" s="39"/>
      <c r="M69" s="39"/>
      <c r="N69" s="39"/>
      <c r="O69" s="39"/>
      <c r="P69" s="39"/>
      <c r="Q69" s="39"/>
      <c r="R69" s="39"/>
      <c r="S69" s="39"/>
      <c r="T69" s="39"/>
      <c r="U69" s="39"/>
      <c r="V69" s="39"/>
      <c r="W69" s="39"/>
      <c r="X69" s="39"/>
      <c r="Y69" s="39"/>
      <c r="Z69" s="39"/>
      <c r="AA69" s="39"/>
      <c r="AB69" s="39"/>
      <c r="AC69" s="39"/>
      <c r="AD69" s="39"/>
      <c r="AE69" s="39"/>
      <c r="AF69" s="39"/>
      <c r="AG69" s="39"/>
      <c r="AH69" s="39"/>
    </row>
    <row r="70" spans="1:34" s="38" customFormat="1" x14ac:dyDescent="0.25">
      <c r="A70" s="52">
        <v>21</v>
      </c>
      <c r="B70" s="53">
        <f t="shared" si="3"/>
        <v>40634</v>
      </c>
      <c r="C70" s="53">
        <f t="shared" si="4"/>
        <v>41000</v>
      </c>
      <c r="D70" s="55">
        <v>27000</v>
      </c>
      <c r="E70" s="56">
        <v>0</v>
      </c>
      <c r="F70" s="57"/>
      <c r="H70" s="39"/>
      <c r="I70" s="39"/>
      <c r="J70" s="39"/>
      <c r="K70" s="39"/>
      <c r="L70" s="39"/>
      <c r="M70" s="39"/>
      <c r="N70" s="39"/>
      <c r="O70" s="39"/>
      <c r="P70" s="39"/>
      <c r="Q70" s="39"/>
      <c r="R70" s="39"/>
      <c r="S70" s="39"/>
      <c r="T70" s="39"/>
      <c r="U70" s="39"/>
      <c r="V70" s="39"/>
      <c r="W70" s="39"/>
      <c r="X70" s="39"/>
      <c r="Y70" s="39"/>
      <c r="Z70" s="39"/>
      <c r="AA70" s="39"/>
      <c r="AB70" s="39"/>
      <c r="AC70" s="39"/>
      <c r="AD70" s="39"/>
      <c r="AE70" s="39"/>
      <c r="AF70" s="39"/>
      <c r="AG70" s="39"/>
      <c r="AH70" s="39"/>
    </row>
    <row r="71" spans="1:34" s="38" customFormat="1" x14ac:dyDescent="0.25">
      <c r="A71" s="52">
        <v>21</v>
      </c>
      <c r="B71" s="53">
        <f t="shared" si="3"/>
        <v>40634</v>
      </c>
      <c r="C71" s="53">
        <f t="shared" si="4"/>
        <v>41030</v>
      </c>
      <c r="D71" s="55">
        <v>19000</v>
      </c>
      <c r="E71" s="56">
        <v>0</v>
      </c>
      <c r="F71" s="57"/>
      <c r="H71" s="39"/>
      <c r="I71" s="39"/>
      <c r="J71" s="39"/>
      <c r="K71" s="39"/>
      <c r="L71" s="39"/>
      <c r="M71" s="39"/>
      <c r="N71" s="39"/>
      <c r="O71" s="39"/>
      <c r="P71" s="39"/>
      <c r="Q71" s="39"/>
      <c r="R71" s="39"/>
      <c r="S71" s="39"/>
      <c r="T71" s="39"/>
      <c r="U71" s="39"/>
      <c r="V71" s="39"/>
      <c r="W71" s="39"/>
      <c r="X71" s="39"/>
      <c r="Y71" s="39"/>
      <c r="Z71" s="39"/>
      <c r="AA71" s="39"/>
      <c r="AB71" s="39"/>
      <c r="AC71" s="39"/>
      <c r="AD71" s="39"/>
      <c r="AE71" s="39"/>
      <c r="AF71" s="39"/>
      <c r="AG71" s="39"/>
      <c r="AH71" s="39"/>
    </row>
    <row r="72" spans="1:34" s="38" customFormat="1" x14ac:dyDescent="0.25">
      <c r="A72" s="52">
        <v>21</v>
      </c>
      <c r="B72" s="53">
        <f t="shared" si="3"/>
        <v>40634</v>
      </c>
      <c r="C72" s="53">
        <f t="shared" si="4"/>
        <v>41061</v>
      </c>
      <c r="D72" s="55">
        <v>6000</v>
      </c>
      <c r="E72" s="56">
        <v>0</v>
      </c>
      <c r="F72" s="57"/>
      <c r="H72" s="39"/>
      <c r="I72" s="39"/>
      <c r="J72" s="39"/>
      <c r="K72" s="39"/>
      <c r="L72" s="39"/>
      <c r="M72" s="39"/>
      <c r="N72" s="39"/>
      <c r="O72" s="39"/>
      <c r="P72" s="39"/>
      <c r="Q72" s="39"/>
      <c r="R72" s="39"/>
      <c r="S72" s="39"/>
      <c r="T72" s="39"/>
      <c r="U72" s="39"/>
      <c r="V72" s="39"/>
      <c r="W72" s="39"/>
      <c r="X72" s="39"/>
      <c r="Y72" s="39"/>
      <c r="Z72" s="39"/>
      <c r="AA72" s="39"/>
      <c r="AB72" s="39"/>
      <c r="AC72" s="39"/>
      <c r="AD72" s="39"/>
      <c r="AE72" s="39"/>
      <c r="AF72" s="39"/>
      <c r="AG72" s="39"/>
      <c r="AH72" s="39"/>
    </row>
    <row r="73" spans="1:34" s="38" customFormat="1" x14ac:dyDescent="0.25">
      <c r="A73" s="52">
        <v>21</v>
      </c>
      <c r="B73" s="53">
        <f t="shared" si="3"/>
        <v>40634</v>
      </c>
      <c r="C73" s="53">
        <f t="shared" si="4"/>
        <v>41091</v>
      </c>
      <c r="D73" s="55">
        <v>4000</v>
      </c>
      <c r="E73" s="56">
        <v>0</v>
      </c>
      <c r="F73" s="57"/>
      <c r="H73" s="39"/>
      <c r="I73" s="39"/>
      <c r="J73" s="39"/>
      <c r="K73" s="39"/>
      <c r="L73" s="39"/>
      <c r="M73" s="39"/>
      <c r="N73" s="39"/>
      <c r="O73" s="39"/>
      <c r="P73" s="39"/>
      <c r="Q73" s="39"/>
      <c r="R73" s="39"/>
      <c r="S73" s="39"/>
      <c r="T73" s="39"/>
      <c r="U73" s="39"/>
      <c r="V73" s="39"/>
      <c r="W73" s="39"/>
      <c r="X73" s="39"/>
      <c r="Y73" s="39"/>
      <c r="Z73" s="39"/>
      <c r="AA73" s="39"/>
      <c r="AB73" s="39"/>
      <c r="AC73" s="39"/>
      <c r="AD73" s="39"/>
      <c r="AE73" s="39"/>
      <c r="AF73" s="39"/>
      <c r="AG73" s="39"/>
      <c r="AH73" s="39"/>
    </row>
    <row r="74" spans="1:34" s="38" customFormat="1" x14ac:dyDescent="0.25">
      <c r="A74" s="52">
        <v>21</v>
      </c>
      <c r="B74" s="53">
        <f t="shared" si="3"/>
        <v>40634</v>
      </c>
      <c r="C74" s="53">
        <f t="shared" si="4"/>
        <v>41122</v>
      </c>
      <c r="D74" s="55">
        <v>-2000</v>
      </c>
      <c r="E74" s="56">
        <v>0</v>
      </c>
      <c r="F74" s="57"/>
      <c r="H74" s="39"/>
      <c r="I74" s="39"/>
      <c r="J74" s="39"/>
      <c r="K74" s="39"/>
      <c r="L74" s="39"/>
      <c r="M74" s="39"/>
      <c r="N74" s="39"/>
      <c r="O74" s="39"/>
      <c r="P74" s="39"/>
      <c r="Q74" s="39"/>
      <c r="R74" s="39"/>
      <c r="S74" s="39"/>
      <c r="T74" s="39"/>
      <c r="U74" s="39"/>
      <c r="V74" s="39"/>
      <c r="W74" s="39"/>
      <c r="X74" s="39"/>
      <c r="Y74" s="39"/>
      <c r="Z74" s="39"/>
      <c r="AA74" s="39"/>
      <c r="AB74" s="39"/>
      <c r="AC74" s="39"/>
      <c r="AD74" s="39"/>
      <c r="AE74" s="39"/>
      <c r="AF74" s="39"/>
      <c r="AG74" s="39"/>
      <c r="AH74" s="39"/>
    </row>
    <row r="75" spans="1:34" s="38" customFormat="1" x14ac:dyDescent="0.25">
      <c r="A75" s="52">
        <v>21</v>
      </c>
      <c r="B75" s="53">
        <f t="shared" si="3"/>
        <v>40634</v>
      </c>
      <c r="C75" s="53">
        <f t="shared" si="4"/>
        <v>41153</v>
      </c>
      <c r="D75" s="55">
        <v>2000</v>
      </c>
      <c r="E75" s="56">
        <v>0</v>
      </c>
      <c r="F75" s="57"/>
      <c r="H75" s="39"/>
      <c r="I75" s="39"/>
      <c r="J75" s="39"/>
      <c r="K75" s="39"/>
      <c r="L75" s="39"/>
      <c r="M75" s="39"/>
      <c r="N75" s="39"/>
      <c r="O75" s="39"/>
      <c r="P75" s="39"/>
      <c r="Q75" s="39"/>
      <c r="R75" s="39"/>
      <c r="S75" s="39"/>
      <c r="T75" s="39"/>
      <c r="U75" s="39"/>
      <c r="V75" s="39"/>
      <c r="W75" s="39"/>
      <c r="X75" s="39"/>
      <c r="Y75" s="39"/>
      <c r="Z75" s="39"/>
      <c r="AA75" s="39"/>
      <c r="AB75" s="39"/>
      <c r="AC75" s="39"/>
      <c r="AD75" s="39"/>
      <c r="AE75" s="39"/>
      <c r="AF75" s="39"/>
      <c r="AG75" s="39"/>
      <c r="AH75" s="39"/>
    </row>
    <row r="76" spans="1:34" s="38" customFormat="1" x14ac:dyDescent="0.25">
      <c r="A76" s="52">
        <v>20</v>
      </c>
      <c r="B76" s="53">
        <f t="shared" si="3"/>
        <v>40664</v>
      </c>
      <c r="C76" s="53">
        <f t="shared" si="4"/>
        <v>40664</v>
      </c>
      <c r="D76" s="55">
        <v>1916000</v>
      </c>
      <c r="E76" s="56">
        <v>411000</v>
      </c>
      <c r="F76" s="57"/>
      <c r="H76" s="39"/>
      <c r="I76" s="39"/>
      <c r="J76" s="39"/>
      <c r="K76" s="39"/>
      <c r="L76" s="39"/>
      <c r="M76" s="39"/>
      <c r="N76" s="39"/>
      <c r="O76" s="39"/>
      <c r="P76" s="39"/>
      <c r="Q76" s="39"/>
      <c r="R76" s="39"/>
      <c r="S76" s="39"/>
      <c r="T76" s="39"/>
      <c r="U76" s="39"/>
      <c r="V76" s="39"/>
      <c r="W76" s="39"/>
      <c r="X76" s="39"/>
      <c r="Y76" s="39"/>
      <c r="Z76" s="39"/>
      <c r="AA76" s="39"/>
      <c r="AB76" s="39"/>
      <c r="AC76" s="39"/>
      <c r="AD76" s="39"/>
      <c r="AE76" s="39"/>
      <c r="AF76" s="39"/>
      <c r="AG76" s="39"/>
      <c r="AH76" s="39"/>
    </row>
    <row r="77" spans="1:34" s="38" customFormat="1" x14ac:dyDescent="0.25">
      <c r="A77" s="52">
        <v>20</v>
      </c>
      <c r="B77" s="53">
        <f t="shared" si="3"/>
        <v>40664</v>
      </c>
      <c r="C77" s="53">
        <f t="shared" si="4"/>
        <v>40695</v>
      </c>
      <c r="D77" s="55">
        <v>4930000</v>
      </c>
      <c r="E77" s="56">
        <v>50000</v>
      </c>
      <c r="F77" s="57"/>
      <c r="H77" s="39"/>
      <c r="I77" s="39"/>
      <c r="J77" s="39"/>
      <c r="K77" s="39"/>
      <c r="L77" s="39"/>
      <c r="M77" s="39"/>
      <c r="N77" s="39"/>
      <c r="O77" s="39"/>
      <c r="P77" s="39"/>
      <c r="Q77" s="39"/>
      <c r="R77" s="39"/>
      <c r="S77" s="39"/>
      <c r="T77" s="39"/>
      <c r="U77" s="39"/>
      <c r="V77" s="39"/>
      <c r="W77" s="39"/>
      <c r="X77" s="39"/>
      <c r="Y77" s="39"/>
      <c r="Z77" s="39"/>
      <c r="AA77" s="39"/>
      <c r="AB77" s="39"/>
      <c r="AC77" s="39"/>
      <c r="AD77" s="39"/>
      <c r="AE77" s="39"/>
      <c r="AF77" s="39"/>
      <c r="AG77" s="39"/>
      <c r="AH77" s="39"/>
    </row>
    <row r="78" spans="1:34" s="38" customFormat="1" x14ac:dyDescent="0.25">
      <c r="A78" s="52">
        <v>20</v>
      </c>
      <c r="B78" s="53">
        <f t="shared" si="3"/>
        <v>40664</v>
      </c>
      <c r="C78" s="53">
        <f t="shared" si="4"/>
        <v>40725</v>
      </c>
      <c r="D78" s="55">
        <v>1473000</v>
      </c>
      <c r="E78" s="56">
        <v>28000</v>
      </c>
      <c r="F78" s="57"/>
      <c r="H78" s="39"/>
      <c r="I78" s="39"/>
      <c r="J78" s="39"/>
      <c r="K78" s="39"/>
      <c r="L78" s="39"/>
      <c r="M78" s="39"/>
      <c r="N78" s="39"/>
      <c r="O78" s="39"/>
      <c r="P78" s="39"/>
      <c r="Q78" s="39"/>
      <c r="R78" s="39"/>
      <c r="S78" s="39"/>
      <c r="T78" s="39"/>
      <c r="U78" s="39"/>
      <c r="V78" s="39"/>
      <c r="W78" s="39"/>
      <c r="X78" s="39"/>
      <c r="Y78" s="39"/>
      <c r="Z78" s="39"/>
      <c r="AA78" s="39"/>
      <c r="AB78" s="39"/>
      <c r="AC78" s="39"/>
      <c r="AD78" s="39"/>
      <c r="AE78" s="39"/>
      <c r="AF78" s="39"/>
      <c r="AG78" s="39"/>
      <c r="AH78" s="39"/>
    </row>
    <row r="79" spans="1:34" s="38" customFormat="1" x14ac:dyDescent="0.25">
      <c r="A79" s="52">
        <v>20</v>
      </c>
      <c r="B79" s="53">
        <f t="shared" si="3"/>
        <v>40664</v>
      </c>
      <c r="C79" s="53">
        <f t="shared" si="4"/>
        <v>40756</v>
      </c>
      <c r="D79" s="55">
        <v>442000</v>
      </c>
      <c r="E79" s="56">
        <v>13000</v>
      </c>
      <c r="F79" s="57"/>
      <c r="H79" s="39"/>
      <c r="I79" s="39"/>
      <c r="J79" s="39"/>
      <c r="K79" s="39"/>
      <c r="L79" s="39"/>
      <c r="M79" s="39"/>
      <c r="N79" s="39"/>
      <c r="O79" s="39"/>
      <c r="P79" s="39"/>
      <c r="Q79" s="39"/>
      <c r="R79" s="39"/>
      <c r="S79" s="39"/>
      <c r="T79" s="39"/>
      <c r="U79" s="39"/>
      <c r="V79" s="39"/>
      <c r="W79" s="39"/>
      <c r="X79" s="39"/>
      <c r="Y79" s="39"/>
      <c r="Z79" s="39"/>
      <c r="AA79" s="39"/>
      <c r="AB79" s="39"/>
      <c r="AC79" s="39"/>
      <c r="AD79" s="39"/>
      <c r="AE79" s="39"/>
      <c r="AF79" s="39"/>
      <c r="AG79" s="39"/>
      <c r="AH79" s="39"/>
    </row>
    <row r="80" spans="1:34" s="38" customFormat="1" x14ac:dyDescent="0.25">
      <c r="A80" s="52">
        <v>20</v>
      </c>
      <c r="B80" s="53">
        <f t="shared" si="3"/>
        <v>40664</v>
      </c>
      <c r="C80" s="53">
        <f t="shared" si="4"/>
        <v>40787</v>
      </c>
      <c r="D80" s="55">
        <v>244000</v>
      </c>
      <c r="E80" s="56">
        <v>4000</v>
      </c>
      <c r="F80" s="57"/>
      <c r="H80" s="39"/>
      <c r="I80" s="39"/>
      <c r="J80" s="39"/>
      <c r="K80" s="39"/>
      <c r="L80" s="39"/>
      <c r="M80" s="39"/>
      <c r="N80" s="39"/>
      <c r="O80" s="39"/>
      <c r="P80" s="39"/>
      <c r="Q80" s="39"/>
      <c r="R80" s="39"/>
      <c r="S80" s="39"/>
      <c r="T80" s="39"/>
      <c r="U80" s="39"/>
      <c r="V80" s="39"/>
      <c r="W80" s="39"/>
      <c r="X80" s="39"/>
      <c r="Y80" s="39"/>
      <c r="Z80" s="39"/>
      <c r="AA80" s="39"/>
      <c r="AB80" s="39"/>
      <c r="AC80" s="39"/>
      <c r="AD80" s="39"/>
      <c r="AE80" s="39"/>
      <c r="AF80" s="39"/>
      <c r="AG80" s="39"/>
      <c r="AH80" s="39"/>
    </row>
    <row r="81" spans="1:34" s="38" customFormat="1" x14ac:dyDescent="0.25">
      <c r="A81" s="52">
        <v>20</v>
      </c>
      <c r="B81" s="53">
        <f t="shared" si="3"/>
        <v>40664</v>
      </c>
      <c r="C81" s="53">
        <f t="shared" si="4"/>
        <v>40817</v>
      </c>
      <c r="D81" s="55">
        <v>96000</v>
      </c>
      <c r="E81" s="56">
        <v>6000</v>
      </c>
      <c r="F81" s="57"/>
      <c r="H81" s="39"/>
      <c r="I81" s="39"/>
      <c r="J81" s="39"/>
      <c r="K81" s="39"/>
      <c r="L81" s="39"/>
      <c r="M81" s="39"/>
      <c r="N81" s="39"/>
      <c r="O81" s="39"/>
      <c r="P81" s="39"/>
      <c r="Q81" s="39"/>
      <c r="R81" s="39"/>
      <c r="S81" s="39"/>
      <c r="T81" s="39"/>
      <c r="U81" s="39"/>
      <c r="V81" s="39"/>
      <c r="W81" s="39"/>
      <c r="X81" s="39"/>
      <c r="Y81" s="39"/>
      <c r="Z81" s="39"/>
      <c r="AA81" s="39"/>
      <c r="AB81" s="39"/>
      <c r="AC81" s="39"/>
      <c r="AD81" s="39"/>
      <c r="AE81" s="39"/>
      <c r="AF81" s="39"/>
      <c r="AG81" s="39"/>
      <c r="AH81" s="39"/>
    </row>
    <row r="82" spans="1:34" s="38" customFormat="1" x14ac:dyDescent="0.25">
      <c r="A82" s="52">
        <v>20</v>
      </c>
      <c r="B82" s="53">
        <f t="shared" si="3"/>
        <v>40664</v>
      </c>
      <c r="C82" s="53">
        <f t="shared" si="4"/>
        <v>40848</v>
      </c>
      <c r="D82" s="55">
        <v>24000</v>
      </c>
      <c r="E82" s="56">
        <v>10000</v>
      </c>
      <c r="F82" s="57"/>
      <c r="H82" s="39"/>
      <c r="I82" s="39"/>
      <c r="J82" s="39"/>
      <c r="K82" s="39"/>
      <c r="L82" s="39"/>
      <c r="M82" s="39"/>
      <c r="N82" s="39"/>
      <c r="O82" s="39"/>
      <c r="P82" s="39"/>
      <c r="Q82" s="39"/>
      <c r="R82" s="39"/>
      <c r="S82" s="39"/>
      <c r="T82" s="39"/>
      <c r="U82" s="39"/>
      <c r="V82" s="39"/>
      <c r="W82" s="39"/>
      <c r="X82" s="39"/>
      <c r="Y82" s="39"/>
      <c r="Z82" s="39"/>
      <c r="AA82" s="39"/>
      <c r="AB82" s="39"/>
      <c r="AC82" s="39"/>
      <c r="AD82" s="39"/>
      <c r="AE82" s="39"/>
      <c r="AF82" s="39"/>
      <c r="AG82" s="39"/>
      <c r="AH82" s="39"/>
    </row>
    <row r="83" spans="1:34" s="38" customFormat="1" x14ac:dyDescent="0.25">
      <c r="A83" s="52">
        <v>20</v>
      </c>
      <c r="B83" s="53">
        <f t="shared" si="3"/>
        <v>40664</v>
      </c>
      <c r="C83" s="53">
        <f t="shared" si="4"/>
        <v>40878</v>
      </c>
      <c r="D83" s="55">
        <v>18000</v>
      </c>
      <c r="E83" s="56">
        <v>3000</v>
      </c>
      <c r="F83" s="57"/>
      <c r="H83" s="39"/>
      <c r="I83" s="39"/>
      <c r="J83" s="39"/>
      <c r="K83" s="39"/>
      <c r="L83" s="39"/>
      <c r="M83" s="39"/>
      <c r="N83" s="39"/>
      <c r="O83" s="39"/>
      <c r="P83" s="39"/>
      <c r="Q83" s="39"/>
      <c r="R83" s="39"/>
      <c r="S83" s="39"/>
      <c r="T83" s="39"/>
      <c r="U83" s="39"/>
      <c r="V83" s="39"/>
      <c r="W83" s="39"/>
      <c r="X83" s="39"/>
      <c r="Y83" s="39"/>
      <c r="Z83" s="39"/>
      <c r="AA83" s="39"/>
      <c r="AB83" s="39"/>
      <c r="AC83" s="39"/>
      <c r="AD83" s="39"/>
      <c r="AE83" s="39"/>
      <c r="AF83" s="39"/>
      <c r="AG83" s="39"/>
      <c r="AH83" s="39"/>
    </row>
    <row r="84" spans="1:34" s="38" customFormat="1" x14ac:dyDescent="0.25">
      <c r="A84" s="52">
        <v>20</v>
      </c>
      <c r="B84" s="53">
        <f t="shared" si="3"/>
        <v>40664</v>
      </c>
      <c r="C84" s="53">
        <f t="shared" si="4"/>
        <v>40909</v>
      </c>
      <c r="D84" s="55">
        <v>-5000</v>
      </c>
      <c r="E84" s="56">
        <v>75000</v>
      </c>
      <c r="F84" s="57"/>
      <c r="H84" s="39"/>
      <c r="I84" s="39"/>
      <c r="J84" s="39"/>
      <c r="K84" s="39"/>
      <c r="L84" s="39"/>
      <c r="M84" s="39"/>
      <c r="N84" s="39"/>
      <c r="O84" s="39"/>
      <c r="P84" s="39"/>
      <c r="Q84" s="39"/>
      <c r="R84" s="39"/>
      <c r="S84" s="39"/>
      <c r="T84" s="39"/>
      <c r="U84" s="39"/>
      <c r="V84" s="39"/>
      <c r="W84" s="39"/>
      <c r="X84" s="39"/>
      <c r="Y84" s="39"/>
      <c r="Z84" s="39"/>
      <c r="AA84" s="39"/>
      <c r="AB84" s="39"/>
      <c r="AC84" s="39"/>
      <c r="AD84" s="39"/>
      <c r="AE84" s="39"/>
      <c r="AF84" s="39"/>
      <c r="AG84" s="39"/>
      <c r="AH84" s="39"/>
    </row>
    <row r="85" spans="1:34" s="38" customFormat="1" x14ac:dyDescent="0.25">
      <c r="A85" s="52">
        <v>20</v>
      </c>
      <c r="B85" s="53">
        <f t="shared" si="3"/>
        <v>40664</v>
      </c>
      <c r="C85" s="53">
        <f t="shared" si="4"/>
        <v>40940</v>
      </c>
      <c r="D85" s="55">
        <v>13000</v>
      </c>
      <c r="E85" s="56">
        <v>5000</v>
      </c>
      <c r="F85" s="57"/>
      <c r="H85" s="39"/>
      <c r="I85" s="39"/>
      <c r="J85" s="39"/>
      <c r="K85" s="39"/>
      <c r="L85" s="39"/>
      <c r="M85" s="39"/>
      <c r="N85" s="39"/>
      <c r="O85" s="39"/>
      <c r="P85" s="39"/>
      <c r="Q85" s="39"/>
      <c r="R85" s="39"/>
      <c r="S85" s="39"/>
      <c r="T85" s="39"/>
      <c r="U85" s="39"/>
      <c r="V85" s="39"/>
      <c r="W85" s="39"/>
      <c r="X85" s="39"/>
      <c r="Y85" s="39"/>
      <c r="Z85" s="39"/>
      <c r="AA85" s="39"/>
      <c r="AB85" s="39"/>
      <c r="AC85" s="39"/>
      <c r="AD85" s="39"/>
      <c r="AE85" s="39"/>
      <c r="AF85" s="39"/>
      <c r="AG85" s="39"/>
      <c r="AH85" s="39"/>
    </row>
    <row r="86" spans="1:34" s="38" customFormat="1" x14ac:dyDescent="0.25">
      <c r="A86" s="52">
        <v>20</v>
      </c>
      <c r="B86" s="53">
        <f t="shared" si="3"/>
        <v>40664</v>
      </c>
      <c r="C86" s="53">
        <f t="shared" si="4"/>
        <v>40969</v>
      </c>
      <c r="D86" s="55">
        <v>52000</v>
      </c>
      <c r="E86" s="56">
        <v>0</v>
      </c>
      <c r="F86" s="57"/>
      <c r="H86" s="39"/>
      <c r="I86" s="39"/>
      <c r="J86" s="39"/>
      <c r="K86" s="39"/>
      <c r="L86" s="39"/>
      <c r="M86" s="39"/>
      <c r="N86" s="39"/>
      <c r="O86" s="39"/>
      <c r="P86" s="39"/>
      <c r="Q86" s="39"/>
      <c r="R86" s="39"/>
      <c r="S86" s="39"/>
      <c r="T86" s="39"/>
      <c r="U86" s="39"/>
      <c r="V86" s="39"/>
      <c r="W86" s="39"/>
      <c r="X86" s="39"/>
      <c r="Y86" s="39"/>
      <c r="Z86" s="39"/>
      <c r="AA86" s="39"/>
      <c r="AB86" s="39"/>
      <c r="AC86" s="39"/>
      <c r="AD86" s="39"/>
      <c r="AE86" s="39"/>
      <c r="AF86" s="39"/>
      <c r="AG86" s="39"/>
      <c r="AH86" s="39"/>
    </row>
    <row r="87" spans="1:34" s="38" customFormat="1" x14ac:dyDescent="0.25">
      <c r="A87" s="52">
        <v>20</v>
      </c>
      <c r="B87" s="53">
        <f t="shared" si="3"/>
        <v>40664</v>
      </c>
      <c r="C87" s="53">
        <f t="shared" si="4"/>
        <v>41000</v>
      </c>
      <c r="D87" s="55">
        <v>302000</v>
      </c>
      <c r="E87" s="56">
        <v>1000</v>
      </c>
      <c r="F87" s="57"/>
      <c r="H87" s="39"/>
      <c r="I87" s="39"/>
      <c r="J87" s="39"/>
      <c r="K87" s="39"/>
      <c r="L87" s="39"/>
      <c r="M87" s="39"/>
      <c r="N87" s="39"/>
      <c r="O87" s="39"/>
      <c r="P87" s="39"/>
      <c r="Q87" s="39"/>
      <c r="R87" s="39"/>
      <c r="S87" s="39"/>
      <c r="T87" s="39"/>
      <c r="U87" s="39"/>
      <c r="V87" s="39"/>
      <c r="W87" s="39"/>
      <c r="X87" s="39"/>
      <c r="Y87" s="39"/>
      <c r="Z87" s="39"/>
      <c r="AA87" s="39"/>
      <c r="AB87" s="39"/>
      <c r="AC87" s="39"/>
      <c r="AD87" s="39"/>
      <c r="AE87" s="39"/>
      <c r="AF87" s="39"/>
      <c r="AG87" s="39"/>
      <c r="AH87" s="39"/>
    </row>
    <row r="88" spans="1:34" s="38" customFormat="1" x14ac:dyDescent="0.25">
      <c r="A88" s="52">
        <v>20</v>
      </c>
      <c r="B88" s="53">
        <f t="shared" si="3"/>
        <v>40664</v>
      </c>
      <c r="C88" s="53">
        <f t="shared" si="4"/>
        <v>41030</v>
      </c>
      <c r="D88" s="55">
        <v>-5000</v>
      </c>
      <c r="E88" s="56">
        <v>1000</v>
      </c>
      <c r="F88" s="57"/>
      <c r="H88" s="39"/>
      <c r="I88" s="39"/>
      <c r="J88" s="39"/>
      <c r="K88" s="39"/>
      <c r="L88" s="39"/>
      <c r="M88" s="39"/>
      <c r="N88" s="39"/>
      <c r="O88" s="39"/>
      <c r="P88" s="39"/>
      <c r="Q88" s="39"/>
      <c r="R88" s="39"/>
      <c r="S88" s="39"/>
      <c r="T88" s="39"/>
      <c r="U88" s="39"/>
      <c r="V88" s="39"/>
      <c r="W88" s="39"/>
      <c r="X88" s="39"/>
      <c r="Y88" s="39"/>
      <c r="Z88" s="39"/>
      <c r="AA88" s="39"/>
      <c r="AB88" s="39"/>
      <c r="AC88" s="39"/>
      <c r="AD88" s="39"/>
      <c r="AE88" s="39"/>
      <c r="AF88" s="39"/>
      <c r="AG88" s="39"/>
      <c r="AH88" s="39"/>
    </row>
    <row r="89" spans="1:34" s="38" customFormat="1" x14ac:dyDescent="0.25">
      <c r="A89" s="52">
        <v>20</v>
      </c>
      <c r="B89" s="53">
        <f t="shared" si="3"/>
        <v>40664</v>
      </c>
      <c r="C89" s="53">
        <f t="shared" si="4"/>
        <v>41061</v>
      </c>
      <c r="D89" s="55">
        <v>20000</v>
      </c>
      <c r="E89" s="56">
        <v>0</v>
      </c>
      <c r="F89" s="57"/>
      <c r="H89" s="39"/>
      <c r="I89" s="39"/>
      <c r="J89" s="39"/>
      <c r="K89" s="39"/>
      <c r="L89" s="39"/>
      <c r="M89" s="39"/>
      <c r="N89" s="39"/>
      <c r="O89" s="39"/>
      <c r="P89" s="39"/>
      <c r="Q89" s="39"/>
      <c r="R89" s="39"/>
      <c r="S89" s="39"/>
      <c r="T89" s="39"/>
      <c r="U89" s="39"/>
      <c r="V89" s="39"/>
      <c r="W89" s="39"/>
      <c r="X89" s="39"/>
      <c r="Y89" s="39"/>
      <c r="Z89" s="39"/>
      <c r="AA89" s="39"/>
      <c r="AB89" s="39"/>
      <c r="AC89" s="39"/>
      <c r="AD89" s="39"/>
      <c r="AE89" s="39"/>
      <c r="AF89" s="39"/>
      <c r="AG89" s="39"/>
      <c r="AH89" s="39"/>
    </row>
    <row r="90" spans="1:34" s="38" customFormat="1" x14ac:dyDescent="0.25">
      <c r="A90" s="52">
        <v>20</v>
      </c>
      <c r="B90" s="53">
        <f t="shared" si="3"/>
        <v>40664</v>
      </c>
      <c r="C90" s="53">
        <f t="shared" si="4"/>
        <v>41091</v>
      </c>
      <c r="D90" s="55">
        <v>7000</v>
      </c>
      <c r="E90" s="56">
        <v>0</v>
      </c>
      <c r="F90" s="57"/>
      <c r="H90" s="39"/>
      <c r="I90" s="39"/>
      <c r="J90" s="39"/>
      <c r="K90" s="39"/>
      <c r="L90" s="39"/>
      <c r="M90" s="39"/>
      <c r="N90" s="39"/>
      <c r="O90" s="39"/>
      <c r="P90" s="39"/>
      <c r="Q90" s="39"/>
      <c r="R90" s="39"/>
      <c r="S90" s="39"/>
      <c r="T90" s="39"/>
      <c r="U90" s="39"/>
      <c r="V90" s="39"/>
      <c r="W90" s="39"/>
      <c r="X90" s="39"/>
      <c r="Y90" s="39"/>
      <c r="Z90" s="39"/>
      <c r="AA90" s="39"/>
      <c r="AB90" s="39"/>
      <c r="AC90" s="39"/>
      <c r="AD90" s="39"/>
      <c r="AE90" s="39"/>
      <c r="AF90" s="39"/>
      <c r="AG90" s="39"/>
      <c r="AH90" s="39"/>
    </row>
    <row r="91" spans="1:34" s="38" customFormat="1" x14ac:dyDescent="0.25">
      <c r="A91" s="52">
        <v>20</v>
      </c>
      <c r="B91" s="53">
        <f t="shared" si="3"/>
        <v>40664</v>
      </c>
      <c r="C91" s="53">
        <f t="shared" si="4"/>
        <v>41122</v>
      </c>
      <c r="D91" s="55">
        <v>4000</v>
      </c>
      <c r="E91" s="56">
        <v>2000</v>
      </c>
      <c r="F91" s="57"/>
      <c r="H91" s="39"/>
      <c r="I91" s="39"/>
      <c r="J91" s="39"/>
      <c r="K91" s="39"/>
      <c r="L91" s="39"/>
      <c r="M91" s="39"/>
      <c r="N91" s="39"/>
      <c r="O91" s="39"/>
      <c r="P91" s="39"/>
      <c r="Q91" s="39"/>
      <c r="R91" s="39"/>
      <c r="S91" s="39"/>
      <c r="T91" s="39"/>
      <c r="U91" s="39"/>
      <c r="V91" s="39"/>
      <c r="W91" s="39"/>
      <c r="X91" s="39"/>
      <c r="Y91" s="39"/>
      <c r="Z91" s="39"/>
      <c r="AA91" s="39"/>
      <c r="AB91" s="39"/>
      <c r="AC91" s="39"/>
      <c r="AD91" s="39"/>
      <c r="AE91" s="39"/>
      <c r="AF91" s="39"/>
      <c r="AG91" s="39"/>
      <c r="AH91" s="39"/>
    </row>
    <row r="92" spans="1:34" s="38" customFormat="1" x14ac:dyDescent="0.25">
      <c r="A92" s="52">
        <v>20</v>
      </c>
      <c r="B92" s="53">
        <f t="shared" si="3"/>
        <v>40664</v>
      </c>
      <c r="C92" s="53">
        <f t="shared" si="4"/>
        <v>41153</v>
      </c>
      <c r="D92" s="55">
        <v>0</v>
      </c>
      <c r="E92" s="56">
        <v>0</v>
      </c>
      <c r="F92" s="57"/>
      <c r="H92" s="39"/>
      <c r="I92" s="39"/>
      <c r="J92" s="39"/>
      <c r="K92" s="39"/>
      <c r="L92" s="39"/>
      <c r="M92" s="39"/>
      <c r="N92" s="39"/>
      <c r="O92" s="39"/>
      <c r="P92" s="39"/>
      <c r="Q92" s="39"/>
      <c r="R92" s="39"/>
      <c r="S92" s="39"/>
      <c r="T92" s="39"/>
      <c r="U92" s="39"/>
      <c r="V92" s="39"/>
      <c r="W92" s="39"/>
      <c r="X92" s="39"/>
      <c r="Y92" s="39"/>
      <c r="Z92" s="39"/>
      <c r="AA92" s="39"/>
      <c r="AB92" s="39"/>
      <c r="AC92" s="39"/>
      <c r="AD92" s="39"/>
      <c r="AE92" s="39"/>
      <c r="AF92" s="39"/>
      <c r="AG92" s="39"/>
      <c r="AH92" s="39"/>
    </row>
    <row r="93" spans="1:34" s="38" customFormat="1" x14ac:dyDescent="0.25">
      <c r="A93" s="52">
        <v>20</v>
      </c>
      <c r="B93" s="53">
        <f t="shared" si="3"/>
        <v>40664</v>
      </c>
      <c r="C93" s="53">
        <f t="shared" si="4"/>
        <v>41183</v>
      </c>
      <c r="D93" s="55">
        <v>5000</v>
      </c>
      <c r="E93" s="56">
        <v>0</v>
      </c>
      <c r="F93" s="57"/>
      <c r="H93" s="39"/>
      <c r="I93" s="39"/>
      <c r="J93" s="39"/>
      <c r="K93" s="39"/>
      <c r="L93" s="39"/>
      <c r="M93" s="39"/>
      <c r="N93" s="39"/>
      <c r="O93" s="39"/>
      <c r="P93" s="39"/>
      <c r="Q93" s="39"/>
      <c r="R93" s="39"/>
      <c r="S93" s="39"/>
      <c r="T93" s="39"/>
      <c r="U93" s="39"/>
      <c r="V93" s="39"/>
      <c r="W93" s="39"/>
      <c r="X93" s="39"/>
      <c r="Y93" s="39"/>
      <c r="Z93" s="39"/>
      <c r="AA93" s="39"/>
      <c r="AB93" s="39"/>
      <c r="AC93" s="39"/>
      <c r="AD93" s="39"/>
      <c r="AE93" s="39"/>
      <c r="AF93" s="39"/>
      <c r="AG93" s="39"/>
      <c r="AH93" s="39"/>
    </row>
    <row r="94" spans="1:34" s="38" customFormat="1" x14ac:dyDescent="0.25">
      <c r="A94" s="52">
        <v>19</v>
      </c>
      <c r="B94" s="53">
        <f t="shared" si="3"/>
        <v>40695</v>
      </c>
      <c r="C94" s="53">
        <f t="shared" si="4"/>
        <v>40695</v>
      </c>
      <c r="D94" s="55">
        <v>1774000</v>
      </c>
      <c r="E94" s="56">
        <v>407000</v>
      </c>
      <c r="F94" s="57"/>
      <c r="H94" s="39"/>
      <c r="I94" s="39"/>
      <c r="J94" s="39"/>
      <c r="K94" s="39"/>
      <c r="L94" s="39"/>
      <c r="M94" s="39"/>
      <c r="N94" s="39"/>
      <c r="O94" s="39"/>
      <c r="P94" s="39"/>
      <c r="Q94" s="39"/>
      <c r="R94" s="39"/>
      <c r="S94" s="39"/>
      <c r="T94" s="39"/>
      <c r="U94" s="39"/>
      <c r="V94" s="39"/>
      <c r="W94" s="39"/>
      <c r="X94" s="39"/>
      <c r="Y94" s="39"/>
      <c r="Z94" s="39"/>
      <c r="AA94" s="39"/>
      <c r="AB94" s="39"/>
      <c r="AC94" s="39"/>
      <c r="AD94" s="39"/>
      <c r="AE94" s="39"/>
      <c r="AF94" s="39"/>
      <c r="AG94" s="39"/>
      <c r="AH94" s="39"/>
    </row>
    <row r="95" spans="1:34" s="38" customFormat="1" x14ac:dyDescent="0.25">
      <c r="A95" s="52">
        <v>19</v>
      </c>
      <c r="B95" s="53">
        <f t="shared" si="3"/>
        <v>40695</v>
      </c>
      <c r="C95" s="53">
        <f t="shared" si="4"/>
        <v>40725</v>
      </c>
      <c r="D95" s="55">
        <v>5681000</v>
      </c>
      <c r="E95" s="56">
        <v>127000</v>
      </c>
      <c r="F95" s="57"/>
      <c r="H95" s="39"/>
      <c r="I95" s="39"/>
      <c r="J95" s="39"/>
      <c r="K95" s="39"/>
      <c r="L95" s="39"/>
      <c r="M95" s="39"/>
      <c r="N95" s="39"/>
      <c r="O95" s="39"/>
      <c r="P95" s="39"/>
      <c r="Q95" s="39"/>
      <c r="R95" s="39"/>
      <c r="S95" s="39"/>
      <c r="T95" s="39"/>
      <c r="U95" s="39"/>
      <c r="V95" s="39"/>
      <c r="W95" s="39"/>
      <c r="X95" s="39"/>
      <c r="Y95" s="39"/>
      <c r="Z95" s="39"/>
      <c r="AA95" s="39"/>
      <c r="AB95" s="39"/>
      <c r="AC95" s="39"/>
      <c r="AD95" s="39"/>
      <c r="AE95" s="39"/>
      <c r="AF95" s="39"/>
      <c r="AG95" s="39"/>
      <c r="AH95" s="39"/>
    </row>
    <row r="96" spans="1:34" s="38" customFormat="1" x14ac:dyDescent="0.25">
      <c r="A96" s="52">
        <v>19</v>
      </c>
      <c r="B96" s="53">
        <f t="shared" si="3"/>
        <v>40695</v>
      </c>
      <c r="C96" s="53">
        <f t="shared" si="4"/>
        <v>40756</v>
      </c>
      <c r="D96" s="55">
        <v>1560000</v>
      </c>
      <c r="E96" s="56">
        <v>143000</v>
      </c>
      <c r="F96" s="57"/>
      <c r="H96" s="39"/>
      <c r="I96" s="39"/>
      <c r="J96" s="39"/>
      <c r="K96" s="39"/>
      <c r="L96" s="39"/>
      <c r="M96" s="39"/>
      <c r="N96" s="39"/>
      <c r="O96" s="39"/>
      <c r="P96" s="39"/>
      <c r="Q96" s="39"/>
      <c r="R96" s="39"/>
      <c r="S96" s="39"/>
      <c r="T96" s="39"/>
      <c r="U96" s="39"/>
      <c r="V96" s="39"/>
      <c r="W96" s="39"/>
      <c r="X96" s="39"/>
      <c r="Y96" s="39"/>
      <c r="Z96" s="39"/>
      <c r="AA96" s="39"/>
      <c r="AB96" s="39"/>
      <c r="AC96" s="39"/>
      <c r="AD96" s="39"/>
      <c r="AE96" s="39"/>
      <c r="AF96" s="39"/>
      <c r="AG96" s="39"/>
      <c r="AH96" s="39"/>
    </row>
    <row r="97" spans="1:34" s="38" customFormat="1" x14ac:dyDescent="0.25">
      <c r="A97" s="52">
        <v>19</v>
      </c>
      <c r="B97" s="53">
        <f t="shared" si="3"/>
        <v>40695</v>
      </c>
      <c r="C97" s="53">
        <f t="shared" si="4"/>
        <v>40787</v>
      </c>
      <c r="D97" s="55">
        <v>565000</v>
      </c>
      <c r="E97" s="56">
        <v>24000</v>
      </c>
      <c r="F97" s="57"/>
      <c r="H97" s="39"/>
      <c r="I97" s="39"/>
      <c r="J97" s="39"/>
      <c r="K97" s="39"/>
      <c r="L97" s="39"/>
      <c r="M97" s="39"/>
      <c r="N97" s="39"/>
      <c r="O97" s="39"/>
      <c r="P97" s="39"/>
      <c r="Q97" s="39"/>
      <c r="R97" s="39"/>
      <c r="S97" s="39"/>
      <c r="T97" s="39"/>
      <c r="U97" s="39"/>
      <c r="V97" s="39"/>
      <c r="W97" s="39"/>
      <c r="X97" s="39"/>
      <c r="Y97" s="39"/>
      <c r="Z97" s="39"/>
      <c r="AA97" s="39"/>
      <c r="AB97" s="39"/>
      <c r="AC97" s="39"/>
      <c r="AD97" s="39"/>
      <c r="AE97" s="39"/>
      <c r="AF97" s="39"/>
      <c r="AG97" s="39"/>
      <c r="AH97" s="39"/>
    </row>
    <row r="98" spans="1:34" s="38" customFormat="1" x14ac:dyDescent="0.25">
      <c r="A98" s="52">
        <v>19</v>
      </c>
      <c r="B98" s="53">
        <f t="shared" si="3"/>
        <v>40695</v>
      </c>
      <c r="C98" s="53">
        <f t="shared" si="4"/>
        <v>40817</v>
      </c>
      <c r="D98" s="55">
        <v>149000</v>
      </c>
      <c r="E98" s="56">
        <v>21000</v>
      </c>
      <c r="F98" s="57"/>
      <c r="H98" s="39"/>
      <c r="I98" s="39"/>
      <c r="J98" s="39"/>
      <c r="K98" s="39"/>
      <c r="L98" s="39"/>
      <c r="M98" s="39"/>
      <c r="N98" s="39"/>
      <c r="O98" s="39"/>
      <c r="P98" s="39"/>
      <c r="Q98" s="39"/>
      <c r="R98" s="39"/>
      <c r="S98" s="39"/>
      <c r="T98" s="39"/>
      <c r="U98" s="39"/>
      <c r="V98" s="39"/>
      <c r="W98" s="39"/>
      <c r="X98" s="39"/>
      <c r="Y98" s="39"/>
      <c r="Z98" s="39"/>
      <c r="AA98" s="39"/>
      <c r="AB98" s="39"/>
      <c r="AC98" s="39"/>
      <c r="AD98" s="39"/>
      <c r="AE98" s="39"/>
      <c r="AF98" s="39"/>
      <c r="AG98" s="39"/>
      <c r="AH98" s="39"/>
    </row>
    <row r="99" spans="1:34" s="38" customFormat="1" x14ac:dyDescent="0.25">
      <c r="A99" s="52">
        <v>19</v>
      </c>
      <c r="B99" s="53">
        <f t="shared" si="3"/>
        <v>40695</v>
      </c>
      <c r="C99" s="53">
        <f t="shared" si="4"/>
        <v>40848</v>
      </c>
      <c r="D99" s="55">
        <v>129000</v>
      </c>
      <c r="E99" s="56">
        <v>7000</v>
      </c>
      <c r="F99" s="57"/>
      <c r="H99" s="39"/>
      <c r="I99" s="39"/>
      <c r="J99" s="39"/>
      <c r="K99" s="39"/>
      <c r="L99" s="39"/>
      <c r="M99" s="39"/>
      <c r="N99" s="39"/>
      <c r="O99" s="39"/>
      <c r="P99" s="39"/>
      <c r="Q99" s="39"/>
      <c r="R99" s="39"/>
      <c r="S99" s="39"/>
      <c r="T99" s="39"/>
      <c r="U99" s="39"/>
      <c r="V99" s="39"/>
      <c r="W99" s="39"/>
      <c r="X99" s="39"/>
      <c r="Y99" s="39"/>
      <c r="Z99" s="39"/>
      <c r="AA99" s="39"/>
      <c r="AB99" s="39"/>
      <c r="AC99" s="39"/>
      <c r="AD99" s="39"/>
      <c r="AE99" s="39"/>
      <c r="AF99" s="39"/>
      <c r="AG99" s="39"/>
      <c r="AH99" s="39"/>
    </row>
    <row r="100" spans="1:34" s="38" customFormat="1" x14ac:dyDescent="0.25">
      <c r="A100" s="52">
        <v>19</v>
      </c>
      <c r="B100" s="53">
        <f t="shared" si="3"/>
        <v>40695</v>
      </c>
      <c r="C100" s="53">
        <f t="shared" si="4"/>
        <v>40878</v>
      </c>
      <c r="D100" s="55">
        <v>128000</v>
      </c>
      <c r="E100" s="56">
        <v>5000</v>
      </c>
      <c r="F100" s="57"/>
      <c r="H100" s="39"/>
      <c r="I100" s="39"/>
      <c r="J100" s="39"/>
      <c r="K100" s="39"/>
      <c r="L100" s="39"/>
      <c r="M100" s="39"/>
      <c r="N100" s="39"/>
      <c r="O100" s="39"/>
      <c r="P100" s="39"/>
      <c r="Q100" s="39"/>
      <c r="R100" s="39"/>
      <c r="S100" s="39"/>
      <c r="T100" s="39"/>
      <c r="U100" s="39"/>
      <c r="V100" s="39"/>
      <c r="W100" s="39"/>
      <c r="X100" s="39"/>
      <c r="Y100" s="39"/>
      <c r="Z100" s="39"/>
      <c r="AA100" s="39"/>
      <c r="AB100" s="39"/>
      <c r="AC100" s="39"/>
      <c r="AD100" s="39"/>
      <c r="AE100" s="39"/>
      <c r="AF100" s="39"/>
      <c r="AG100" s="39"/>
      <c r="AH100" s="39"/>
    </row>
    <row r="101" spans="1:34" s="38" customFormat="1" x14ac:dyDescent="0.25">
      <c r="A101" s="52">
        <v>19</v>
      </c>
      <c r="B101" s="53">
        <f t="shared" si="3"/>
        <v>40695</v>
      </c>
      <c r="C101" s="53">
        <f t="shared" si="4"/>
        <v>40909</v>
      </c>
      <c r="D101" s="55">
        <v>37000</v>
      </c>
      <c r="E101" s="56">
        <v>2000</v>
      </c>
      <c r="F101" s="57"/>
      <c r="H101" s="39"/>
      <c r="I101" s="39"/>
      <c r="J101" s="39"/>
      <c r="K101" s="39"/>
      <c r="L101" s="39"/>
      <c r="M101" s="39"/>
      <c r="N101" s="39"/>
      <c r="O101" s="39"/>
      <c r="P101" s="39"/>
      <c r="Q101" s="39"/>
      <c r="R101" s="39"/>
      <c r="S101" s="39"/>
      <c r="T101" s="39"/>
      <c r="U101" s="39"/>
      <c r="V101" s="39"/>
      <c r="W101" s="39"/>
      <c r="X101" s="39"/>
      <c r="Y101" s="39"/>
      <c r="Z101" s="39"/>
      <c r="AA101" s="39"/>
      <c r="AB101" s="39"/>
      <c r="AC101" s="39"/>
      <c r="AD101" s="39"/>
      <c r="AE101" s="39"/>
      <c r="AF101" s="39"/>
      <c r="AG101" s="39"/>
      <c r="AH101" s="39"/>
    </row>
    <row r="102" spans="1:34" s="38" customFormat="1" x14ac:dyDescent="0.25">
      <c r="A102" s="52">
        <v>19</v>
      </c>
      <c r="B102" s="53">
        <f t="shared" si="3"/>
        <v>40695</v>
      </c>
      <c r="C102" s="53">
        <f t="shared" si="4"/>
        <v>40940</v>
      </c>
      <c r="D102" s="55">
        <v>17000</v>
      </c>
      <c r="E102" s="56">
        <v>3000</v>
      </c>
      <c r="F102" s="57"/>
      <c r="H102" s="39"/>
      <c r="I102" s="39"/>
      <c r="J102" s="39"/>
      <c r="K102" s="39"/>
      <c r="L102" s="39"/>
      <c r="M102" s="39"/>
      <c r="N102" s="39"/>
      <c r="O102" s="39"/>
      <c r="P102" s="39"/>
      <c r="Q102" s="39"/>
      <c r="R102" s="39"/>
      <c r="S102" s="39"/>
      <c r="T102" s="39"/>
      <c r="U102" s="39"/>
      <c r="V102" s="39"/>
      <c r="W102" s="39"/>
      <c r="X102" s="39"/>
      <c r="Y102" s="39"/>
      <c r="Z102" s="39"/>
      <c r="AA102" s="39"/>
      <c r="AB102" s="39"/>
      <c r="AC102" s="39"/>
      <c r="AD102" s="39"/>
      <c r="AE102" s="39"/>
      <c r="AF102" s="39"/>
      <c r="AG102" s="39"/>
      <c r="AH102" s="39"/>
    </row>
    <row r="103" spans="1:34" s="38" customFormat="1" x14ac:dyDescent="0.25">
      <c r="A103" s="52">
        <v>19</v>
      </c>
      <c r="B103" s="53">
        <f t="shared" si="3"/>
        <v>40695</v>
      </c>
      <c r="C103" s="53">
        <f t="shared" si="4"/>
        <v>40969</v>
      </c>
      <c r="D103" s="55">
        <v>275000</v>
      </c>
      <c r="E103" s="56">
        <v>0</v>
      </c>
      <c r="F103" s="57"/>
      <c r="H103" s="39"/>
      <c r="I103" s="39"/>
      <c r="J103" s="39"/>
      <c r="K103" s="39"/>
      <c r="L103" s="39"/>
      <c r="M103" s="39"/>
      <c r="N103" s="39"/>
      <c r="O103" s="39"/>
      <c r="P103" s="39"/>
      <c r="Q103" s="39"/>
      <c r="R103" s="39"/>
      <c r="S103" s="39"/>
      <c r="T103" s="39"/>
      <c r="U103" s="39"/>
      <c r="V103" s="39"/>
      <c r="W103" s="39"/>
      <c r="X103" s="39"/>
      <c r="Y103" s="39"/>
      <c r="Z103" s="39"/>
      <c r="AA103" s="39"/>
      <c r="AB103" s="39"/>
      <c r="AC103" s="39"/>
      <c r="AD103" s="39"/>
      <c r="AE103" s="39"/>
      <c r="AF103" s="39"/>
      <c r="AG103" s="39"/>
      <c r="AH103" s="39"/>
    </row>
    <row r="104" spans="1:34" s="38" customFormat="1" x14ac:dyDescent="0.25">
      <c r="A104" s="52">
        <v>19</v>
      </c>
      <c r="B104" s="53">
        <f t="shared" si="3"/>
        <v>40695</v>
      </c>
      <c r="C104" s="53">
        <f t="shared" si="4"/>
        <v>41000</v>
      </c>
      <c r="D104" s="55">
        <v>19000</v>
      </c>
      <c r="E104" s="56">
        <v>1000</v>
      </c>
      <c r="F104" s="57"/>
      <c r="H104" s="39"/>
      <c r="I104" s="39"/>
      <c r="J104" s="39"/>
      <c r="K104" s="39"/>
      <c r="L104" s="39"/>
      <c r="M104" s="39"/>
      <c r="N104" s="39"/>
      <c r="O104" s="39"/>
      <c r="P104" s="39"/>
      <c r="Q104" s="39"/>
      <c r="R104" s="39"/>
      <c r="S104" s="39"/>
      <c r="T104" s="39"/>
      <c r="U104" s="39"/>
      <c r="V104" s="39"/>
      <c r="W104" s="39"/>
      <c r="X104" s="39"/>
      <c r="Y104" s="39"/>
      <c r="Z104" s="39"/>
      <c r="AA104" s="39"/>
      <c r="AB104" s="39"/>
      <c r="AC104" s="39"/>
      <c r="AD104" s="39"/>
      <c r="AE104" s="39"/>
      <c r="AF104" s="39"/>
      <c r="AG104" s="39"/>
      <c r="AH104" s="39"/>
    </row>
    <row r="105" spans="1:34" s="38" customFormat="1" x14ac:dyDescent="0.25">
      <c r="A105" s="52">
        <v>19</v>
      </c>
      <c r="B105" s="53">
        <f t="shared" si="3"/>
        <v>40695</v>
      </c>
      <c r="C105" s="53">
        <f t="shared" si="4"/>
        <v>41030</v>
      </c>
      <c r="D105" s="55">
        <v>24000</v>
      </c>
      <c r="E105" s="56">
        <v>0</v>
      </c>
      <c r="F105" s="57"/>
      <c r="H105" s="39"/>
      <c r="I105" s="39"/>
      <c r="J105" s="39"/>
      <c r="K105" s="39"/>
      <c r="L105" s="39"/>
      <c r="M105" s="39"/>
      <c r="N105" s="39"/>
      <c r="O105" s="39"/>
      <c r="P105" s="39"/>
      <c r="Q105" s="39"/>
      <c r="R105" s="39"/>
      <c r="S105" s="39"/>
      <c r="T105" s="39"/>
      <c r="U105" s="39"/>
      <c r="V105" s="39"/>
      <c r="W105" s="39"/>
      <c r="X105" s="39"/>
      <c r="Y105" s="39"/>
      <c r="Z105" s="39"/>
      <c r="AA105" s="39"/>
      <c r="AB105" s="39"/>
      <c r="AC105" s="39"/>
      <c r="AD105" s="39"/>
      <c r="AE105" s="39"/>
      <c r="AF105" s="39"/>
      <c r="AG105" s="39"/>
      <c r="AH105" s="39"/>
    </row>
    <row r="106" spans="1:34" s="38" customFormat="1" x14ac:dyDescent="0.25">
      <c r="A106" s="52">
        <v>19</v>
      </c>
      <c r="B106" s="53">
        <f t="shared" si="3"/>
        <v>40695</v>
      </c>
      <c r="C106" s="53">
        <f t="shared" si="4"/>
        <v>41061</v>
      </c>
      <c r="D106" s="55">
        <v>-14000</v>
      </c>
      <c r="E106" s="56">
        <v>0</v>
      </c>
      <c r="F106" s="57"/>
      <c r="H106" s="39"/>
      <c r="I106" s="39"/>
      <c r="J106" s="39"/>
      <c r="K106" s="39"/>
      <c r="L106" s="39"/>
      <c r="M106" s="39"/>
      <c r="N106" s="39"/>
      <c r="O106" s="39"/>
      <c r="P106" s="39"/>
      <c r="Q106" s="39"/>
      <c r="R106" s="39"/>
      <c r="S106" s="39"/>
      <c r="T106" s="39"/>
      <c r="U106" s="39"/>
      <c r="V106" s="39"/>
      <c r="W106" s="39"/>
      <c r="X106" s="39"/>
      <c r="Y106" s="39"/>
      <c r="Z106" s="39"/>
      <c r="AA106" s="39"/>
      <c r="AB106" s="39"/>
      <c r="AC106" s="39"/>
      <c r="AD106" s="39"/>
      <c r="AE106" s="39"/>
      <c r="AF106" s="39"/>
      <c r="AG106" s="39"/>
      <c r="AH106" s="39"/>
    </row>
    <row r="107" spans="1:34" s="38" customFormat="1" x14ac:dyDescent="0.25">
      <c r="A107" s="52">
        <v>19</v>
      </c>
      <c r="B107" s="53">
        <f t="shared" si="3"/>
        <v>40695</v>
      </c>
      <c r="C107" s="53">
        <f t="shared" si="4"/>
        <v>41091</v>
      </c>
      <c r="D107" s="55">
        <v>-1000</v>
      </c>
      <c r="E107" s="56">
        <v>2000</v>
      </c>
      <c r="F107" s="57"/>
      <c r="H107" s="39"/>
      <c r="I107" s="39"/>
      <c r="J107" s="39"/>
      <c r="K107" s="39"/>
      <c r="L107" s="39"/>
      <c r="M107" s="39"/>
      <c r="N107" s="39"/>
      <c r="O107" s="39"/>
      <c r="P107" s="39"/>
      <c r="Q107" s="39"/>
      <c r="R107" s="39"/>
      <c r="S107" s="39"/>
      <c r="T107" s="39"/>
      <c r="U107" s="39"/>
      <c r="V107" s="39"/>
      <c r="W107" s="39"/>
      <c r="X107" s="39"/>
      <c r="Y107" s="39"/>
      <c r="Z107" s="39"/>
      <c r="AA107" s="39"/>
      <c r="AB107" s="39"/>
      <c r="AC107" s="39"/>
      <c r="AD107" s="39"/>
      <c r="AE107" s="39"/>
      <c r="AF107" s="39"/>
      <c r="AG107" s="39"/>
      <c r="AH107" s="39"/>
    </row>
    <row r="108" spans="1:34" s="38" customFormat="1" x14ac:dyDescent="0.25">
      <c r="A108" s="52">
        <v>19</v>
      </c>
      <c r="B108" s="53">
        <f t="shared" si="3"/>
        <v>40695</v>
      </c>
      <c r="C108" s="53">
        <f t="shared" si="4"/>
        <v>41122</v>
      </c>
      <c r="D108" s="55">
        <v>-5000</v>
      </c>
      <c r="E108" s="56">
        <v>0</v>
      </c>
      <c r="F108" s="57"/>
      <c r="H108" s="39"/>
      <c r="I108" s="39"/>
      <c r="J108" s="39"/>
      <c r="K108" s="39"/>
      <c r="L108" s="39"/>
      <c r="M108" s="39"/>
      <c r="N108" s="39"/>
      <c r="O108" s="39"/>
      <c r="P108" s="39"/>
      <c r="Q108" s="39"/>
      <c r="R108" s="39"/>
      <c r="S108" s="39"/>
      <c r="T108" s="39"/>
      <c r="U108" s="39"/>
      <c r="V108" s="39"/>
      <c r="W108" s="39"/>
      <c r="X108" s="39"/>
      <c r="Y108" s="39"/>
      <c r="Z108" s="39"/>
      <c r="AA108" s="39"/>
      <c r="AB108" s="39"/>
      <c r="AC108" s="39"/>
      <c r="AD108" s="39"/>
      <c r="AE108" s="39"/>
      <c r="AF108" s="39"/>
      <c r="AG108" s="39"/>
      <c r="AH108" s="39"/>
    </row>
    <row r="109" spans="1:34" s="38" customFormat="1" x14ac:dyDescent="0.25">
      <c r="A109" s="52">
        <v>19</v>
      </c>
      <c r="B109" s="53">
        <f t="shared" si="3"/>
        <v>40695</v>
      </c>
      <c r="C109" s="53">
        <f t="shared" si="4"/>
        <v>41153</v>
      </c>
      <c r="D109" s="55">
        <v>3000</v>
      </c>
      <c r="E109" s="56">
        <v>0</v>
      </c>
      <c r="F109" s="57"/>
      <c r="H109" s="39"/>
      <c r="I109" s="39"/>
      <c r="J109" s="39"/>
      <c r="K109" s="39"/>
      <c r="L109" s="39"/>
      <c r="M109" s="39"/>
      <c r="N109" s="39"/>
      <c r="O109" s="39"/>
      <c r="P109" s="39"/>
      <c r="Q109" s="39"/>
      <c r="R109" s="39"/>
      <c r="S109" s="39"/>
      <c r="T109" s="39"/>
      <c r="U109" s="39"/>
      <c r="V109" s="39"/>
      <c r="W109" s="39"/>
      <c r="X109" s="39"/>
      <c r="Y109" s="39"/>
      <c r="Z109" s="39"/>
      <c r="AA109" s="39"/>
      <c r="AB109" s="39"/>
      <c r="AC109" s="39"/>
      <c r="AD109" s="39"/>
      <c r="AE109" s="39"/>
      <c r="AF109" s="39"/>
      <c r="AG109" s="39"/>
      <c r="AH109" s="39"/>
    </row>
    <row r="110" spans="1:34" s="38" customFormat="1" x14ac:dyDescent="0.25">
      <c r="A110" s="52">
        <v>19</v>
      </c>
      <c r="B110" s="53">
        <f t="shared" si="3"/>
        <v>40695</v>
      </c>
      <c r="C110" s="53">
        <f t="shared" si="4"/>
        <v>41183</v>
      </c>
      <c r="D110" s="55">
        <v>15000</v>
      </c>
      <c r="E110" s="56">
        <v>0</v>
      </c>
      <c r="F110" s="57"/>
      <c r="H110" s="39"/>
      <c r="I110" s="39"/>
      <c r="J110" s="39"/>
      <c r="K110" s="39"/>
      <c r="L110" s="39"/>
      <c r="M110" s="39"/>
      <c r="N110" s="39"/>
      <c r="O110" s="39"/>
      <c r="P110" s="39"/>
      <c r="Q110" s="39"/>
      <c r="R110" s="39"/>
      <c r="S110" s="39"/>
      <c r="T110" s="39"/>
      <c r="U110" s="39"/>
      <c r="V110" s="39"/>
      <c r="W110" s="39"/>
      <c r="X110" s="39"/>
      <c r="Y110" s="39"/>
      <c r="Z110" s="39"/>
      <c r="AA110" s="39"/>
      <c r="AB110" s="39"/>
      <c r="AC110" s="39"/>
      <c r="AD110" s="39"/>
      <c r="AE110" s="39"/>
      <c r="AF110" s="39"/>
      <c r="AG110" s="39"/>
      <c r="AH110" s="39"/>
    </row>
    <row r="111" spans="1:34" s="38" customFormat="1" x14ac:dyDescent="0.25">
      <c r="A111" s="52">
        <v>19</v>
      </c>
      <c r="B111" s="53">
        <f t="shared" si="3"/>
        <v>40695</v>
      </c>
      <c r="C111" s="53">
        <f t="shared" si="4"/>
        <v>41214</v>
      </c>
      <c r="D111" s="55">
        <v>-1000</v>
      </c>
      <c r="E111" s="56">
        <v>1000</v>
      </c>
      <c r="F111" s="57"/>
      <c r="H111" s="39"/>
      <c r="I111" s="39"/>
      <c r="J111" s="39"/>
      <c r="K111" s="39"/>
      <c r="L111" s="39"/>
      <c r="M111" s="39"/>
      <c r="N111" s="39"/>
      <c r="O111" s="39"/>
      <c r="P111" s="39"/>
      <c r="Q111" s="39"/>
      <c r="R111" s="39"/>
      <c r="S111" s="39"/>
      <c r="T111" s="39"/>
      <c r="U111" s="39"/>
      <c r="V111" s="39"/>
      <c r="W111" s="39"/>
      <c r="X111" s="39"/>
      <c r="Y111" s="39"/>
      <c r="Z111" s="39"/>
      <c r="AA111" s="39"/>
      <c r="AB111" s="39"/>
      <c r="AC111" s="39"/>
      <c r="AD111" s="39"/>
      <c r="AE111" s="39"/>
      <c r="AF111" s="39"/>
      <c r="AG111" s="39"/>
      <c r="AH111" s="39"/>
    </row>
    <row r="112" spans="1:34" s="38" customFormat="1" x14ac:dyDescent="0.25">
      <c r="A112" s="52">
        <v>18</v>
      </c>
      <c r="B112" s="53">
        <f t="shared" si="3"/>
        <v>40725</v>
      </c>
      <c r="C112" s="53">
        <f t="shared" si="4"/>
        <v>40725</v>
      </c>
      <c r="D112" s="55">
        <v>1971000</v>
      </c>
      <c r="E112" s="56">
        <v>526000</v>
      </c>
      <c r="F112" s="57"/>
      <c r="H112" s="39"/>
      <c r="I112" s="39"/>
      <c r="J112" s="39"/>
      <c r="K112" s="39"/>
      <c r="L112" s="39"/>
      <c r="M112" s="39"/>
      <c r="N112" s="39"/>
      <c r="O112" s="39"/>
      <c r="P112" s="39"/>
      <c r="Q112" s="39"/>
      <c r="R112" s="39"/>
      <c r="S112" s="39"/>
      <c r="T112" s="39"/>
      <c r="U112" s="39"/>
      <c r="V112" s="39"/>
      <c r="W112" s="39"/>
      <c r="X112" s="39"/>
      <c r="Y112" s="39"/>
      <c r="Z112" s="39"/>
      <c r="AA112" s="39"/>
      <c r="AB112" s="39"/>
      <c r="AC112" s="39"/>
      <c r="AD112" s="39"/>
      <c r="AE112" s="39"/>
      <c r="AF112" s="39"/>
      <c r="AG112" s="39"/>
      <c r="AH112" s="39"/>
    </row>
    <row r="113" spans="1:34" s="38" customFormat="1" x14ac:dyDescent="0.25">
      <c r="A113" s="52">
        <v>18</v>
      </c>
      <c r="B113" s="53">
        <f t="shared" si="3"/>
        <v>40725</v>
      </c>
      <c r="C113" s="53">
        <f t="shared" si="4"/>
        <v>40756</v>
      </c>
      <c r="D113" s="55">
        <v>4605000</v>
      </c>
      <c r="E113" s="56">
        <v>239000</v>
      </c>
      <c r="F113" s="57"/>
      <c r="H113" s="39"/>
      <c r="I113" s="39"/>
      <c r="J113" s="39"/>
      <c r="K113" s="39"/>
      <c r="L113" s="39"/>
      <c r="M113" s="39"/>
      <c r="N113" s="39"/>
      <c r="O113" s="39"/>
      <c r="P113" s="39"/>
      <c r="Q113" s="39"/>
      <c r="R113" s="39"/>
      <c r="S113" s="39"/>
      <c r="T113" s="39"/>
      <c r="U113" s="39"/>
      <c r="V113" s="39"/>
      <c r="W113" s="39"/>
      <c r="X113" s="39"/>
      <c r="Y113" s="39"/>
      <c r="Z113" s="39"/>
      <c r="AA113" s="39"/>
      <c r="AB113" s="39"/>
      <c r="AC113" s="39"/>
      <c r="AD113" s="39"/>
      <c r="AE113" s="39"/>
      <c r="AF113" s="39"/>
      <c r="AG113" s="39"/>
      <c r="AH113" s="39"/>
    </row>
    <row r="114" spans="1:34" s="38" customFormat="1" x14ac:dyDescent="0.25">
      <c r="A114" s="52">
        <v>18</v>
      </c>
      <c r="B114" s="53">
        <f t="shared" si="3"/>
        <v>40725</v>
      </c>
      <c r="C114" s="53">
        <f t="shared" si="4"/>
        <v>40787</v>
      </c>
      <c r="D114" s="55">
        <v>1706000</v>
      </c>
      <c r="E114" s="56">
        <v>162000</v>
      </c>
      <c r="F114" s="57"/>
      <c r="H114" s="39"/>
      <c r="I114" s="39"/>
      <c r="J114" s="39"/>
      <c r="K114" s="39"/>
      <c r="L114" s="39"/>
      <c r="M114" s="39"/>
      <c r="N114" s="39"/>
      <c r="O114" s="39"/>
      <c r="P114" s="39"/>
      <c r="Q114" s="39"/>
      <c r="R114" s="39"/>
      <c r="S114" s="39"/>
      <c r="T114" s="39"/>
      <c r="U114" s="39"/>
      <c r="V114" s="39"/>
      <c r="W114" s="39"/>
      <c r="X114" s="39"/>
      <c r="Y114" s="39"/>
      <c r="Z114" s="39"/>
      <c r="AA114" s="39"/>
      <c r="AB114" s="39"/>
      <c r="AC114" s="39"/>
      <c r="AD114" s="39"/>
      <c r="AE114" s="39"/>
      <c r="AF114" s="39"/>
      <c r="AG114" s="39"/>
      <c r="AH114" s="39"/>
    </row>
    <row r="115" spans="1:34" s="38" customFormat="1" x14ac:dyDescent="0.25">
      <c r="A115" s="52">
        <v>18</v>
      </c>
      <c r="B115" s="53">
        <f t="shared" si="3"/>
        <v>40725</v>
      </c>
      <c r="C115" s="53">
        <f t="shared" si="4"/>
        <v>40817</v>
      </c>
      <c r="D115" s="55">
        <v>480000</v>
      </c>
      <c r="E115" s="56">
        <v>10000</v>
      </c>
      <c r="F115" s="57"/>
      <c r="H115" s="39"/>
      <c r="I115" s="39"/>
      <c r="J115" s="39"/>
      <c r="K115" s="39"/>
      <c r="L115" s="39"/>
      <c r="M115" s="39"/>
      <c r="N115" s="39"/>
      <c r="O115" s="39"/>
      <c r="P115" s="39"/>
      <c r="Q115" s="39"/>
      <c r="R115" s="39"/>
      <c r="S115" s="39"/>
      <c r="T115" s="39"/>
      <c r="U115" s="39"/>
      <c r="V115" s="39"/>
      <c r="W115" s="39"/>
      <c r="X115" s="39"/>
      <c r="Y115" s="39"/>
      <c r="Z115" s="39"/>
      <c r="AA115" s="39"/>
      <c r="AB115" s="39"/>
      <c r="AC115" s="39"/>
      <c r="AD115" s="39"/>
      <c r="AE115" s="39"/>
      <c r="AF115" s="39"/>
      <c r="AG115" s="39"/>
      <c r="AH115" s="39"/>
    </row>
    <row r="116" spans="1:34" s="38" customFormat="1" x14ac:dyDescent="0.25">
      <c r="A116" s="52">
        <v>18</v>
      </c>
      <c r="B116" s="53">
        <f t="shared" si="3"/>
        <v>40725</v>
      </c>
      <c r="C116" s="53">
        <f t="shared" si="4"/>
        <v>40848</v>
      </c>
      <c r="D116" s="55">
        <v>126000</v>
      </c>
      <c r="E116" s="56">
        <v>4000</v>
      </c>
      <c r="F116" s="57"/>
      <c r="H116" s="39"/>
      <c r="I116" s="39"/>
      <c r="J116" s="39"/>
      <c r="K116" s="39"/>
      <c r="L116" s="39"/>
      <c r="M116" s="39"/>
      <c r="N116" s="39"/>
      <c r="O116" s="39"/>
      <c r="P116" s="39"/>
      <c r="Q116" s="39"/>
      <c r="R116" s="39"/>
      <c r="S116" s="39"/>
      <c r="T116" s="39"/>
      <c r="U116" s="39"/>
      <c r="V116" s="39"/>
      <c r="W116" s="39"/>
      <c r="X116" s="39"/>
      <c r="Y116" s="39"/>
      <c r="Z116" s="39"/>
      <c r="AA116" s="39"/>
      <c r="AB116" s="39"/>
      <c r="AC116" s="39"/>
      <c r="AD116" s="39"/>
      <c r="AE116" s="39"/>
      <c r="AF116" s="39"/>
      <c r="AG116" s="39"/>
      <c r="AH116" s="39"/>
    </row>
    <row r="117" spans="1:34" s="38" customFormat="1" x14ac:dyDescent="0.25">
      <c r="A117" s="52">
        <v>18</v>
      </c>
      <c r="B117" s="53">
        <f t="shared" si="3"/>
        <v>40725</v>
      </c>
      <c r="C117" s="53">
        <f t="shared" si="4"/>
        <v>40878</v>
      </c>
      <c r="D117" s="55">
        <v>91000</v>
      </c>
      <c r="E117" s="56">
        <v>15000</v>
      </c>
      <c r="F117" s="57"/>
      <c r="H117" s="39"/>
      <c r="I117" s="39"/>
      <c r="J117" s="39"/>
      <c r="K117" s="39"/>
      <c r="L117" s="39"/>
      <c r="M117" s="39"/>
      <c r="N117" s="39"/>
      <c r="O117" s="39"/>
      <c r="P117" s="39"/>
      <c r="Q117" s="39"/>
      <c r="R117" s="39"/>
      <c r="S117" s="39"/>
      <c r="T117" s="39"/>
      <c r="U117" s="39"/>
      <c r="V117" s="39"/>
      <c r="W117" s="39"/>
      <c r="X117" s="39"/>
      <c r="Y117" s="39"/>
      <c r="Z117" s="39"/>
      <c r="AA117" s="39"/>
      <c r="AB117" s="39"/>
      <c r="AC117" s="39"/>
      <c r="AD117" s="39"/>
      <c r="AE117" s="39"/>
      <c r="AF117" s="39"/>
      <c r="AG117" s="39"/>
      <c r="AH117" s="39"/>
    </row>
    <row r="118" spans="1:34" s="38" customFormat="1" x14ac:dyDescent="0.25">
      <c r="A118" s="52">
        <v>18</v>
      </c>
      <c r="B118" s="53">
        <f t="shared" si="3"/>
        <v>40725</v>
      </c>
      <c r="C118" s="53">
        <f t="shared" si="4"/>
        <v>40909</v>
      </c>
      <c r="D118" s="55">
        <v>78000</v>
      </c>
      <c r="E118" s="56">
        <v>97000</v>
      </c>
      <c r="F118" s="57"/>
      <c r="H118" s="39"/>
      <c r="I118" s="39"/>
      <c r="J118" s="39"/>
      <c r="K118" s="39"/>
      <c r="L118" s="39"/>
      <c r="M118" s="39"/>
      <c r="N118" s="39"/>
      <c r="O118" s="39"/>
      <c r="P118" s="39"/>
      <c r="Q118" s="39"/>
      <c r="R118" s="39"/>
      <c r="S118" s="39"/>
      <c r="T118" s="39"/>
      <c r="U118" s="39"/>
      <c r="V118" s="39"/>
      <c r="W118" s="39"/>
      <c r="X118" s="39"/>
      <c r="Y118" s="39"/>
      <c r="Z118" s="39"/>
      <c r="AA118" s="39"/>
      <c r="AB118" s="39"/>
      <c r="AC118" s="39"/>
      <c r="AD118" s="39"/>
      <c r="AE118" s="39"/>
      <c r="AF118" s="39"/>
      <c r="AG118" s="39"/>
      <c r="AH118" s="39"/>
    </row>
    <row r="119" spans="1:34" s="38" customFormat="1" x14ac:dyDescent="0.25">
      <c r="A119" s="52">
        <v>18</v>
      </c>
      <c r="B119" s="53">
        <f t="shared" si="3"/>
        <v>40725</v>
      </c>
      <c r="C119" s="53">
        <f t="shared" si="4"/>
        <v>40940</v>
      </c>
      <c r="D119" s="55">
        <v>42000</v>
      </c>
      <c r="E119" s="56">
        <v>0</v>
      </c>
      <c r="F119" s="57"/>
      <c r="H119" s="39"/>
      <c r="I119" s="39"/>
      <c r="J119" s="39"/>
      <c r="K119" s="39"/>
      <c r="L119" s="39"/>
      <c r="M119" s="39"/>
      <c r="N119" s="39"/>
      <c r="O119" s="39"/>
      <c r="P119" s="39"/>
      <c r="Q119" s="39"/>
      <c r="R119" s="39"/>
      <c r="S119" s="39"/>
      <c r="T119" s="39"/>
      <c r="U119" s="39"/>
      <c r="V119" s="39"/>
      <c r="W119" s="39"/>
      <c r="X119" s="39"/>
      <c r="Y119" s="39"/>
      <c r="Z119" s="39"/>
      <c r="AA119" s="39"/>
      <c r="AB119" s="39"/>
      <c r="AC119" s="39"/>
      <c r="AD119" s="39"/>
      <c r="AE119" s="39"/>
      <c r="AF119" s="39"/>
      <c r="AG119" s="39"/>
      <c r="AH119" s="39"/>
    </row>
    <row r="120" spans="1:34" s="38" customFormat="1" x14ac:dyDescent="0.25">
      <c r="A120" s="52">
        <v>18</v>
      </c>
      <c r="B120" s="53">
        <f t="shared" si="3"/>
        <v>40725</v>
      </c>
      <c r="C120" s="53">
        <f t="shared" si="4"/>
        <v>40969</v>
      </c>
      <c r="D120" s="55">
        <v>27000</v>
      </c>
      <c r="E120" s="56">
        <v>14000</v>
      </c>
      <c r="F120" s="57"/>
      <c r="H120" s="39"/>
      <c r="I120" s="39"/>
      <c r="J120" s="39"/>
      <c r="K120" s="39"/>
      <c r="L120" s="39"/>
      <c r="M120" s="39"/>
      <c r="N120" s="39"/>
      <c r="O120" s="39"/>
      <c r="P120" s="39"/>
      <c r="Q120" s="39"/>
      <c r="R120" s="39"/>
      <c r="S120" s="39"/>
      <c r="T120" s="39"/>
      <c r="U120" s="39"/>
      <c r="V120" s="39"/>
      <c r="W120" s="39"/>
      <c r="X120" s="39"/>
      <c r="Y120" s="39"/>
      <c r="Z120" s="39"/>
      <c r="AA120" s="39"/>
      <c r="AB120" s="39"/>
      <c r="AC120" s="39"/>
      <c r="AD120" s="39"/>
      <c r="AE120" s="39"/>
      <c r="AF120" s="39"/>
      <c r="AG120" s="39"/>
      <c r="AH120" s="39"/>
    </row>
    <row r="121" spans="1:34" s="38" customFormat="1" x14ac:dyDescent="0.25">
      <c r="A121" s="52">
        <v>18</v>
      </c>
      <c r="B121" s="53">
        <f t="shared" si="3"/>
        <v>40725</v>
      </c>
      <c r="C121" s="53">
        <f t="shared" si="4"/>
        <v>41000</v>
      </c>
      <c r="D121" s="55">
        <v>0</v>
      </c>
      <c r="E121" s="56">
        <v>1000</v>
      </c>
      <c r="F121" s="57"/>
      <c r="H121" s="39"/>
      <c r="I121" s="39"/>
      <c r="J121" s="39"/>
      <c r="K121" s="39"/>
      <c r="L121" s="39"/>
      <c r="M121" s="39"/>
      <c r="N121" s="39"/>
      <c r="O121" s="39"/>
      <c r="P121" s="39"/>
      <c r="Q121" s="39"/>
      <c r="R121" s="39"/>
      <c r="S121" s="39"/>
      <c r="T121" s="39"/>
      <c r="U121" s="39"/>
      <c r="V121" s="39"/>
      <c r="W121" s="39"/>
      <c r="X121" s="39"/>
      <c r="Y121" s="39"/>
      <c r="Z121" s="39"/>
      <c r="AA121" s="39"/>
      <c r="AB121" s="39"/>
      <c r="AC121" s="39"/>
      <c r="AD121" s="39"/>
      <c r="AE121" s="39"/>
      <c r="AF121" s="39"/>
      <c r="AG121" s="39"/>
      <c r="AH121" s="39"/>
    </row>
    <row r="122" spans="1:34" s="38" customFormat="1" x14ac:dyDescent="0.25">
      <c r="A122" s="52">
        <v>18</v>
      </c>
      <c r="B122" s="53">
        <f t="shared" si="3"/>
        <v>40725</v>
      </c>
      <c r="C122" s="53">
        <f t="shared" si="4"/>
        <v>41030</v>
      </c>
      <c r="D122" s="55">
        <v>0</v>
      </c>
      <c r="E122" s="56">
        <v>0</v>
      </c>
      <c r="F122" s="57"/>
      <c r="H122" s="39"/>
      <c r="I122" s="39"/>
      <c r="J122" s="39"/>
      <c r="K122" s="39"/>
      <c r="L122" s="39"/>
      <c r="M122" s="39"/>
      <c r="N122" s="39"/>
      <c r="O122" s="39"/>
      <c r="P122" s="39"/>
      <c r="Q122" s="39"/>
      <c r="R122" s="39"/>
      <c r="S122" s="39"/>
      <c r="T122" s="39"/>
      <c r="U122" s="39"/>
      <c r="V122" s="39"/>
      <c r="W122" s="39"/>
      <c r="X122" s="39"/>
      <c r="Y122" s="39"/>
      <c r="Z122" s="39"/>
      <c r="AA122" s="39"/>
      <c r="AB122" s="39"/>
      <c r="AC122" s="39"/>
      <c r="AD122" s="39"/>
      <c r="AE122" s="39"/>
      <c r="AF122" s="39"/>
      <c r="AG122" s="39"/>
      <c r="AH122" s="39"/>
    </row>
    <row r="123" spans="1:34" s="38" customFormat="1" x14ac:dyDescent="0.25">
      <c r="A123" s="52">
        <v>18</v>
      </c>
      <c r="B123" s="53">
        <f t="shared" si="3"/>
        <v>40725</v>
      </c>
      <c r="C123" s="53">
        <f t="shared" si="4"/>
        <v>41061</v>
      </c>
      <c r="D123" s="55">
        <v>-12000</v>
      </c>
      <c r="E123" s="56">
        <v>0</v>
      </c>
      <c r="F123" s="57"/>
      <c r="H123" s="39"/>
      <c r="I123" s="39"/>
      <c r="J123" s="39"/>
      <c r="K123" s="39"/>
      <c r="L123" s="39"/>
      <c r="M123" s="39"/>
      <c r="N123" s="39"/>
      <c r="O123" s="39"/>
      <c r="P123" s="39"/>
      <c r="Q123" s="39"/>
      <c r="R123" s="39"/>
      <c r="S123" s="39"/>
      <c r="T123" s="39"/>
      <c r="U123" s="39"/>
      <c r="V123" s="39"/>
      <c r="W123" s="39"/>
      <c r="X123" s="39"/>
      <c r="Y123" s="39"/>
      <c r="Z123" s="39"/>
      <c r="AA123" s="39"/>
      <c r="AB123" s="39"/>
      <c r="AC123" s="39"/>
      <c r="AD123" s="39"/>
      <c r="AE123" s="39"/>
      <c r="AF123" s="39"/>
      <c r="AG123" s="39"/>
      <c r="AH123" s="39"/>
    </row>
    <row r="124" spans="1:34" s="38" customFormat="1" x14ac:dyDescent="0.25">
      <c r="A124" s="52">
        <v>18</v>
      </c>
      <c r="B124" s="53">
        <f t="shared" si="3"/>
        <v>40725</v>
      </c>
      <c r="C124" s="53">
        <f t="shared" si="4"/>
        <v>41091</v>
      </c>
      <c r="D124" s="55">
        <v>9000</v>
      </c>
      <c r="E124" s="56">
        <v>3000</v>
      </c>
      <c r="F124" s="57"/>
      <c r="H124" s="39"/>
      <c r="I124" s="39"/>
      <c r="J124" s="39"/>
      <c r="K124" s="39"/>
      <c r="L124" s="39"/>
      <c r="M124" s="39"/>
      <c r="N124" s="39"/>
      <c r="O124" s="39"/>
      <c r="P124" s="39"/>
      <c r="Q124" s="39"/>
      <c r="R124" s="39"/>
      <c r="S124" s="39"/>
      <c r="T124" s="39"/>
      <c r="U124" s="39"/>
      <c r="V124" s="39"/>
      <c r="W124" s="39"/>
      <c r="X124" s="39"/>
      <c r="Y124" s="39"/>
      <c r="Z124" s="39"/>
      <c r="AA124" s="39"/>
      <c r="AB124" s="39"/>
      <c r="AC124" s="39"/>
      <c r="AD124" s="39"/>
      <c r="AE124" s="39"/>
      <c r="AF124" s="39"/>
      <c r="AG124" s="39"/>
      <c r="AH124" s="39"/>
    </row>
    <row r="125" spans="1:34" s="38" customFormat="1" x14ac:dyDescent="0.25">
      <c r="A125" s="52">
        <v>18</v>
      </c>
      <c r="B125" s="53">
        <f t="shared" si="3"/>
        <v>40725</v>
      </c>
      <c r="C125" s="53">
        <f t="shared" si="4"/>
        <v>41122</v>
      </c>
      <c r="D125" s="55">
        <v>0</v>
      </c>
      <c r="E125" s="56">
        <v>0</v>
      </c>
      <c r="F125" s="57"/>
      <c r="H125" s="39"/>
      <c r="I125" s="39"/>
      <c r="J125" s="39"/>
      <c r="K125" s="39"/>
      <c r="L125" s="39"/>
      <c r="M125" s="39"/>
      <c r="N125" s="39"/>
      <c r="O125" s="39"/>
      <c r="P125" s="39"/>
      <c r="Q125" s="39"/>
      <c r="R125" s="39"/>
      <c r="S125" s="39"/>
      <c r="T125" s="39"/>
      <c r="U125" s="39"/>
      <c r="V125" s="39"/>
      <c r="W125" s="39"/>
      <c r="X125" s="39"/>
      <c r="Y125" s="39"/>
      <c r="Z125" s="39"/>
      <c r="AA125" s="39"/>
      <c r="AB125" s="39"/>
      <c r="AC125" s="39"/>
      <c r="AD125" s="39"/>
      <c r="AE125" s="39"/>
      <c r="AF125" s="39"/>
      <c r="AG125" s="39"/>
      <c r="AH125" s="39"/>
    </row>
    <row r="126" spans="1:34" s="38" customFormat="1" x14ac:dyDescent="0.25">
      <c r="A126" s="52">
        <v>18</v>
      </c>
      <c r="B126" s="53">
        <f t="shared" si="3"/>
        <v>40725</v>
      </c>
      <c r="C126" s="53">
        <f t="shared" si="4"/>
        <v>41153</v>
      </c>
      <c r="D126" s="55">
        <v>-2000</v>
      </c>
      <c r="E126" s="56">
        <v>0</v>
      </c>
      <c r="F126" s="57"/>
      <c r="H126" s="39"/>
      <c r="I126" s="39"/>
      <c r="J126" s="39"/>
      <c r="K126" s="39"/>
      <c r="L126" s="39"/>
      <c r="M126" s="39"/>
      <c r="N126" s="39"/>
      <c r="O126" s="39"/>
      <c r="P126" s="39"/>
      <c r="Q126" s="39"/>
      <c r="R126" s="39"/>
      <c r="S126" s="39"/>
      <c r="T126" s="39"/>
      <c r="U126" s="39"/>
      <c r="V126" s="39"/>
      <c r="W126" s="39"/>
      <c r="X126" s="39"/>
      <c r="Y126" s="39"/>
      <c r="Z126" s="39"/>
      <c r="AA126" s="39"/>
      <c r="AB126" s="39"/>
      <c r="AC126" s="39"/>
      <c r="AD126" s="39"/>
      <c r="AE126" s="39"/>
      <c r="AF126" s="39"/>
      <c r="AG126" s="39"/>
      <c r="AH126" s="39"/>
    </row>
    <row r="127" spans="1:34" s="38" customFormat="1" x14ac:dyDescent="0.25">
      <c r="A127" s="52">
        <v>18</v>
      </c>
      <c r="B127" s="53">
        <f t="shared" si="3"/>
        <v>40725</v>
      </c>
      <c r="C127" s="53">
        <f t="shared" si="4"/>
        <v>41183</v>
      </c>
      <c r="D127" s="55">
        <v>-11000</v>
      </c>
      <c r="E127" s="56">
        <v>2000</v>
      </c>
      <c r="F127" s="57"/>
      <c r="H127" s="39"/>
      <c r="I127" s="39"/>
      <c r="J127" s="39"/>
      <c r="K127" s="39"/>
      <c r="L127" s="39"/>
      <c r="M127" s="39"/>
      <c r="N127" s="39"/>
      <c r="O127" s="39"/>
      <c r="P127" s="39"/>
      <c r="Q127" s="39"/>
      <c r="R127" s="39"/>
      <c r="S127" s="39"/>
      <c r="T127" s="39"/>
      <c r="U127" s="39"/>
      <c r="V127" s="39"/>
      <c r="W127" s="39"/>
      <c r="X127" s="39"/>
      <c r="Y127" s="39"/>
      <c r="Z127" s="39"/>
      <c r="AA127" s="39"/>
      <c r="AB127" s="39"/>
      <c r="AC127" s="39"/>
      <c r="AD127" s="39"/>
      <c r="AE127" s="39"/>
      <c r="AF127" s="39"/>
      <c r="AG127" s="39"/>
      <c r="AH127" s="39"/>
    </row>
    <row r="128" spans="1:34" s="38" customFormat="1" x14ac:dyDescent="0.25">
      <c r="A128" s="52">
        <v>18</v>
      </c>
      <c r="B128" s="53">
        <f t="shared" si="3"/>
        <v>40725</v>
      </c>
      <c r="C128" s="53">
        <f t="shared" si="4"/>
        <v>41214</v>
      </c>
      <c r="D128" s="55">
        <v>25000</v>
      </c>
      <c r="E128" s="56">
        <v>3500</v>
      </c>
      <c r="F128" s="57"/>
      <c r="H128" s="39"/>
      <c r="I128" s="39"/>
      <c r="J128" s="39"/>
      <c r="K128" s="39"/>
      <c r="L128" s="39"/>
      <c r="M128" s="39"/>
      <c r="N128" s="39"/>
      <c r="O128" s="39"/>
      <c r="P128" s="39"/>
      <c r="Q128" s="39"/>
      <c r="R128" s="39"/>
      <c r="S128" s="39"/>
      <c r="T128" s="39"/>
      <c r="U128" s="39"/>
      <c r="V128" s="39"/>
      <c r="W128" s="39"/>
      <c r="X128" s="39"/>
      <c r="Y128" s="39"/>
      <c r="Z128" s="39"/>
      <c r="AA128" s="39"/>
      <c r="AB128" s="39"/>
      <c r="AC128" s="39"/>
      <c r="AD128" s="39"/>
      <c r="AE128" s="39"/>
      <c r="AF128" s="39"/>
      <c r="AG128" s="39"/>
      <c r="AH128" s="39"/>
    </row>
    <row r="129" spans="1:34" s="38" customFormat="1" x14ac:dyDescent="0.25">
      <c r="A129" s="52">
        <v>18</v>
      </c>
      <c r="B129" s="53">
        <f t="shared" si="3"/>
        <v>40725</v>
      </c>
      <c r="C129" s="53">
        <f t="shared" si="4"/>
        <v>41244</v>
      </c>
      <c r="D129" s="55">
        <v>2000</v>
      </c>
      <c r="E129" s="56">
        <v>13000</v>
      </c>
      <c r="F129" s="57"/>
      <c r="H129" s="39"/>
      <c r="I129" s="39"/>
      <c r="J129" s="39"/>
      <c r="K129" s="39"/>
      <c r="L129" s="39"/>
      <c r="M129" s="39"/>
      <c r="N129" s="39"/>
      <c r="O129" s="39"/>
      <c r="P129" s="39"/>
      <c r="Q129" s="39"/>
      <c r="R129" s="39"/>
      <c r="S129" s="39"/>
      <c r="T129" s="39"/>
      <c r="U129" s="39"/>
      <c r="V129" s="39"/>
      <c r="W129" s="39"/>
      <c r="X129" s="39"/>
      <c r="Y129" s="39"/>
      <c r="Z129" s="39"/>
      <c r="AA129" s="39"/>
      <c r="AB129" s="39"/>
      <c r="AC129" s="39"/>
      <c r="AD129" s="39"/>
      <c r="AE129" s="39"/>
      <c r="AF129" s="39"/>
      <c r="AG129" s="39"/>
      <c r="AH129" s="39"/>
    </row>
    <row r="130" spans="1:34" s="38" customFormat="1" x14ac:dyDescent="0.25">
      <c r="A130" s="52">
        <v>17</v>
      </c>
      <c r="B130" s="53">
        <f t="shared" si="3"/>
        <v>40756</v>
      </c>
      <c r="C130" s="53">
        <f t="shared" si="4"/>
        <v>40756</v>
      </c>
      <c r="D130" s="55">
        <v>1730000</v>
      </c>
      <c r="E130" s="56">
        <v>457000</v>
      </c>
      <c r="F130" s="57"/>
      <c r="H130" s="39"/>
      <c r="I130" s="39"/>
      <c r="J130" s="39"/>
      <c r="K130" s="39"/>
      <c r="L130" s="39"/>
      <c r="M130" s="39"/>
      <c r="N130" s="39"/>
      <c r="O130" s="39"/>
      <c r="P130" s="39"/>
      <c r="Q130" s="39"/>
      <c r="R130" s="39"/>
      <c r="S130" s="39"/>
      <c r="T130" s="39"/>
      <c r="U130" s="39"/>
      <c r="V130" s="39"/>
      <c r="W130" s="39"/>
      <c r="X130" s="39"/>
      <c r="Y130" s="39"/>
      <c r="Z130" s="39"/>
      <c r="AA130" s="39"/>
      <c r="AB130" s="39"/>
      <c r="AC130" s="39"/>
      <c r="AD130" s="39"/>
      <c r="AE130" s="39"/>
      <c r="AF130" s="39"/>
      <c r="AG130" s="39"/>
      <c r="AH130" s="39"/>
    </row>
    <row r="131" spans="1:34" s="38" customFormat="1" x14ac:dyDescent="0.25">
      <c r="A131" s="52">
        <v>17</v>
      </c>
      <c r="B131" s="53">
        <f t="shared" si="3"/>
        <v>40756</v>
      </c>
      <c r="C131" s="53">
        <f t="shared" si="4"/>
        <v>40787</v>
      </c>
      <c r="D131" s="55">
        <v>5000000</v>
      </c>
      <c r="E131" s="56">
        <v>705000</v>
      </c>
      <c r="F131" s="57"/>
      <c r="H131" s="39"/>
      <c r="I131" s="39"/>
      <c r="J131" s="39"/>
      <c r="K131" s="39"/>
      <c r="L131" s="39"/>
      <c r="M131" s="39"/>
      <c r="N131" s="39"/>
      <c r="O131" s="39"/>
      <c r="P131" s="39"/>
      <c r="Q131" s="39"/>
      <c r="R131" s="39"/>
      <c r="S131" s="39"/>
      <c r="T131" s="39"/>
      <c r="U131" s="39"/>
      <c r="V131" s="39"/>
      <c r="W131" s="39"/>
      <c r="X131" s="39"/>
      <c r="Y131" s="39"/>
      <c r="Z131" s="39"/>
      <c r="AA131" s="39"/>
      <c r="AB131" s="39"/>
      <c r="AC131" s="39"/>
      <c r="AD131" s="39"/>
      <c r="AE131" s="39"/>
      <c r="AF131" s="39"/>
      <c r="AG131" s="39"/>
      <c r="AH131" s="39"/>
    </row>
    <row r="132" spans="1:34" s="38" customFormat="1" x14ac:dyDescent="0.25">
      <c r="A132" s="52">
        <v>17</v>
      </c>
      <c r="B132" s="53">
        <f t="shared" si="3"/>
        <v>40756</v>
      </c>
      <c r="C132" s="53">
        <f t="shared" si="4"/>
        <v>40817</v>
      </c>
      <c r="D132" s="55">
        <v>1243000</v>
      </c>
      <c r="E132" s="56">
        <v>99000</v>
      </c>
      <c r="F132" s="57"/>
      <c r="H132" s="39"/>
      <c r="I132" s="39"/>
      <c r="J132" s="39"/>
      <c r="K132" s="39"/>
      <c r="L132" s="39"/>
      <c r="M132" s="39"/>
      <c r="N132" s="39"/>
      <c r="O132" s="39"/>
      <c r="P132" s="39"/>
      <c r="Q132" s="39"/>
      <c r="R132" s="39"/>
      <c r="S132" s="39"/>
      <c r="T132" s="39"/>
      <c r="U132" s="39"/>
      <c r="V132" s="39"/>
      <c r="W132" s="39"/>
      <c r="X132" s="39"/>
      <c r="Y132" s="39"/>
      <c r="Z132" s="39"/>
      <c r="AA132" s="39"/>
      <c r="AB132" s="39"/>
      <c r="AC132" s="39"/>
      <c r="AD132" s="39"/>
      <c r="AE132" s="39"/>
      <c r="AF132" s="39"/>
      <c r="AG132" s="39"/>
      <c r="AH132" s="39"/>
    </row>
    <row r="133" spans="1:34" s="38" customFormat="1" x14ac:dyDescent="0.25">
      <c r="A133" s="52">
        <v>17</v>
      </c>
      <c r="B133" s="53">
        <f t="shared" ref="B133:B196" si="5">EDATE($L$2,-A133)</f>
        <v>40756</v>
      </c>
      <c r="C133" s="53">
        <f t="shared" ref="C133:C196" si="6">IF(B133&lt;&gt;B132,B133,EDATE(C132,1))</f>
        <v>40848</v>
      </c>
      <c r="D133" s="55">
        <v>873000</v>
      </c>
      <c r="E133" s="56">
        <v>69000</v>
      </c>
      <c r="F133" s="57"/>
      <c r="H133" s="39"/>
      <c r="I133" s="39"/>
      <c r="J133" s="39"/>
      <c r="K133" s="39"/>
      <c r="L133" s="39"/>
      <c r="M133" s="39"/>
      <c r="N133" s="39"/>
      <c r="O133" s="39"/>
      <c r="P133" s="39"/>
      <c r="Q133" s="39"/>
      <c r="R133" s="39"/>
      <c r="S133" s="39"/>
      <c r="T133" s="39"/>
      <c r="U133" s="39"/>
      <c r="V133" s="39"/>
      <c r="W133" s="39"/>
      <c r="X133" s="39"/>
      <c r="Y133" s="39"/>
      <c r="Z133" s="39"/>
      <c r="AA133" s="39"/>
      <c r="AB133" s="39"/>
      <c r="AC133" s="39"/>
      <c r="AD133" s="39"/>
      <c r="AE133" s="39"/>
      <c r="AF133" s="39"/>
      <c r="AG133" s="39"/>
      <c r="AH133" s="39"/>
    </row>
    <row r="134" spans="1:34" s="38" customFormat="1" x14ac:dyDescent="0.25">
      <c r="A134" s="52">
        <v>17</v>
      </c>
      <c r="B134" s="53">
        <f t="shared" si="5"/>
        <v>40756</v>
      </c>
      <c r="C134" s="53">
        <f t="shared" si="6"/>
        <v>40878</v>
      </c>
      <c r="D134" s="55">
        <v>291000</v>
      </c>
      <c r="E134" s="56">
        <v>69000</v>
      </c>
      <c r="F134" s="57"/>
      <c r="H134" s="39"/>
      <c r="I134" s="39"/>
      <c r="J134" s="39"/>
      <c r="K134" s="39"/>
      <c r="L134" s="39"/>
      <c r="M134" s="39"/>
      <c r="N134" s="39"/>
      <c r="O134" s="39"/>
      <c r="P134" s="39"/>
      <c r="Q134" s="39"/>
      <c r="R134" s="39"/>
      <c r="S134" s="39"/>
      <c r="T134" s="39"/>
      <c r="U134" s="39"/>
      <c r="V134" s="39"/>
      <c r="W134" s="39"/>
      <c r="X134" s="39"/>
      <c r="Y134" s="39"/>
      <c r="Z134" s="39"/>
      <c r="AA134" s="39"/>
      <c r="AB134" s="39"/>
      <c r="AC134" s="39"/>
      <c r="AD134" s="39"/>
      <c r="AE134" s="39"/>
      <c r="AF134" s="39"/>
      <c r="AG134" s="39"/>
      <c r="AH134" s="39"/>
    </row>
    <row r="135" spans="1:34" s="38" customFormat="1" x14ac:dyDescent="0.25">
      <c r="A135" s="52">
        <v>17</v>
      </c>
      <c r="B135" s="53">
        <f t="shared" si="5"/>
        <v>40756</v>
      </c>
      <c r="C135" s="53">
        <f t="shared" si="6"/>
        <v>40909</v>
      </c>
      <c r="D135" s="55">
        <v>101000</v>
      </c>
      <c r="E135" s="56">
        <v>15000</v>
      </c>
      <c r="F135" s="57"/>
      <c r="H135" s="39"/>
      <c r="I135" s="39"/>
      <c r="J135" s="39"/>
      <c r="K135" s="39"/>
      <c r="L135" s="39"/>
      <c r="M135" s="39"/>
      <c r="N135" s="39"/>
      <c r="O135" s="39"/>
      <c r="P135" s="39"/>
      <c r="Q135" s="39"/>
      <c r="R135" s="39"/>
      <c r="S135" s="39"/>
      <c r="T135" s="39"/>
      <c r="U135" s="39"/>
      <c r="V135" s="39"/>
      <c r="W135" s="39"/>
      <c r="X135" s="39"/>
      <c r="Y135" s="39"/>
      <c r="Z135" s="39"/>
      <c r="AA135" s="39"/>
      <c r="AB135" s="39"/>
      <c r="AC135" s="39"/>
      <c r="AD135" s="39"/>
      <c r="AE135" s="39"/>
      <c r="AF135" s="39"/>
      <c r="AG135" s="39"/>
      <c r="AH135" s="39"/>
    </row>
    <row r="136" spans="1:34" s="38" customFormat="1" x14ac:dyDescent="0.25">
      <c r="A136" s="52">
        <v>17</v>
      </c>
      <c r="B136" s="53">
        <f t="shared" si="5"/>
        <v>40756</v>
      </c>
      <c r="C136" s="53">
        <f t="shared" si="6"/>
        <v>40940</v>
      </c>
      <c r="D136" s="55">
        <v>62000</v>
      </c>
      <c r="E136" s="56">
        <v>3000</v>
      </c>
      <c r="F136" s="57"/>
      <c r="H136" s="39"/>
      <c r="I136" s="39"/>
      <c r="J136" s="39"/>
      <c r="K136" s="39"/>
      <c r="L136" s="39"/>
      <c r="M136" s="39"/>
      <c r="N136" s="39"/>
      <c r="O136" s="39"/>
      <c r="P136" s="39"/>
      <c r="Q136" s="39"/>
      <c r="R136" s="39"/>
      <c r="S136" s="39"/>
      <c r="T136" s="39"/>
      <c r="U136" s="39"/>
      <c r="V136" s="39"/>
      <c r="W136" s="39"/>
      <c r="X136" s="39"/>
      <c r="Y136" s="39"/>
      <c r="Z136" s="39"/>
      <c r="AA136" s="39"/>
      <c r="AB136" s="39"/>
      <c r="AC136" s="39"/>
      <c r="AD136" s="39"/>
      <c r="AE136" s="39"/>
      <c r="AF136" s="39"/>
      <c r="AG136" s="39"/>
      <c r="AH136" s="39"/>
    </row>
    <row r="137" spans="1:34" s="38" customFormat="1" x14ac:dyDescent="0.25">
      <c r="A137" s="52">
        <v>17</v>
      </c>
      <c r="B137" s="53">
        <f t="shared" si="5"/>
        <v>40756</v>
      </c>
      <c r="C137" s="53">
        <f t="shared" si="6"/>
        <v>40969</v>
      </c>
      <c r="D137" s="55">
        <v>53000</v>
      </c>
      <c r="E137" s="56">
        <v>12000</v>
      </c>
      <c r="F137" s="57"/>
      <c r="H137" s="39"/>
      <c r="I137" s="39"/>
      <c r="J137" s="39"/>
      <c r="K137" s="39"/>
      <c r="L137" s="39"/>
      <c r="M137" s="39"/>
      <c r="N137" s="39"/>
      <c r="O137" s="39"/>
      <c r="P137" s="39"/>
      <c r="Q137" s="39"/>
      <c r="R137" s="39"/>
      <c r="S137" s="39"/>
      <c r="T137" s="39"/>
      <c r="U137" s="39"/>
      <c r="V137" s="39"/>
      <c r="W137" s="39"/>
      <c r="X137" s="39"/>
      <c r="Y137" s="39"/>
      <c r="Z137" s="39"/>
      <c r="AA137" s="39"/>
      <c r="AB137" s="39"/>
      <c r="AC137" s="39"/>
      <c r="AD137" s="39"/>
      <c r="AE137" s="39"/>
      <c r="AF137" s="39"/>
      <c r="AG137" s="39"/>
      <c r="AH137" s="39"/>
    </row>
    <row r="138" spans="1:34" s="38" customFormat="1" x14ac:dyDescent="0.25">
      <c r="A138" s="52">
        <v>17</v>
      </c>
      <c r="B138" s="53">
        <f t="shared" si="5"/>
        <v>40756</v>
      </c>
      <c r="C138" s="53">
        <f t="shared" si="6"/>
        <v>41000</v>
      </c>
      <c r="D138" s="55">
        <v>-14000</v>
      </c>
      <c r="E138" s="56">
        <v>15000</v>
      </c>
      <c r="F138" s="57"/>
      <c r="H138" s="39"/>
      <c r="I138" s="39"/>
      <c r="J138" s="39"/>
      <c r="K138" s="39"/>
      <c r="L138" s="39"/>
      <c r="M138" s="39"/>
      <c r="N138" s="39"/>
      <c r="O138" s="39"/>
      <c r="P138" s="39"/>
      <c r="Q138" s="39"/>
      <c r="R138" s="39"/>
      <c r="S138" s="39"/>
      <c r="T138" s="39"/>
      <c r="U138" s="39"/>
      <c r="V138" s="39"/>
      <c r="W138" s="39"/>
      <c r="X138" s="39"/>
      <c r="Y138" s="39"/>
      <c r="Z138" s="39"/>
      <c r="AA138" s="39"/>
      <c r="AB138" s="39"/>
      <c r="AC138" s="39"/>
      <c r="AD138" s="39"/>
      <c r="AE138" s="39"/>
      <c r="AF138" s="39"/>
      <c r="AG138" s="39"/>
      <c r="AH138" s="39"/>
    </row>
    <row r="139" spans="1:34" s="38" customFormat="1" x14ac:dyDescent="0.25">
      <c r="A139" s="52">
        <v>17</v>
      </c>
      <c r="B139" s="53">
        <f t="shared" si="5"/>
        <v>40756</v>
      </c>
      <c r="C139" s="53">
        <f t="shared" si="6"/>
        <v>41030</v>
      </c>
      <c r="D139" s="55">
        <v>27000</v>
      </c>
      <c r="E139" s="56">
        <v>2000</v>
      </c>
      <c r="F139" s="57"/>
      <c r="H139" s="39"/>
      <c r="I139" s="39"/>
      <c r="J139" s="39"/>
      <c r="K139" s="39"/>
      <c r="L139" s="39"/>
      <c r="M139" s="39"/>
      <c r="N139" s="39"/>
      <c r="O139" s="39"/>
      <c r="P139" s="39"/>
      <c r="Q139" s="39"/>
      <c r="R139" s="39"/>
      <c r="S139" s="39"/>
      <c r="T139" s="39"/>
      <c r="U139" s="39"/>
      <c r="V139" s="39"/>
      <c r="W139" s="39"/>
      <c r="X139" s="39"/>
      <c r="Y139" s="39"/>
      <c r="Z139" s="39"/>
      <c r="AA139" s="39"/>
      <c r="AB139" s="39"/>
      <c r="AC139" s="39"/>
      <c r="AD139" s="39"/>
      <c r="AE139" s="39"/>
      <c r="AF139" s="39"/>
      <c r="AG139" s="39"/>
      <c r="AH139" s="39"/>
    </row>
    <row r="140" spans="1:34" s="38" customFormat="1" x14ac:dyDescent="0.25">
      <c r="A140" s="52">
        <v>17</v>
      </c>
      <c r="B140" s="53">
        <f t="shared" si="5"/>
        <v>40756</v>
      </c>
      <c r="C140" s="53">
        <f t="shared" si="6"/>
        <v>41061</v>
      </c>
      <c r="D140" s="55">
        <v>17000</v>
      </c>
      <c r="E140" s="56">
        <v>1000</v>
      </c>
      <c r="F140" s="57"/>
      <c r="H140" s="39"/>
      <c r="I140" s="39"/>
      <c r="J140" s="39"/>
      <c r="K140" s="39"/>
      <c r="L140" s="39"/>
      <c r="M140" s="39"/>
      <c r="N140" s="39"/>
      <c r="O140" s="39"/>
      <c r="P140" s="39"/>
      <c r="Q140" s="39"/>
      <c r="R140" s="39"/>
      <c r="S140" s="39"/>
      <c r="T140" s="39"/>
      <c r="U140" s="39"/>
      <c r="V140" s="39"/>
      <c r="W140" s="39"/>
      <c r="X140" s="39"/>
      <c r="Y140" s="39"/>
      <c r="Z140" s="39"/>
      <c r="AA140" s="39"/>
      <c r="AB140" s="39"/>
      <c r="AC140" s="39"/>
      <c r="AD140" s="39"/>
      <c r="AE140" s="39"/>
      <c r="AF140" s="39"/>
      <c r="AG140" s="39"/>
      <c r="AH140" s="39"/>
    </row>
    <row r="141" spans="1:34" s="38" customFormat="1" x14ac:dyDescent="0.25">
      <c r="A141" s="52">
        <v>17</v>
      </c>
      <c r="B141" s="53">
        <f t="shared" si="5"/>
        <v>40756</v>
      </c>
      <c r="C141" s="53">
        <f t="shared" si="6"/>
        <v>41091</v>
      </c>
      <c r="D141" s="55">
        <v>56000</v>
      </c>
      <c r="E141" s="56">
        <v>0</v>
      </c>
      <c r="F141" s="57"/>
      <c r="H141" s="39"/>
      <c r="I141" s="39"/>
      <c r="J141" s="39"/>
      <c r="K141" s="39"/>
      <c r="L141" s="39"/>
      <c r="M141" s="39"/>
      <c r="N141" s="39"/>
      <c r="O141" s="39"/>
      <c r="P141" s="39"/>
      <c r="Q141" s="39"/>
      <c r="R141" s="39"/>
      <c r="S141" s="39"/>
      <c r="T141" s="39"/>
      <c r="U141" s="39"/>
      <c r="V141" s="39"/>
      <c r="W141" s="39"/>
      <c r="X141" s="39"/>
      <c r="Y141" s="39"/>
      <c r="Z141" s="39"/>
      <c r="AA141" s="39"/>
      <c r="AB141" s="39"/>
      <c r="AC141" s="39"/>
      <c r="AD141" s="39"/>
      <c r="AE141" s="39"/>
      <c r="AF141" s="39"/>
      <c r="AG141" s="39"/>
      <c r="AH141" s="39"/>
    </row>
    <row r="142" spans="1:34" s="38" customFormat="1" x14ac:dyDescent="0.25">
      <c r="A142" s="52">
        <v>17</v>
      </c>
      <c r="B142" s="53">
        <f t="shared" si="5"/>
        <v>40756</v>
      </c>
      <c r="C142" s="53">
        <f t="shared" si="6"/>
        <v>41122</v>
      </c>
      <c r="D142" s="55">
        <v>9500</v>
      </c>
      <c r="E142" s="56">
        <v>14500</v>
      </c>
      <c r="F142" s="57"/>
      <c r="H142" s="39"/>
      <c r="I142" s="39"/>
      <c r="J142" s="39"/>
      <c r="K142" s="39"/>
      <c r="L142" s="39"/>
      <c r="M142" s="39"/>
      <c r="N142" s="39"/>
      <c r="O142" s="39"/>
      <c r="P142" s="39"/>
      <c r="Q142" s="39"/>
      <c r="R142" s="39"/>
      <c r="S142" s="39"/>
      <c r="T142" s="39"/>
      <c r="U142" s="39"/>
      <c r="V142" s="39"/>
      <c r="W142" s="39"/>
      <c r="X142" s="39"/>
      <c r="Y142" s="39"/>
      <c r="Z142" s="39"/>
      <c r="AA142" s="39"/>
      <c r="AB142" s="39"/>
      <c r="AC142" s="39"/>
      <c r="AD142" s="39"/>
      <c r="AE142" s="39"/>
      <c r="AF142" s="39"/>
      <c r="AG142" s="39"/>
      <c r="AH142" s="39"/>
    </row>
    <row r="143" spans="1:34" s="38" customFormat="1" x14ac:dyDescent="0.25">
      <c r="A143" s="52">
        <v>17</v>
      </c>
      <c r="B143" s="53">
        <f t="shared" si="5"/>
        <v>40756</v>
      </c>
      <c r="C143" s="53">
        <f t="shared" si="6"/>
        <v>41153</v>
      </c>
      <c r="D143" s="55">
        <v>2000</v>
      </c>
      <c r="E143" s="56">
        <v>0</v>
      </c>
      <c r="F143" s="57"/>
      <c r="H143" s="39"/>
      <c r="I143" s="39"/>
      <c r="J143" s="39"/>
      <c r="K143" s="39"/>
      <c r="L143" s="39"/>
      <c r="M143" s="39"/>
      <c r="N143" s="39"/>
      <c r="O143" s="39"/>
      <c r="P143" s="39"/>
      <c r="Q143" s="39"/>
      <c r="R143" s="39"/>
      <c r="S143" s="39"/>
      <c r="T143" s="39"/>
      <c r="U143" s="39"/>
      <c r="V143" s="39"/>
      <c r="W143" s="39"/>
      <c r="X143" s="39"/>
      <c r="Y143" s="39"/>
      <c r="Z143" s="39"/>
      <c r="AA143" s="39"/>
      <c r="AB143" s="39"/>
      <c r="AC143" s="39"/>
      <c r="AD143" s="39"/>
      <c r="AE143" s="39"/>
      <c r="AF143" s="39"/>
      <c r="AG143" s="39"/>
      <c r="AH143" s="39"/>
    </row>
    <row r="144" spans="1:34" s="38" customFormat="1" x14ac:dyDescent="0.25">
      <c r="A144" s="52">
        <v>17</v>
      </c>
      <c r="B144" s="53">
        <f t="shared" si="5"/>
        <v>40756</v>
      </c>
      <c r="C144" s="53">
        <f t="shared" si="6"/>
        <v>41183</v>
      </c>
      <c r="D144" s="55">
        <v>-2000</v>
      </c>
      <c r="E144" s="56">
        <v>5000</v>
      </c>
      <c r="F144" s="57"/>
      <c r="H144" s="39"/>
      <c r="I144" s="39"/>
      <c r="J144" s="39"/>
      <c r="K144" s="39"/>
      <c r="L144" s="39"/>
      <c r="M144" s="39"/>
      <c r="N144" s="39"/>
      <c r="O144" s="39"/>
      <c r="P144" s="39"/>
      <c r="Q144" s="39"/>
      <c r="R144" s="39"/>
      <c r="S144" s="39"/>
      <c r="T144" s="39"/>
      <c r="U144" s="39"/>
      <c r="V144" s="39"/>
      <c r="W144" s="39"/>
      <c r="X144" s="39"/>
      <c r="Y144" s="39"/>
      <c r="Z144" s="39"/>
      <c r="AA144" s="39"/>
      <c r="AB144" s="39"/>
      <c r="AC144" s="39"/>
      <c r="AD144" s="39"/>
      <c r="AE144" s="39"/>
      <c r="AF144" s="39"/>
      <c r="AG144" s="39"/>
      <c r="AH144" s="39"/>
    </row>
    <row r="145" spans="1:34" s="38" customFormat="1" x14ac:dyDescent="0.25">
      <c r="A145" s="52">
        <v>17</v>
      </c>
      <c r="B145" s="53">
        <f t="shared" si="5"/>
        <v>40756</v>
      </c>
      <c r="C145" s="53">
        <f t="shared" si="6"/>
        <v>41214</v>
      </c>
      <c r="D145" s="55">
        <v>-1000</v>
      </c>
      <c r="E145" s="56">
        <v>1000</v>
      </c>
      <c r="F145" s="57"/>
      <c r="H145" s="39"/>
      <c r="I145" s="39"/>
      <c r="J145" s="39"/>
      <c r="K145" s="39"/>
      <c r="L145" s="39"/>
      <c r="M145" s="39"/>
      <c r="N145" s="39"/>
      <c r="O145" s="39"/>
      <c r="P145" s="39"/>
      <c r="Q145" s="39"/>
      <c r="R145" s="39"/>
      <c r="S145" s="39"/>
      <c r="T145" s="39"/>
      <c r="U145" s="39"/>
      <c r="V145" s="39"/>
      <c r="W145" s="39"/>
      <c r="X145" s="39"/>
      <c r="Y145" s="39"/>
      <c r="Z145" s="39"/>
      <c r="AA145" s="39"/>
      <c r="AB145" s="39"/>
      <c r="AC145" s="39"/>
      <c r="AD145" s="39"/>
      <c r="AE145" s="39"/>
      <c r="AF145" s="39"/>
      <c r="AG145" s="39"/>
      <c r="AH145" s="39"/>
    </row>
    <row r="146" spans="1:34" s="38" customFormat="1" x14ac:dyDescent="0.25">
      <c r="A146" s="52">
        <v>17</v>
      </c>
      <c r="B146" s="53">
        <f t="shared" si="5"/>
        <v>40756</v>
      </c>
      <c r="C146" s="53">
        <f t="shared" si="6"/>
        <v>41244</v>
      </c>
      <c r="D146" s="55">
        <v>12000</v>
      </c>
      <c r="E146" s="56">
        <v>0</v>
      </c>
      <c r="F146" s="57"/>
      <c r="H146" s="39"/>
      <c r="I146" s="39"/>
      <c r="J146" s="39"/>
      <c r="K146" s="39"/>
      <c r="L146" s="39"/>
      <c r="M146" s="39"/>
      <c r="N146" s="39"/>
      <c r="O146" s="39"/>
      <c r="P146" s="39"/>
      <c r="Q146" s="39"/>
      <c r="R146" s="39"/>
      <c r="S146" s="39"/>
      <c r="T146" s="39"/>
      <c r="U146" s="39"/>
      <c r="V146" s="39"/>
      <c r="W146" s="39"/>
      <c r="X146" s="39"/>
      <c r="Y146" s="39"/>
      <c r="Z146" s="39"/>
      <c r="AA146" s="39"/>
      <c r="AB146" s="39"/>
      <c r="AC146" s="39"/>
      <c r="AD146" s="39"/>
      <c r="AE146" s="39"/>
      <c r="AF146" s="39"/>
      <c r="AG146" s="39"/>
      <c r="AH146" s="39"/>
    </row>
    <row r="147" spans="1:34" s="38" customFormat="1" x14ac:dyDescent="0.25">
      <c r="A147" s="52">
        <v>16</v>
      </c>
      <c r="B147" s="53">
        <f t="shared" si="5"/>
        <v>40787</v>
      </c>
      <c r="C147" s="53">
        <f t="shared" si="6"/>
        <v>40787</v>
      </c>
      <c r="D147" s="55">
        <v>2003000</v>
      </c>
      <c r="E147" s="56">
        <v>487000</v>
      </c>
      <c r="F147" s="57"/>
      <c r="H147" s="39"/>
      <c r="I147" s="39"/>
      <c r="J147" s="39"/>
      <c r="K147" s="39"/>
      <c r="L147" s="39"/>
      <c r="M147" s="39"/>
      <c r="N147" s="39"/>
      <c r="O147" s="39"/>
      <c r="P147" s="39"/>
      <c r="Q147" s="39"/>
      <c r="R147" s="39"/>
      <c r="S147" s="39"/>
      <c r="T147" s="39"/>
      <c r="U147" s="39"/>
      <c r="V147" s="39"/>
      <c r="W147" s="39"/>
      <c r="X147" s="39"/>
      <c r="Y147" s="39"/>
      <c r="Z147" s="39"/>
      <c r="AA147" s="39"/>
      <c r="AB147" s="39"/>
      <c r="AC147" s="39"/>
      <c r="AD147" s="39"/>
      <c r="AE147" s="39"/>
      <c r="AF147" s="39"/>
      <c r="AG147" s="39"/>
      <c r="AH147" s="39"/>
    </row>
    <row r="148" spans="1:34" s="38" customFormat="1" x14ac:dyDescent="0.25">
      <c r="A148" s="52">
        <v>16</v>
      </c>
      <c r="B148" s="53">
        <f t="shared" si="5"/>
        <v>40787</v>
      </c>
      <c r="C148" s="53">
        <f t="shared" si="6"/>
        <v>40817</v>
      </c>
      <c r="D148" s="55">
        <v>4356000</v>
      </c>
      <c r="E148" s="56">
        <v>513000</v>
      </c>
      <c r="F148" s="57"/>
      <c r="H148" s="39"/>
      <c r="I148" s="39"/>
      <c r="J148" s="39"/>
      <c r="K148" s="39"/>
      <c r="L148" s="39"/>
      <c r="M148" s="39"/>
      <c r="N148" s="39"/>
      <c r="O148" s="39"/>
      <c r="P148" s="39"/>
      <c r="Q148" s="39"/>
      <c r="R148" s="39"/>
      <c r="S148" s="39"/>
      <c r="T148" s="39"/>
      <c r="U148" s="39"/>
      <c r="V148" s="39"/>
      <c r="W148" s="39"/>
      <c r="X148" s="39"/>
      <c r="Y148" s="39"/>
      <c r="Z148" s="39"/>
      <c r="AA148" s="39"/>
      <c r="AB148" s="39"/>
      <c r="AC148" s="39"/>
      <c r="AD148" s="39"/>
      <c r="AE148" s="39"/>
      <c r="AF148" s="39"/>
      <c r="AG148" s="39"/>
      <c r="AH148" s="39"/>
    </row>
    <row r="149" spans="1:34" s="38" customFormat="1" x14ac:dyDescent="0.25">
      <c r="A149" s="52">
        <v>16</v>
      </c>
      <c r="B149" s="53">
        <f t="shared" si="5"/>
        <v>40787</v>
      </c>
      <c r="C149" s="53">
        <f t="shared" si="6"/>
        <v>40848</v>
      </c>
      <c r="D149" s="55">
        <v>1255000</v>
      </c>
      <c r="E149" s="56">
        <v>151000</v>
      </c>
      <c r="F149" s="57"/>
      <c r="H149" s="39"/>
      <c r="I149" s="39"/>
      <c r="J149" s="39"/>
      <c r="K149" s="39"/>
      <c r="L149" s="39"/>
      <c r="M149" s="39"/>
      <c r="N149" s="39"/>
      <c r="O149" s="39"/>
      <c r="P149" s="39"/>
      <c r="Q149" s="39"/>
      <c r="R149" s="39"/>
      <c r="S149" s="39"/>
      <c r="T149" s="39"/>
      <c r="U149" s="39"/>
      <c r="V149" s="39"/>
      <c r="W149" s="39"/>
      <c r="X149" s="39"/>
      <c r="Y149" s="39"/>
      <c r="Z149" s="39"/>
      <c r="AA149" s="39"/>
      <c r="AB149" s="39"/>
      <c r="AC149" s="39"/>
      <c r="AD149" s="39"/>
      <c r="AE149" s="39"/>
      <c r="AF149" s="39"/>
      <c r="AG149" s="39"/>
      <c r="AH149" s="39"/>
    </row>
    <row r="150" spans="1:34" s="38" customFormat="1" x14ac:dyDescent="0.25">
      <c r="A150" s="52">
        <v>16</v>
      </c>
      <c r="B150" s="53">
        <f t="shared" si="5"/>
        <v>40787</v>
      </c>
      <c r="C150" s="53">
        <f t="shared" si="6"/>
        <v>40878</v>
      </c>
      <c r="D150" s="55">
        <v>560000</v>
      </c>
      <c r="E150" s="56">
        <v>56000</v>
      </c>
      <c r="F150" s="57"/>
      <c r="H150" s="39"/>
      <c r="I150" s="39"/>
      <c r="J150" s="39"/>
      <c r="K150" s="39"/>
      <c r="L150" s="39"/>
      <c r="M150" s="39"/>
      <c r="N150" s="39"/>
      <c r="O150" s="39"/>
      <c r="P150" s="39"/>
      <c r="Q150" s="39"/>
      <c r="R150" s="39"/>
      <c r="S150" s="39"/>
      <c r="T150" s="39"/>
      <c r="U150" s="39"/>
      <c r="V150" s="39"/>
      <c r="W150" s="39"/>
      <c r="X150" s="39"/>
      <c r="Y150" s="39"/>
      <c r="Z150" s="39"/>
      <c r="AA150" s="39"/>
      <c r="AB150" s="39"/>
      <c r="AC150" s="39"/>
      <c r="AD150" s="39"/>
      <c r="AE150" s="39"/>
      <c r="AF150" s="39"/>
      <c r="AG150" s="39"/>
      <c r="AH150" s="39"/>
    </row>
    <row r="151" spans="1:34" s="38" customFormat="1" x14ac:dyDescent="0.25">
      <c r="A151" s="52">
        <v>16</v>
      </c>
      <c r="B151" s="53">
        <f t="shared" si="5"/>
        <v>40787</v>
      </c>
      <c r="C151" s="53">
        <f t="shared" si="6"/>
        <v>40909</v>
      </c>
      <c r="D151" s="55">
        <v>224000</v>
      </c>
      <c r="E151" s="56">
        <v>19000</v>
      </c>
      <c r="F151" s="57"/>
      <c r="H151" s="39"/>
      <c r="I151" s="39"/>
      <c r="J151" s="39"/>
      <c r="K151" s="39"/>
      <c r="L151" s="39"/>
      <c r="M151" s="39"/>
      <c r="N151" s="39"/>
      <c r="O151" s="39"/>
      <c r="P151" s="39"/>
      <c r="Q151" s="39"/>
      <c r="R151" s="39"/>
      <c r="S151" s="39"/>
      <c r="T151" s="39"/>
      <c r="U151" s="39"/>
      <c r="V151" s="39"/>
      <c r="W151" s="39"/>
      <c r="X151" s="39"/>
      <c r="Y151" s="39"/>
      <c r="Z151" s="39"/>
      <c r="AA151" s="39"/>
      <c r="AB151" s="39"/>
      <c r="AC151" s="39"/>
      <c r="AD151" s="39"/>
      <c r="AE151" s="39"/>
      <c r="AF151" s="39"/>
      <c r="AG151" s="39"/>
      <c r="AH151" s="39"/>
    </row>
    <row r="152" spans="1:34" s="38" customFormat="1" x14ac:dyDescent="0.25">
      <c r="A152" s="52">
        <v>16</v>
      </c>
      <c r="B152" s="53">
        <f t="shared" si="5"/>
        <v>40787</v>
      </c>
      <c r="C152" s="53">
        <f t="shared" si="6"/>
        <v>40940</v>
      </c>
      <c r="D152" s="55">
        <v>92000</v>
      </c>
      <c r="E152" s="56">
        <v>2000</v>
      </c>
      <c r="F152" s="57"/>
      <c r="H152" s="39"/>
      <c r="I152" s="39"/>
      <c r="J152" s="39"/>
      <c r="K152" s="39"/>
      <c r="L152" s="39"/>
      <c r="M152" s="39"/>
      <c r="N152" s="39"/>
      <c r="O152" s="39"/>
      <c r="P152" s="39"/>
      <c r="Q152" s="39"/>
      <c r="R152" s="39"/>
      <c r="S152" s="39"/>
      <c r="T152" s="39"/>
      <c r="U152" s="39"/>
      <c r="V152" s="39"/>
      <c r="W152" s="39"/>
      <c r="X152" s="39"/>
      <c r="Y152" s="39"/>
      <c r="Z152" s="39"/>
      <c r="AA152" s="39"/>
      <c r="AB152" s="39"/>
      <c r="AC152" s="39"/>
      <c r="AD152" s="39"/>
      <c r="AE152" s="39"/>
      <c r="AF152" s="39"/>
      <c r="AG152" s="39"/>
      <c r="AH152" s="39"/>
    </row>
    <row r="153" spans="1:34" s="38" customFormat="1" x14ac:dyDescent="0.25">
      <c r="A153" s="52">
        <v>16</v>
      </c>
      <c r="B153" s="53">
        <f t="shared" si="5"/>
        <v>40787</v>
      </c>
      <c r="C153" s="53">
        <f t="shared" si="6"/>
        <v>40969</v>
      </c>
      <c r="D153" s="55">
        <v>67000</v>
      </c>
      <c r="E153" s="56">
        <v>1000</v>
      </c>
      <c r="F153" s="57"/>
      <c r="H153" s="39"/>
      <c r="I153" s="39"/>
      <c r="J153" s="39"/>
      <c r="K153" s="39"/>
      <c r="L153" s="39"/>
      <c r="M153" s="39"/>
      <c r="N153" s="39"/>
      <c r="O153" s="39"/>
      <c r="P153" s="39"/>
      <c r="Q153" s="39"/>
      <c r="R153" s="39"/>
      <c r="S153" s="39"/>
      <c r="T153" s="39"/>
      <c r="U153" s="39"/>
      <c r="V153" s="39"/>
      <c r="W153" s="39"/>
      <c r="X153" s="39"/>
      <c r="Y153" s="39"/>
      <c r="Z153" s="39"/>
      <c r="AA153" s="39"/>
      <c r="AB153" s="39"/>
      <c r="AC153" s="39"/>
      <c r="AD153" s="39"/>
      <c r="AE153" s="39"/>
      <c r="AF153" s="39"/>
      <c r="AG153" s="39"/>
      <c r="AH153" s="39"/>
    </row>
    <row r="154" spans="1:34" s="38" customFormat="1" x14ac:dyDescent="0.25">
      <c r="A154" s="52">
        <v>16</v>
      </c>
      <c r="B154" s="53">
        <f t="shared" si="5"/>
        <v>40787</v>
      </c>
      <c r="C154" s="53">
        <f t="shared" si="6"/>
        <v>41000</v>
      </c>
      <c r="D154" s="55">
        <v>25000</v>
      </c>
      <c r="E154" s="56">
        <v>5000</v>
      </c>
      <c r="F154" s="57"/>
      <c r="H154" s="39"/>
      <c r="I154" s="39"/>
      <c r="J154" s="39"/>
      <c r="K154" s="39"/>
      <c r="L154" s="39"/>
      <c r="M154" s="39"/>
      <c r="N154" s="39"/>
      <c r="O154" s="39"/>
      <c r="P154" s="39"/>
      <c r="Q154" s="39"/>
      <c r="R154" s="39"/>
      <c r="S154" s="39"/>
      <c r="T154" s="39"/>
      <c r="U154" s="39"/>
      <c r="V154" s="39"/>
      <c r="W154" s="39"/>
      <c r="X154" s="39"/>
      <c r="Y154" s="39"/>
      <c r="Z154" s="39"/>
      <c r="AA154" s="39"/>
      <c r="AB154" s="39"/>
      <c r="AC154" s="39"/>
      <c r="AD154" s="39"/>
      <c r="AE154" s="39"/>
      <c r="AF154" s="39"/>
      <c r="AG154" s="39"/>
      <c r="AH154" s="39"/>
    </row>
    <row r="155" spans="1:34" s="38" customFormat="1" x14ac:dyDescent="0.25">
      <c r="A155" s="52">
        <v>16</v>
      </c>
      <c r="B155" s="53">
        <f t="shared" si="5"/>
        <v>40787</v>
      </c>
      <c r="C155" s="53">
        <f t="shared" si="6"/>
        <v>41030</v>
      </c>
      <c r="D155" s="55">
        <v>17000</v>
      </c>
      <c r="E155" s="56">
        <v>1000</v>
      </c>
      <c r="F155" s="57"/>
      <c r="H155" s="39"/>
      <c r="I155" s="39"/>
      <c r="J155" s="39"/>
      <c r="K155" s="39"/>
      <c r="L155" s="39"/>
      <c r="M155" s="39"/>
      <c r="N155" s="39"/>
      <c r="O155" s="39"/>
      <c r="P155" s="39"/>
      <c r="Q155" s="39"/>
      <c r="R155" s="39"/>
      <c r="S155" s="39"/>
      <c r="T155" s="39"/>
      <c r="U155" s="39"/>
      <c r="V155" s="39"/>
      <c r="W155" s="39"/>
      <c r="X155" s="39"/>
      <c r="Y155" s="39"/>
      <c r="Z155" s="39"/>
      <c r="AA155" s="39"/>
      <c r="AB155" s="39"/>
      <c r="AC155" s="39"/>
      <c r="AD155" s="39"/>
      <c r="AE155" s="39"/>
      <c r="AF155" s="39"/>
      <c r="AG155" s="39"/>
      <c r="AH155" s="39"/>
    </row>
    <row r="156" spans="1:34" s="38" customFormat="1" x14ac:dyDescent="0.25">
      <c r="A156" s="52">
        <v>16</v>
      </c>
      <c r="B156" s="53">
        <f t="shared" si="5"/>
        <v>40787</v>
      </c>
      <c r="C156" s="53">
        <f t="shared" si="6"/>
        <v>41061</v>
      </c>
      <c r="D156" s="55">
        <v>22000</v>
      </c>
      <c r="E156" s="56">
        <v>0</v>
      </c>
      <c r="F156" s="57"/>
      <c r="H156" s="39"/>
      <c r="I156" s="39"/>
      <c r="J156" s="39"/>
      <c r="K156" s="39"/>
      <c r="L156" s="39"/>
      <c r="M156" s="39"/>
      <c r="N156" s="39"/>
      <c r="O156" s="39"/>
      <c r="P156" s="39"/>
      <c r="Q156" s="39"/>
      <c r="R156" s="39"/>
      <c r="S156" s="39"/>
      <c r="T156" s="39"/>
      <c r="U156" s="39"/>
      <c r="V156" s="39"/>
      <c r="W156" s="39"/>
      <c r="X156" s="39"/>
      <c r="Y156" s="39"/>
      <c r="Z156" s="39"/>
      <c r="AA156" s="39"/>
      <c r="AB156" s="39"/>
      <c r="AC156" s="39"/>
      <c r="AD156" s="39"/>
      <c r="AE156" s="39"/>
      <c r="AF156" s="39"/>
      <c r="AG156" s="39"/>
      <c r="AH156" s="39"/>
    </row>
    <row r="157" spans="1:34" s="38" customFormat="1" x14ac:dyDescent="0.25">
      <c r="A157" s="52">
        <v>16</v>
      </c>
      <c r="B157" s="53">
        <f t="shared" si="5"/>
        <v>40787</v>
      </c>
      <c r="C157" s="53">
        <f t="shared" si="6"/>
        <v>41091</v>
      </c>
      <c r="D157" s="55">
        <v>2000</v>
      </c>
      <c r="E157" s="56">
        <v>0</v>
      </c>
      <c r="F157" s="57"/>
      <c r="H157" s="39"/>
      <c r="I157" s="39"/>
      <c r="J157" s="39"/>
      <c r="K157" s="39"/>
      <c r="L157" s="39"/>
      <c r="M157" s="39"/>
      <c r="N157" s="39"/>
      <c r="O157" s="39"/>
      <c r="P157" s="39"/>
      <c r="Q157" s="39"/>
      <c r="R157" s="39"/>
      <c r="S157" s="39"/>
      <c r="T157" s="39"/>
      <c r="U157" s="39"/>
      <c r="V157" s="39"/>
      <c r="W157" s="39"/>
      <c r="X157" s="39"/>
      <c r="Y157" s="39"/>
      <c r="Z157" s="39"/>
      <c r="AA157" s="39"/>
      <c r="AB157" s="39"/>
      <c r="AC157" s="39"/>
      <c r="AD157" s="39"/>
      <c r="AE157" s="39"/>
      <c r="AF157" s="39"/>
      <c r="AG157" s="39"/>
      <c r="AH157" s="39"/>
    </row>
    <row r="158" spans="1:34" s="38" customFormat="1" x14ac:dyDescent="0.25">
      <c r="A158" s="52">
        <v>16</v>
      </c>
      <c r="B158" s="53">
        <f t="shared" si="5"/>
        <v>40787</v>
      </c>
      <c r="C158" s="53">
        <f t="shared" si="6"/>
        <v>41122</v>
      </c>
      <c r="D158" s="55">
        <v>3000</v>
      </c>
      <c r="E158" s="56">
        <v>0</v>
      </c>
      <c r="F158" s="57"/>
      <c r="H158" s="39"/>
      <c r="I158" s="39"/>
      <c r="J158" s="39"/>
      <c r="K158" s="39"/>
      <c r="L158" s="39"/>
      <c r="M158" s="39"/>
      <c r="N158" s="39"/>
      <c r="O158" s="39"/>
      <c r="P158" s="39"/>
      <c r="Q158" s="39"/>
      <c r="R158" s="39"/>
      <c r="S158" s="39"/>
      <c r="T158" s="39"/>
      <c r="U158" s="39"/>
      <c r="V158" s="39"/>
      <c r="W158" s="39"/>
      <c r="X158" s="39"/>
      <c r="Y158" s="39"/>
      <c r="Z158" s="39"/>
      <c r="AA158" s="39"/>
      <c r="AB158" s="39"/>
      <c r="AC158" s="39"/>
      <c r="AD158" s="39"/>
      <c r="AE158" s="39"/>
      <c r="AF158" s="39"/>
      <c r="AG158" s="39"/>
      <c r="AH158" s="39"/>
    </row>
    <row r="159" spans="1:34" s="38" customFormat="1" x14ac:dyDescent="0.25">
      <c r="A159" s="52">
        <v>16</v>
      </c>
      <c r="B159" s="53">
        <f t="shared" si="5"/>
        <v>40787</v>
      </c>
      <c r="C159" s="53">
        <f t="shared" si="6"/>
        <v>41153</v>
      </c>
      <c r="D159" s="55">
        <v>-4000</v>
      </c>
      <c r="E159" s="56">
        <v>0</v>
      </c>
      <c r="F159" s="57"/>
      <c r="H159" s="39"/>
      <c r="I159" s="39"/>
      <c r="J159" s="39"/>
      <c r="K159" s="39"/>
      <c r="L159" s="39"/>
      <c r="M159" s="39"/>
      <c r="N159" s="39"/>
      <c r="O159" s="39"/>
      <c r="P159" s="39"/>
      <c r="Q159" s="39"/>
      <c r="R159" s="39"/>
      <c r="S159" s="39"/>
      <c r="T159" s="39"/>
      <c r="U159" s="39"/>
      <c r="V159" s="39"/>
      <c r="W159" s="39"/>
      <c r="X159" s="39"/>
      <c r="Y159" s="39"/>
      <c r="Z159" s="39"/>
      <c r="AA159" s="39"/>
      <c r="AB159" s="39"/>
      <c r="AC159" s="39"/>
      <c r="AD159" s="39"/>
      <c r="AE159" s="39"/>
      <c r="AF159" s="39"/>
      <c r="AG159" s="39"/>
      <c r="AH159" s="39"/>
    </row>
    <row r="160" spans="1:34" s="38" customFormat="1" x14ac:dyDescent="0.25">
      <c r="A160" s="52">
        <v>16</v>
      </c>
      <c r="B160" s="53">
        <f t="shared" si="5"/>
        <v>40787</v>
      </c>
      <c r="C160" s="53">
        <f t="shared" si="6"/>
        <v>41183</v>
      </c>
      <c r="D160" s="55">
        <v>3000</v>
      </c>
      <c r="E160" s="56">
        <v>0</v>
      </c>
      <c r="F160" s="57"/>
      <c r="H160" s="39"/>
      <c r="I160" s="39"/>
      <c r="J160" s="39"/>
      <c r="K160" s="39"/>
      <c r="L160" s="39"/>
      <c r="M160" s="39"/>
      <c r="N160" s="39"/>
      <c r="O160" s="39"/>
      <c r="P160" s="39"/>
      <c r="Q160" s="39"/>
      <c r="R160" s="39"/>
      <c r="S160" s="39"/>
      <c r="T160" s="39"/>
      <c r="U160" s="39"/>
      <c r="V160" s="39"/>
      <c r="W160" s="39"/>
      <c r="X160" s="39"/>
      <c r="Y160" s="39"/>
      <c r="Z160" s="39"/>
      <c r="AA160" s="39"/>
      <c r="AB160" s="39"/>
      <c r="AC160" s="39"/>
      <c r="AD160" s="39"/>
      <c r="AE160" s="39"/>
      <c r="AF160" s="39"/>
      <c r="AG160" s="39"/>
      <c r="AH160" s="39"/>
    </row>
    <row r="161" spans="1:34" s="38" customFormat="1" x14ac:dyDescent="0.25">
      <c r="A161" s="52">
        <v>16</v>
      </c>
      <c r="B161" s="53">
        <f t="shared" si="5"/>
        <v>40787</v>
      </c>
      <c r="C161" s="53">
        <f t="shared" si="6"/>
        <v>41214</v>
      </c>
      <c r="D161" s="55">
        <v>61000</v>
      </c>
      <c r="E161" s="56">
        <v>1000</v>
      </c>
      <c r="F161" s="57"/>
      <c r="H161" s="39"/>
      <c r="I161" s="39"/>
      <c r="J161" s="39"/>
      <c r="K161" s="39"/>
      <c r="L161" s="39"/>
      <c r="M161" s="39"/>
      <c r="N161" s="39"/>
      <c r="O161" s="39"/>
      <c r="P161" s="39"/>
      <c r="Q161" s="39"/>
      <c r="R161" s="39"/>
      <c r="S161" s="39"/>
      <c r="T161" s="39"/>
      <c r="U161" s="39"/>
      <c r="V161" s="39"/>
      <c r="W161" s="39"/>
      <c r="X161" s="39"/>
      <c r="Y161" s="39"/>
      <c r="Z161" s="39"/>
      <c r="AA161" s="39"/>
      <c r="AB161" s="39"/>
      <c r="AC161" s="39"/>
      <c r="AD161" s="39"/>
      <c r="AE161" s="39"/>
      <c r="AF161" s="39"/>
      <c r="AG161" s="39"/>
      <c r="AH161" s="39"/>
    </row>
    <row r="162" spans="1:34" s="38" customFormat="1" x14ac:dyDescent="0.25">
      <c r="A162" s="52">
        <v>16</v>
      </c>
      <c r="B162" s="53">
        <f t="shared" si="5"/>
        <v>40787</v>
      </c>
      <c r="C162" s="53">
        <f t="shared" si="6"/>
        <v>41244</v>
      </c>
      <c r="D162" s="55">
        <v>5000</v>
      </c>
      <c r="E162" s="56">
        <v>0</v>
      </c>
      <c r="F162" s="57"/>
      <c r="H162" s="39"/>
      <c r="I162" s="39"/>
      <c r="J162" s="39"/>
      <c r="K162" s="39"/>
      <c r="L162" s="39"/>
      <c r="M162" s="39"/>
      <c r="N162" s="39"/>
      <c r="O162" s="39"/>
      <c r="P162" s="39"/>
      <c r="Q162" s="39"/>
      <c r="R162" s="39"/>
      <c r="S162" s="39"/>
      <c r="T162" s="39"/>
      <c r="U162" s="39"/>
      <c r="V162" s="39"/>
      <c r="W162" s="39"/>
      <c r="X162" s="39"/>
      <c r="Y162" s="39"/>
      <c r="Z162" s="39"/>
      <c r="AA162" s="39"/>
      <c r="AB162" s="39"/>
      <c r="AC162" s="39"/>
      <c r="AD162" s="39"/>
      <c r="AE162" s="39"/>
      <c r="AF162" s="39"/>
      <c r="AG162" s="39"/>
      <c r="AH162" s="39"/>
    </row>
    <row r="163" spans="1:34" s="38" customFormat="1" x14ac:dyDescent="0.25">
      <c r="A163" s="52">
        <v>15</v>
      </c>
      <c r="B163" s="53">
        <f t="shared" si="5"/>
        <v>40817</v>
      </c>
      <c r="C163" s="53">
        <f t="shared" si="6"/>
        <v>40817</v>
      </c>
      <c r="D163" s="55">
        <v>2009000</v>
      </c>
      <c r="E163" s="56">
        <v>472000</v>
      </c>
      <c r="F163" s="57"/>
      <c r="H163" s="39"/>
      <c r="I163" s="39"/>
      <c r="J163" s="39"/>
      <c r="K163" s="39"/>
      <c r="L163" s="39"/>
      <c r="M163" s="39"/>
      <c r="N163" s="39"/>
      <c r="O163" s="39"/>
      <c r="P163" s="39"/>
      <c r="Q163" s="39"/>
      <c r="R163" s="39"/>
      <c r="S163" s="39"/>
      <c r="T163" s="39"/>
      <c r="U163" s="39"/>
      <c r="V163" s="39"/>
      <c r="W163" s="39"/>
      <c r="X163" s="39"/>
      <c r="Y163" s="39"/>
      <c r="Z163" s="39"/>
      <c r="AA163" s="39"/>
      <c r="AB163" s="39"/>
      <c r="AC163" s="39"/>
      <c r="AD163" s="39"/>
      <c r="AE163" s="39"/>
      <c r="AF163" s="39"/>
      <c r="AG163" s="39"/>
      <c r="AH163" s="39"/>
    </row>
    <row r="164" spans="1:34" s="38" customFormat="1" x14ac:dyDescent="0.25">
      <c r="A164" s="52">
        <v>15</v>
      </c>
      <c r="B164" s="53">
        <f t="shared" si="5"/>
        <v>40817</v>
      </c>
      <c r="C164" s="53">
        <f t="shared" si="6"/>
        <v>40848</v>
      </c>
      <c r="D164" s="55">
        <v>4883000</v>
      </c>
      <c r="E164" s="56">
        <v>432000</v>
      </c>
      <c r="F164" s="57"/>
      <c r="H164" s="39"/>
      <c r="I164" s="39"/>
      <c r="J164" s="39"/>
      <c r="K164" s="39"/>
      <c r="L164" s="39"/>
      <c r="M164" s="39"/>
      <c r="N164" s="39"/>
      <c r="O164" s="39"/>
      <c r="P164" s="39"/>
      <c r="Q164" s="39"/>
      <c r="R164" s="39"/>
      <c r="S164" s="39"/>
      <c r="T164" s="39"/>
      <c r="U164" s="39"/>
      <c r="V164" s="39"/>
      <c r="W164" s="39"/>
      <c r="X164" s="39"/>
      <c r="Y164" s="39"/>
      <c r="Z164" s="39"/>
      <c r="AA164" s="39"/>
      <c r="AB164" s="39"/>
      <c r="AC164" s="39"/>
      <c r="AD164" s="39"/>
      <c r="AE164" s="39"/>
      <c r="AF164" s="39"/>
      <c r="AG164" s="39"/>
      <c r="AH164" s="39"/>
    </row>
    <row r="165" spans="1:34" s="38" customFormat="1" x14ac:dyDescent="0.25">
      <c r="A165" s="52">
        <v>15</v>
      </c>
      <c r="B165" s="53">
        <f t="shared" si="5"/>
        <v>40817</v>
      </c>
      <c r="C165" s="53">
        <f t="shared" si="6"/>
        <v>40878</v>
      </c>
      <c r="D165" s="55">
        <v>1246000</v>
      </c>
      <c r="E165" s="56">
        <v>47000</v>
      </c>
      <c r="F165" s="57"/>
      <c r="H165" s="39"/>
      <c r="I165" s="39"/>
      <c r="J165" s="39"/>
      <c r="K165" s="39"/>
      <c r="L165" s="39"/>
      <c r="M165" s="39"/>
      <c r="N165" s="39"/>
      <c r="O165" s="39"/>
      <c r="P165" s="39"/>
      <c r="Q165" s="39"/>
      <c r="R165" s="39"/>
      <c r="S165" s="39"/>
      <c r="T165" s="39"/>
      <c r="U165" s="39"/>
      <c r="V165" s="39"/>
      <c r="W165" s="39"/>
      <c r="X165" s="39"/>
      <c r="Y165" s="39"/>
      <c r="Z165" s="39"/>
      <c r="AA165" s="39"/>
      <c r="AB165" s="39"/>
      <c r="AC165" s="39"/>
      <c r="AD165" s="39"/>
      <c r="AE165" s="39"/>
      <c r="AF165" s="39"/>
      <c r="AG165" s="39"/>
      <c r="AH165" s="39"/>
    </row>
    <row r="166" spans="1:34" s="38" customFormat="1" x14ac:dyDescent="0.25">
      <c r="A166" s="52">
        <v>15</v>
      </c>
      <c r="B166" s="53">
        <f t="shared" si="5"/>
        <v>40817</v>
      </c>
      <c r="C166" s="53">
        <f t="shared" si="6"/>
        <v>40909</v>
      </c>
      <c r="D166" s="55">
        <v>174000</v>
      </c>
      <c r="E166" s="56">
        <v>39000</v>
      </c>
      <c r="F166" s="57"/>
      <c r="H166" s="39"/>
      <c r="I166" s="39"/>
      <c r="J166" s="39"/>
      <c r="K166" s="39"/>
      <c r="L166" s="39"/>
      <c r="M166" s="39"/>
      <c r="N166" s="39"/>
      <c r="O166" s="39"/>
      <c r="P166" s="39"/>
      <c r="Q166" s="39"/>
      <c r="R166" s="39"/>
      <c r="S166" s="39"/>
      <c r="T166" s="39"/>
      <c r="U166" s="39"/>
      <c r="V166" s="39"/>
      <c r="W166" s="39"/>
      <c r="X166" s="39"/>
      <c r="Y166" s="39"/>
      <c r="Z166" s="39"/>
      <c r="AA166" s="39"/>
      <c r="AB166" s="39"/>
      <c r="AC166" s="39"/>
      <c r="AD166" s="39"/>
      <c r="AE166" s="39"/>
      <c r="AF166" s="39"/>
      <c r="AG166" s="39"/>
      <c r="AH166" s="39"/>
    </row>
    <row r="167" spans="1:34" s="38" customFormat="1" x14ac:dyDescent="0.25">
      <c r="A167" s="52">
        <v>15</v>
      </c>
      <c r="B167" s="53">
        <f t="shared" si="5"/>
        <v>40817</v>
      </c>
      <c r="C167" s="53">
        <f t="shared" si="6"/>
        <v>40940</v>
      </c>
      <c r="D167" s="55">
        <v>150000</v>
      </c>
      <c r="E167" s="56">
        <v>5000</v>
      </c>
      <c r="F167" s="57"/>
      <c r="H167" s="39"/>
      <c r="I167" s="39"/>
      <c r="J167" s="39"/>
      <c r="K167" s="39"/>
      <c r="L167" s="39"/>
      <c r="M167" s="39"/>
      <c r="N167" s="39"/>
      <c r="O167" s="39"/>
      <c r="P167" s="39"/>
      <c r="Q167" s="39"/>
      <c r="R167" s="39"/>
      <c r="S167" s="39"/>
      <c r="T167" s="39"/>
      <c r="U167" s="39"/>
      <c r="V167" s="39"/>
      <c r="W167" s="39"/>
      <c r="X167" s="39"/>
      <c r="Y167" s="39"/>
      <c r="Z167" s="39"/>
      <c r="AA167" s="39"/>
      <c r="AB167" s="39"/>
      <c r="AC167" s="39"/>
      <c r="AD167" s="39"/>
      <c r="AE167" s="39"/>
      <c r="AF167" s="39"/>
      <c r="AG167" s="39"/>
      <c r="AH167" s="39"/>
    </row>
    <row r="168" spans="1:34" s="38" customFormat="1" x14ac:dyDescent="0.25">
      <c r="A168" s="52">
        <v>15</v>
      </c>
      <c r="B168" s="53">
        <f t="shared" si="5"/>
        <v>40817</v>
      </c>
      <c r="C168" s="53">
        <f t="shared" si="6"/>
        <v>40969</v>
      </c>
      <c r="D168" s="55">
        <v>110000</v>
      </c>
      <c r="E168" s="56">
        <v>11000</v>
      </c>
      <c r="F168" s="57"/>
      <c r="H168" s="39"/>
      <c r="I168" s="39"/>
      <c r="J168" s="39"/>
      <c r="K168" s="39"/>
      <c r="L168" s="39"/>
      <c r="M168" s="39"/>
      <c r="N168" s="39"/>
      <c r="O168" s="39"/>
      <c r="P168" s="39"/>
      <c r="Q168" s="39"/>
      <c r="R168" s="39"/>
      <c r="S168" s="39"/>
      <c r="T168" s="39"/>
      <c r="U168" s="39"/>
      <c r="V168" s="39"/>
      <c r="W168" s="39"/>
      <c r="X168" s="39"/>
      <c r="Y168" s="39"/>
      <c r="Z168" s="39"/>
      <c r="AA168" s="39"/>
      <c r="AB168" s="39"/>
      <c r="AC168" s="39"/>
      <c r="AD168" s="39"/>
      <c r="AE168" s="39"/>
      <c r="AF168" s="39"/>
      <c r="AG168" s="39"/>
      <c r="AH168" s="39"/>
    </row>
    <row r="169" spans="1:34" s="38" customFormat="1" x14ac:dyDescent="0.25">
      <c r="A169" s="52">
        <v>15</v>
      </c>
      <c r="B169" s="53">
        <f t="shared" si="5"/>
        <v>40817</v>
      </c>
      <c r="C169" s="53">
        <f t="shared" si="6"/>
        <v>41000</v>
      </c>
      <c r="D169" s="55">
        <v>43000</v>
      </c>
      <c r="E169" s="56">
        <v>1000</v>
      </c>
      <c r="F169" s="57"/>
      <c r="H169" s="39"/>
      <c r="I169" s="39"/>
      <c r="J169" s="39"/>
      <c r="K169" s="39"/>
      <c r="L169" s="39"/>
      <c r="M169" s="39"/>
      <c r="N169" s="39"/>
      <c r="O169" s="39"/>
      <c r="P169" s="39"/>
      <c r="Q169" s="39"/>
      <c r="R169" s="39"/>
      <c r="S169" s="39"/>
      <c r="T169" s="39"/>
      <c r="U169" s="39"/>
      <c r="V169" s="39"/>
      <c r="W169" s="39"/>
      <c r="X169" s="39"/>
      <c r="Y169" s="39"/>
      <c r="Z169" s="39"/>
      <c r="AA169" s="39"/>
      <c r="AB169" s="39"/>
      <c r="AC169" s="39"/>
      <c r="AD169" s="39"/>
      <c r="AE169" s="39"/>
      <c r="AF169" s="39"/>
      <c r="AG169" s="39"/>
      <c r="AH169" s="39"/>
    </row>
    <row r="170" spans="1:34" s="38" customFormat="1" x14ac:dyDescent="0.25">
      <c r="A170" s="52">
        <v>15</v>
      </c>
      <c r="B170" s="53">
        <f t="shared" si="5"/>
        <v>40817</v>
      </c>
      <c r="C170" s="53">
        <f t="shared" si="6"/>
        <v>41030</v>
      </c>
      <c r="D170" s="55">
        <v>12000</v>
      </c>
      <c r="E170" s="56">
        <v>10000</v>
      </c>
      <c r="F170" s="57"/>
      <c r="H170" s="39"/>
      <c r="I170" s="39"/>
      <c r="J170" s="39"/>
      <c r="K170" s="39"/>
      <c r="L170" s="39"/>
      <c r="M170" s="39"/>
      <c r="N170" s="39"/>
      <c r="O170" s="39"/>
      <c r="P170" s="39"/>
      <c r="Q170" s="39"/>
      <c r="R170" s="39"/>
      <c r="S170" s="39"/>
      <c r="T170" s="39"/>
      <c r="U170" s="39"/>
      <c r="V170" s="39"/>
      <c r="W170" s="39"/>
      <c r="X170" s="39"/>
      <c r="Y170" s="39"/>
      <c r="Z170" s="39"/>
      <c r="AA170" s="39"/>
      <c r="AB170" s="39"/>
      <c r="AC170" s="39"/>
      <c r="AD170" s="39"/>
      <c r="AE170" s="39"/>
      <c r="AF170" s="39"/>
      <c r="AG170" s="39"/>
      <c r="AH170" s="39"/>
    </row>
    <row r="171" spans="1:34" s="38" customFormat="1" x14ac:dyDescent="0.25">
      <c r="A171" s="52">
        <v>15</v>
      </c>
      <c r="B171" s="53">
        <f t="shared" si="5"/>
        <v>40817</v>
      </c>
      <c r="C171" s="53">
        <f t="shared" si="6"/>
        <v>41061</v>
      </c>
      <c r="D171" s="55">
        <v>16000</v>
      </c>
      <c r="E171" s="56">
        <v>7000</v>
      </c>
      <c r="F171" s="57"/>
      <c r="H171" s="39"/>
      <c r="I171" s="39"/>
      <c r="J171" s="39"/>
      <c r="K171" s="39"/>
      <c r="L171" s="39"/>
      <c r="M171" s="39"/>
      <c r="N171" s="39"/>
      <c r="O171" s="39"/>
      <c r="P171" s="39"/>
      <c r="Q171" s="39"/>
      <c r="R171" s="39"/>
      <c r="S171" s="39"/>
      <c r="T171" s="39"/>
      <c r="U171" s="39"/>
      <c r="V171" s="39"/>
      <c r="W171" s="39"/>
      <c r="X171" s="39"/>
      <c r="Y171" s="39"/>
      <c r="Z171" s="39"/>
      <c r="AA171" s="39"/>
      <c r="AB171" s="39"/>
      <c r="AC171" s="39"/>
      <c r="AD171" s="39"/>
      <c r="AE171" s="39"/>
      <c r="AF171" s="39"/>
      <c r="AG171" s="39"/>
      <c r="AH171" s="39"/>
    </row>
    <row r="172" spans="1:34" s="38" customFormat="1" x14ac:dyDescent="0.25">
      <c r="A172" s="52">
        <v>15</v>
      </c>
      <c r="B172" s="53">
        <f t="shared" si="5"/>
        <v>40817</v>
      </c>
      <c r="C172" s="53">
        <f t="shared" si="6"/>
        <v>41091</v>
      </c>
      <c r="D172" s="55">
        <v>21000</v>
      </c>
      <c r="E172" s="56">
        <v>1000</v>
      </c>
      <c r="F172" s="57"/>
      <c r="H172" s="39"/>
      <c r="I172" s="39"/>
      <c r="J172" s="39"/>
      <c r="K172" s="39"/>
      <c r="L172" s="39"/>
      <c r="M172" s="39"/>
      <c r="N172" s="39"/>
      <c r="O172" s="39"/>
      <c r="P172" s="39"/>
      <c r="Q172" s="39"/>
      <c r="R172" s="39"/>
      <c r="S172" s="39"/>
      <c r="T172" s="39"/>
      <c r="U172" s="39"/>
      <c r="V172" s="39"/>
      <c r="W172" s="39"/>
      <c r="X172" s="39"/>
      <c r="Y172" s="39"/>
      <c r="Z172" s="39"/>
      <c r="AA172" s="39"/>
      <c r="AB172" s="39"/>
      <c r="AC172" s="39"/>
      <c r="AD172" s="39"/>
      <c r="AE172" s="39"/>
      <c r="AF172" s="39"/>
      <c r="AG172" s="39"/>
      <c r="AH172" s="39"/>
    </row>
    <row r="173" spans="1:34" s="38" customFormat="1" x14ac:dyDescent="0.25">
      <c r="A173" s="52">
        <v>15</v>
      </c>
      <c r="B173" s="53">
        <f t="shared" si="5"/>
        <v>40817</v>
      </c>
      <c r="C173" s="53">
        <f t="shared" si="6"/>
        <v>41122</v>
      </c>
      <c r="D173" s="55">
        <v>4000</v>
      </c>
      <c r="E173" s="56">
        <v>2000</v>
      </c>
      <c r="F173" s="57"/>
      <c r="H173" s="39"/>
      <c r="I173" s="39"/>
      <c r="J173" s="39"/>
      <c r="K173" s="39"/>
      <c r="L173" s="39"/>
      <c r="M173" s="39"/>
      <c r="N173" s="39"/>
      <c r="O173" s="39"/>
      <c r="P173" s="39"/>
      <c r="Q173" s="39"/>
      <c r="R173" s="39"/>
      <c r="S173" s="39"/>
      <c r="T173" s="39"/>
      <c r="U173" s="39"/>
      <c r="V173" s="39"/>
      <c r="W173" s="39"/>
      <c r="X173" s="39"/>
      <c r="Y173" s="39"/>
      <c r="Z173" s="39"/>
      <c r="AA173" s="39"/>
      <c r="AB173" s="39"/>
      <c r="AC173" s="39"/>
      <c r="AD173" s="39"/>
      <c r="AE173" s="39"/>
      <c r="AF173" s="39"/>
      <c r="AG173" s="39"/>
      <c r="AH173" s="39"/>
    </row>
    <row r="174" spans="1:34" s="38" customFormat="1" x14ac:dyDescent="0.25">
      <c r="A174" s="52">
        <v>15</v>
      </c>
      <c r="B174" s="53">
        <f t="shared" si="5"/>
        <v>40817</v>
      </c>
      <c r="C174" s="53">
        <f t="shared" si="6"/>
        <v>41153</v>
      </c>
      <c r="D174" s="55">
        <v>-3000</v>
      </c>
      <c r="E174" s="56">
        <v>1000</v>
      </c>
      <c r="F174" s="57"/>
      <c r="H174" s="39"/>
      <c r="I174" s="39"/>
      <c r="J174" s="39"/>
      <c r="K174" s="39"/>
      <c r="L174" s="39"/>
      <c r="M174" s="39"/>
      <c r="N174" s="39"/>
      <c r="O174" s="39"/>
      <c r="P174" s="39"/>
      <c r="Q174" s="39"/>
      <c r="R174" s="39"/>
      <c r="S174" s="39"/>
      <c r="T174" s="39"/>
      <c r="U174" s="39"/>
      <c r="V174" s="39"/>
      <c r="W174" s="39"/>
      <c r="X174" s="39"/>
      <c r="Y174" s="39"/>
      <c r="Z174" s="39"/>
      <c r="AA174" s="39"/>
      <c r="AB174" s="39"/>
      <c r="AC174" s="39"/>
      <c r="AD174" s="39"/>
      <c r="AE174" s="39"/>
      <c r="AF174" s="39"/>
      <c r="AG174" s="39"/>
      <c r="AH174" s="39"/>
    </row>
    <row r="175" spans="1:34" s="38" customFormat="1" x14ac:dyDescent="0.25">
      <c r="A175" s="52">
        <v>15</v>
      </c>
      <c r="B175" s="53">
        <f t="shared" si="5"/>
        <v>40817</v>
      </c>
      <c r="C175" s="53">
        <f t="shared" si="6"/>
        <v>41183</v>
      </c>
      <c r="D175" s="55">
        <v>-8000</v>
      </c>
      <c r="E175" s="56">
        <v>4000</v>
      </c>
      <c r="F175" s="57"/>
      <c r="H175" s="39"/>
      <c r="I175" s="39"/>
      <c r="J175" s="39"/>
      <c r="K175" s="39"/>
      <c r="L175" s="39"/>
      <c r="M175" s="39"/>
      <c r="N175" s="39"/>
      <c r="O175" s="39"/>
      <c r="P175" s="39"/>
      <c r="Q175" s="39"/>
      <c r="R175" s="39"/>
      <c r="S175" s="39"/>
      <c r="T175" s="39"/>
      <c r="U175" s="39"/>
      <c r="V175" s="39"/>
      <c r="W175" s="39"/>
      <c r="X175" s="39"/>
      <c r="Y175" s="39"/>
      <c r="Z175" s="39"/>
      <c r="AA175" s="39"/>
      <c r="AB175" s="39"/>
      <c r="AC175" s="39"/>
      <c r="AD175" s="39"/>
      <c r="AE175" s="39"/>
      <c r="AF175" s="39"/>
      <c r="AG175" s="39"/>
      <c r="AH175" s="39"/>
    </row>
    <row r="176" spans="1:34" s="38" customFormat="1" x14ac:dyDescent="0.25">
      <c r="A176" s="52">
        <v>15</v>
      </c>
      <c r="B176" s="53">
        <f t="shared" si="5"/>
        <v>40817</v>
      </c>
      <c r="C176" s="53">
        <f t="shared" si="6"/>
        <v>41214</v>
      </c>
      <c r="D176" s="55">
        <v>-5000</v>
      </c>
      <c r="E176" s="56">
        <v>18000</v>
      </c>
      <c r="F176" s="57"/>
      <c r="H176" s="39"/>
      <c r="I176" s="39"/>
      <c r="J176" s="39"/>
      <c r="K176" s="39"/>
      <c r="L176" s="39"/>
      <c r="M176" s="39"/>
      <c r="N176" s="39"/>
      <c r="O176" s="39"/>
      <c r="P176" s="39"/>
      <c r="Q176" s="39"/>
      <c r="R176" s="39"/>
      <c r="S176" s="39"/>
      <c r="T176" s="39"/>
      <c r="U176" s="39"/>
      <c r="V176" s="39"/>
      <c r="W176" s="39"/>
      <c r="X176" s="39"/>
      <c r="Y176" s="39"/>
      <c r="Z176" s="39"/>
      <c r="AA176" s="39"/>
      <c r="AB176" s="39"/>
      <c r="AC176" s="39"/>
      <c r="AD176" s="39"/>
      <c r="AE176" s="39"/>
      <c r="AF176" s="39"/>
      <c r="AG176" s="39"/>
      <c r="AH176" s="39"/>
    </row>
    <row r="177" spans="1:34" s="38" customFormat="1" x14ac:dyDescent="0.25">
      <c r="A177" s="52">
        <v>15</v>
      </c>
      <c r="B177" s="53">
        <f t="shared" si="5"/>
        <v>40817</v>
      </c>
      <c r="C177" s="53">
        <f t="shared" si="6"/>
        <v>41244</v>
      </c>
      <c r="D177" s="55">
        <v>11000</v>
      </c>
      <c r="E177" s="56">
        <v>1000</v>
      </c>
      <c r="F177" s="57"/>
      <c r="H177" s="39"/>
      <c r="I177" s="39"/>
      <c r="J177" s="39"/>
      <c r="K177" s="39"/>
      <c r="L177" s="39"/>
      <c r="M177" s="39"/>
      <c r="N177" s="39"/>
      <c r="O177" s="39"/>
      <c r="P177" s="39"/>
      <c r="Q177" s="39"/>
      <c r="R177" s="39"/>
      <c r="S177" s="39"/>
      <c r="T177" s="39"/>
      <c r="U177" s="39"/>
      <c r="V177" s="39"/>
      <c r="W177" s="39"/>
      <c r="X177" s="39"/>
      <c r="Y177" s="39"/>
      <c r="Z177" s="39"/>
      <c r="AA177" s="39"/>
      <c r="AB177" s="39"/>
      <c r="AC177" s="39"/>
      <c r="AD177" s="39"/>
      <c r="AE177" s="39"/>
      <c r="AF177" s="39"/>
      <c r="AG177" s="39"/>
      <c r="AH177" s="39"/>
    </row>
    <row r="178" spans="1:34" s="38" customFormat="1" x14ac:dyDescent="0.25">
      <c r="A178" s="52">
        <v>14</v>
      </c>
      <c r="B178" s="53">
        <f t="shared" si="5"/>
        <v>40848</v>
      </c>
      <c r="C178" s="53">
        <f t="shared" si="6"/>
        <v>40848</v>
      </c>
      <c r="D178" s="55">
        <v>2116000</v>
      </c>
      <c r="E178" s="56">
        <v>356000</v>
      </c>
      <c r="F178" s="57"/>
      <c r="H178" s="39"/>
      <c r="I178" s="39"/>
      <c r="J178" s="39"/>
      <c r="K178" s="39"/>
      <c r="L178" s="39"/>
      <c r="M178" s="39"/>
      <c r="N178" s="39"/>
      <c r="O178" s="39"/>
      <c r="P178" s="39"/>
      <c r="Q178" s="39"/>
      <c r="R178" s="39"/>
      <c r="S178" s="39"/>
      <c r="T178" s="39"/>
      <c r="U178" s="39"/>
      <c r="V178" s="39"/>
      <c r="W178" s="39"/>
      <c r="X178" s="39"/>
      <c r="Y178" s="39"/>
      <c r="Z178" s="39"/>
      <c r="AA178" s="39"/>
      <c r="AB178" s="39"/>
      <c r="AC178" s="39"/>
      <c r="AD178" s="39"/>
      <c r="AE178" s="39"/>
      <c r="AF178" s="39"/>
      <c r="AG178" s="39"/>
      <c r="AH178" s="39"/>
    </row>
    <row r="179" spans="1:34" s="38" customFormat="1" x14ac:dyDescent="0.25">
      <c r="A179" s="52">
        <v>14</v>
      </c>
      <c r="B179" s="53">
        <f t="shared" si="5"/>
        <v>40848</v>
      </c>
      <c r="C179" s="53">
        <f t="shared" si="6"/>
        <v>40878</v>
      </c>
      <c r="D179" s="55">
        <v>4984000</v>
      </c>
      <c r="E179" s="56">
        <v>125000</v>
      </c>
      <c r="F179" s="57"/>
      <c r="H179" s="39"/>
      <c r="I179" s="39"/>
      <c r="J179" s="39"/>
      <c r="K179" s="39"/>
      <c r="L179" s="39"/>
      <c r="M179" s="39"/>
      <c r="N179" s="39"/>
      <c r="O179" s="39"/>
      <c r="P179" s="39"/>
      <c r="Q179" s="39"/>
      <c r="R179" s="39"/>
      <c r="S179" s="39"/>
      <c r="T179" s="39"/>
      <c r="U179" s="39"/>
      <c r="V179" s="39"/>
      <c r="W179" s="39"/>
      <c r="X179" s="39"/>
      <c r="Y179" s="39"/>
      <c r="Z179" s="39"/>
      <c r="AA179" s="39"/>
      <c r="AB179" s="39"/>
      <c r="AC179" s="39"/>
      <c r="AD179" s="39"/>
      <c r="AE179" s="39"/>
      <c r="AF179" s="39"/>
      <c r="AG179" s="39"/>
      <c r="AH179" s="39"/>
    </row>
    <row r="180" spans="1:34" s="38" customFormat="1" x14ac:dyDescent="0.25">
      <c r="A180" s="52">
        <v>14</v>
      </c>
      <c r="B180" s="53">
        <f t="shared" si="5"/>
        <v>40848</v>
      </c>
      <c r="C180" s="53">
        <f t="shared" si="6"/>
        <v>40909</v>
      </c>
      <c r="D180" s="55">
        <v>694000</v>
      </c>
      <c r="E180" s="56">
        <v>32000</v>
      </c>
      <c r="F180" s="57"/>
      <c r="H180" s="39"/>
      <c r="I180" s="39"/>
      <c r="J180" s="39"/>
      <c r="K180" s="39"/>
      <c r="L180" s="39"/>
      <c r="M180" s="39"/>
      <c r="N180" s="39"/>
      <c r="O180" s="39"/>
      <c r="P180" s="39"/>
      <c r="Q180" s="39"/>
      <c r="R180" s="39"/>
      <c r="S180" s="39"/>
      <c r="T180" s="39"/>
      <c r="U180" s="39"/>
      <c r="V180" s="39"/>
      <c r="W180" s="39"/>
      <c r="X180" s="39"/>
      <c r="Y180" s="39"/>
      <c r="Z180" s="39"/>
      <c r="AA180" s="39"/>
      <c r="AB180" s="39"/>
      <c r="AC180" s="39"/>
      <c r="AD180" s="39"/>
      <c r="AE180" s="39"/>
      <c r="AF180" s="39"/>
      <c r="AG180" s="39"/>
      <c r="AH180" s="39"/>
    </row>
    <row r="181" spans="1:34" s="38" customFormat="1" x14ac:dyDescent="0.25">
      <c r="A181" s="52">
        <v>14</v>
      </c>
      <c r="B181" s="53">
        <f t="shared" si="5"/>
        <v>40848</v>
      </c>
      <c r="C181" s="53">
        <f t="shared" si="6"/>
        <v>40940</v>
      </c>
      <c r="D181" s="55">
        <v>340000</v>
      </c>
      <c r="E181" s="56">
        <v>8000</v>
      </c>
      <c r="F181" s="57"/>
      <c r="H181" s="39"/>
      <c r="I181" s="39"/>
      <c r="J181" s="39"/>
      <c r="K181" s="39"/>
      <c r="L181" s="39"/>
      <c r="M181" s="39"/>
      <c r="N181" s="39"/>
      <c r="O181" s="39"/>
      <c r="P181" s="39"/>
      <c r="Q181" s="39"/>
      <c r="R181" s="39"/>
      <c r="S181" s="39"/>
      <c r="T181" s="39"/>
      <c r="U181" s="39"/>
      <c r="V181" s="39"/>
      <c r="W181" s="39"/>
      <c r="X181" s="39"/>
      <c r="Y181" s="39"/>
      <c r="Z181" s="39"/>
      <c r="AA181" s="39"/>
      <c r="AB181" s="39"/>
      <c r="AC181" s="39"/>
      <c r="AD181" s="39"/>
      <c r="AE181" s="39"/>
      <c r="AF181" s="39"/>
      <c r="AG181" s="39"/>
      <c r="AH181" s="39"/>
    </row>
    <row r="182" spans="1:34" s="38" customFormat="1" x14ac:dyDescent="0.25">
      <c r="A182" s="52">
        <v>14</v>
      </c>
      <c r="B182" s="53">
        <f t="shared" si="5"/>
        <v>40848</v>
      </c>
      <c r="C182" s="53">
        <f t="shared" si="6"/>
        <v>40969</v>
      </c>
      <c r="D182" s="55">
        <v>564000</v>
      </c>
      <c r="E182" s="56">
        <v>344000</v>
      </c>
      <c r="F182" s="57"/>
      <c r="H182" s="39"/>
      <c r="I182" s="39"/>
      <c r="J182" s="39"/>
      <c r="K182" s="39"/>
      <c r="L182" s="39"/>
      <c r="M182" s="39"/>
      <c r="N182" s="39"/>
      <c r="O182" s="39"/>
      <c r="P182" s="39"/>
      <c r="Q182" s="39"/>
      <c r="R182" s="39"/>
      <c r="S182" s="39"/>
      <c r="T182" s="39"/>
      <c r="U182" s="39"/>
      <c r="V182" s="39"/>
      <c r="W182" s="39"/>
      <c r="X182" s="39"/>
      <c r="Y182" s="39"/>
      <c r="Z182" s="39"/>
      <c r="AA182" s="39"/>
      <c r="AB182" s="39"/>
      <c r="AC182" s="39"/>
      <c r="AD182" s="39"/>
      <c r="AE182" s="39"/>
      <c r="AF182" s="39"/>
      <c r="AG182" s="39"/>
      <c r="AH182" s="39"/>
    </row>
    <row r="183" spans="1:34" s="38" customFormat="1" x14ac:dyDescent="0.25">
      <c r="A183" s="52">
        <v>14</v>
      </c>
      <c r="B183" s="53">
        <f t="shared" si="5"/>
        <v>40848</v>
      </c>
      <c r="C183" s="53">
        <f t="shared" si="6"/>
        <v>41000</v>
      </c>
      <c r="D183" s="55">
        <v>179000</v>
      </c>
      <c r="E183" s="56">
        <v>250000</v>
      </c>
      <c r="F183" s="57"/>
      <c r="H183" s="39"/>
      <c r="I183" s="39"/>
      <c r="J183" s="39"/>
      <c r="K183" s="39"/>
      <c r="L183" s="39"/>
      <c r="M183" s="39"/>
      <c r="N183" s="39"/>
      <c r="O183" s="39"/>
      <c r="P183" s="39"/>
      <c r="Q183" s="39"/>
      <c r="R183" s="39"/>
      <c r="S183" s="39"/>
      <c r="T183" s="39"/>
      <c r="U183" s="39"/>
      <c r="V183" s="39"/>
      <c r="W183" s="39"/>
      <c r="X183" s="39"/>
      <c r="Y183" s="39"/>
      <c r="Z183" s="39"/>
      <c r="AA183" s="39"/>
      <c r="AB183" s="39"/>
      <c r="AC183" s="39"/>
      <c r="AD183" s="39"/>
      <c r="AE183" s="39"/>
      <c r="AF183" s="39"/>
      <c r="AG183" s="39"/>
      <c r="AH183" s="39"/>
    </row>
    <row r="184" spans="1:34" s="38" customFormat="1" x14ac:dyDescent="0.25">
      <c r="A184" s="52">
        <v>14</v>
      </c>
      <c r="B184" s="53">
        <f t="shared" si="5"/>
        <v>40848</v>
      </c>
      <c r="C184" s="53">
        <f t="shared" si="6"/>
        <v>41030</v>
      </c>
      <c r="D184" s="55">
        <v>325000</v>
      </c>
      <c r="E184" s="56">
        <v>9000</v>
      </c>
      <c r="F184" s="57"/>
      <c r="H184" s="39"/>
      <c r="I184" s="39"/>
      <c r="J184" s="39"/>
      <c r="K184" s="39"/>
      <c r="L184" s="39"/>
      <c r="M184" s="39"/>
      <c r="N184" s="39"/>
      <c r="O184" s="39"/>
      <c r="P184" s="39"/>
      <c r="Q184" s="39"/>
      <c r="R184" s="39"/>
      <c r="S184" s="39"/>
      <c r="T184" s="39"/>
      <c r="U184" s="39"/>
      <c r="V184" s="39"/>
      <c r="W184" s="39"/>
      <c r="X184" s="39"/>
      <c r="Y184" s="39"/>
      <c r="Z184" s="39"/>
      <c r="AA184" s="39"/>
      <c r="AB184" s="39"/>
      <c r="AC184" s="39"/>
      <c r="AD184" s="39"/>
      <c r="AE184" s="39"/>
      <c r="AF184" s="39"/>
      <c r="AG184" s="39"/>
      <c r="AH184" s="39"/>
    </row>
    <row r="185" spans="1:34" s="38" customFormat="1" x14ac:dyDescent="0.25">
      <c r="A185" s="52">
        <v>14</v>
      </c>
      <c r="B185" s="53">
        <f t="shared" si="5"/>
        <v>40848</v>
      </c>
      <c r="C185" s="53">
        <f t="shared" si="6"/>
        <v>41061</v>
      </c>
      <c r="D185" s="55">
        <v>61000</v>
      </c>
      <c r="E185" s="56">
        <v>8000</v>
      </c>
      <c r="F185" s="57"/>
      <c r="H185" s="39"/>
      <c r="I185" s="39"/>
      <c r="J185" s="39"/>
      <c r="K185" s="39"/>
      <c r="L185" s="39"/>
      <c r="M185" s="39"/>
      <c r="N185" s="39"/>
      <c r="O185" s="39"/>
      <c r="P185" s="39"/>
      <c r="Q185" s="39"/>
      <c r="R185" s="39"/>
      <c r="S185" s="39"/>
      <c r="T185" s="39"/>
      <c r="U185" s="39"/>
      <c r="V185" s="39"/>
      <c r="W185" s="39"/>
      <c r="X185" s="39"/>
      <c r="Y185" s="39"/>
      <c r="Z185" s="39"/>
      <c r="AA185" s="39"/>
      <c r="AB185" s="39"/>
      <c r="AC185" s="39"/>
      <c r="AD185" s="39"/>
      <c r="AE185" s="39"/>
      <c r="AF185" s="39"/>
      <c r="AG185" s="39"/>
      <c r="AH185" s="39"/>
    </row>
    <row r="186" spans="1:34" s="38" customFormat="1" x14ac:dyDescent="0.25">
      <c r="A186" s="52">
        <v>14</v>
      </c>
      <c r="B186" s="53">
        <f t="shared" si="5"/>
        <v>40848</v>
      </c>
      <c r="C186" s="53">
        <f t="shared" si="6"/>
        <v>41091</v>
      </c>
      <c r="D186" s="55">
        <v>9000</v>
      </c>
      <c r="E186" s="56">
        <v>0</v>
      </c>
      <c r="F186" s="57"/>
      <c r="H186" s="39"/>
      <c r="I186" s="39"/>
      <c r="J186" s="39"/>
      <c r="K186" s="39"/>
      <c r="L186" s="39"/>
      <c r="M186" s="39"/>
      <c r="N186" s="39"/>
      <c r="O186" s="39"/>
      <c r="P186" s="39"/>
      <c r="Q186" s="39"/>
      <c r="R186" s="39"/>
      <c r="S186" s="39"/>
      <c r="T186" s="39"/>
      <c r="U186" s="39"/>
      <c r="V186" s="39"/>
      <c r="W186" s="39"/>
      <c r="X186" s="39"/>
      <c r="Y186" s="39"/>
      <c r="Z186" s="39"/>
      <c r="AA186" s="39"/>
      <c r="AB186" s="39"/>
      <c r="AC186" s="39"/>
      <c r="AD186" s="39"/>
      <c r="AE186" s="39"/>
      <c r="AF186" s="39"/>
      <c r="AG186" s="39"/>
      <c r="AH186" s="39"/>
    </row>
    <row r="187" spans="1:34" s="38" customFormat="1" x14ac:dyDescent="0.25">
      <c r="A187" s="52">
        <v>14</v>
      </c>
      <c r="B187" s="53">
        <f t="shared" si="5"/>
        <v>40848</v>
      </c>
      <c r="C187" s="53">
        <f t="shared" si="6"/>
        <v>41122</v>
      </c>
      <c r="D187" s="55">
        <v>4000</v>
      </c>
      <c r="E187" s="56">
        <v>3000</v>
      </c>
      <c r="F187" s="57"/>
      <c r="H187" s="39"/>
      <c r="I187" s="39"/>
      <c r="J187" s="39"/>
      <c r="K187" s="39"/>
      <c r="L187" s="39"/>
      <c r="M187" s="39"/>
      <c r="N187" s="39"/>
      <c r="O187" s="39"/>
      <c r="P187" s="39"/>
      <c r="Q187" s="39"/>
      <c r="R187" s="39"/>
      <c r="S187" s="39"/>
      <c r="T187" s="39"/>
      <c r="U187" s="39"/>
      <c r="V187" s="39"/>
      <c r="W187" s="39"/>
      <c r="X187" s="39"/>
      <c r="Y187" s="39"/>
      <c r="Z187" s="39"/>
      <c r="AA187" s="39"/>
      <c r="AB187" s="39"/>
      <c r="AC187" s="39"/>
      <c r="AD187" s="39"/>
      <c r="AE187" s="39"/>
      <c r="AF187" s="39"/>
      <c r="AG187" s="39"/>
      <c r="AH187" s="39"/>
    </row>
    <row r="188" spans="1:34" s="38" customFormat="1" x14ac:dyDescent="0.25">
      <c r="A188" s="52">
        <v>14</v>
      </c>
      <c r="B188" s="53">
        <f t="shared" si="5"/>
        <v>40848</v>
      </c>
      <c r="C188" s="53">
        <f t="shared" si="6"/>
        <v>41153</v>
      </c>
      <c r="D188" s="55">
        <v>19000</v>
      </c>
      <c r="E188" s="56">
        <v>7000</v>
      </c>
      <c r="F188" s="57"/>
      <c r="H188" s="39"/>
      <c r="I188" s="39"/>
      <c r="J188" s="39"/>
      <c r="K188" s="39"/>
      <c r="L188" s="39"/>
      <c r="M188" s="39"/>
      <c r="N188" s="39"/>
      <c r="O188" s="39"/>
      <c r="P188" s="39"/>
      <c r="Q188" s="39"/>
      <c r="R188" s="39"/>
      <c r="S188" s="39"/>
      <c r="T188" s="39"/>
      <c r="U188" s="39"/>
      <c r="V188" s="39"/>
      <c r="W188" s="39"/>
      <c r="X188" s="39"/>
      <c r="Y188" s="39"/>
      <c r="Z188" s="39"/>
      <c r="AA188" s="39"/>
      <c r="AB188" s="39"/>
      <c r="AC188" s="39"/>
      <c r="AD188" s="39"/>
      <c r="AE188" s="39"/>
      <c r="AF188" s="39"/>
      <c r="AG188" s="39"/>
      <c r="AH188" s="39"/>
    </row>
    <row r="189" spans="1:34" s="38" customFormat="1" x14ac:dyDescent="0.25">
      <c r="A189" s="52">
        <v>14</v>
      </c>
      <c r="B189" s="53">
        <f t="shared" si="5"/>
        <v>40848</v>
      </c>
      <c r="C189" s="53">
        <f t="shared" si="6"/>
        <v>41183</v>
      </c>
      <c r="D189" s="55">
        <v>-15000</v>
      </c>
      <c r="E189" s="56">
        <v>1000</v>
      </c>
      <c r="F189" s="57"/>
      <c r="H189" s="39"/>
      <c r="I189" s="39"/>
      <c r="J189" s="39"/>
      <c r="K189" s="39"/>
      <c r="L189" s="39"/>
      <c r="M189" s="39"/>
      <c r="N189" s="39"/>
      <c r="O189" s="39"/>
      <c r="P189" s="39"/>
      <c r="Q189" s="39"/>
      <c r="R189" s="39"/>
      <c r="S189" s="39"/>
      <c r="T189" s="39"/>
      <c r="U189" s="39"/>
      <c r="V189" s="39"/>
      <c r="W189" s="39"/>
      <c r="X189" s="39"/>
      <c r="Y189" s="39"/>
      <c r="Z189" s="39"/>
      <c r="AA189" s="39"/>
      <c r="AB189" s="39"/>
      <c r="AC189" s="39"/>
      <c r="AD189" s="39"/>
      <c r="AE189" s="39"/>
      <c r="AF189" s="39"/>
      <c r="AG189" s="39"/>
      <c r="AH189" s="39"/>
    </row>
    <row r="190" spans="1:34" s="38" customFormat="1" x14ac:dyDescent="0.25">
      <c r="A190" s="52">
        <v>14</v>
      </c>
      <c r="B190" s="53">
        <f t="shared" si="5"/>
        <v>40848</v>
      </c>
      <c r="C190" s="53">
        <f t="shared" si="6"/>
        <v>41214</v>
      </c>
      <c r="D190" s="55">
        <v>-7000</v>
      </c>
      <c r="E190" s="56">
        <v>2000</v>
      </c>
      <c r="F190" s="57"/>
      <c r="H190" s="39"/>
      <c r="I190" s="39"/>
      <c r="J190" s="39"/>
      <c r="K190" s="39"/>
      <c r="L190" s="39"/>
      <c r="M190" s="39"/>
      <c r="N190" s="39"/>
      <c r="O190" s="39"/>
      <c r="P190" s="39"/>
      <c r="Q190" s="39"/>
      <c r="R190" s="39"/>
      <c r="S190" s="39"/>
      <c r="T190" s="39"/>
      <c r="U190" s="39"/>
      <c r="V190" s="39"/>
      <c r="W190" s="39"/>
      <c r="X190" s="39"/>
      <c r="Y190" s="39"/>
      <c r="Z190" s="39"/>
      <c r="AA190" s="39"/>
      <c r="AB190" s="39"/>
      <c r="AC190" s="39"/>
      <c r="AD190" s="39"/>
      <c r="AE190" s="39"/>
      <c r="AF190" s="39"/>
      <c r="AG190" s="39"/>
      <c r="AH190" s="39"/>
    </row>
    <row r="191" spans="1:34" s="38" customFormat="1" x14ac:dyDescent="0.25">
      <c r="A191" s="52">
        <v>14</v>
      </c>
      <c r="B191" s="53">
        <f t="shared" si="5"/>
        <v>40848</v>
      </c>
      <c r="C191" s="53">
        <f t="shared" si="6"/>
        <v>41244</v>
      </c>
      <c r="D191" s="55">
        <v>21000</v>
      </c>
      <c r="E191" s="56">
        <v>2000</v>
      </c>
      <c r="F191" s="57"/>
      <c r="H191" s="39"/>
      <c r="I191" s="39"/>
      <c r="J191" s="39"/>
      <c r="K191" s="39"/>
      <c r="L191" s="39"/>
      <c r="M191" s="39"/>
      <c r="N191" s="39"/>
      <c r="O191" s="39"/>
      <c r="P191" s="39"/>
      <c r="Q191" s="39"/>
      <c r="R191" s="39"/>
      <c r="S191" s="39"/>
      <c r="T191" s="39"/>
      <c r="U191" s="39"/>
      <c r="V191" s="39"/>
      <c r="W191" s="39"/>
      <c r="X191" s="39"/>
      <c r="Y191" s="39"/>
      <c r="Z191" s="39"/>
      <c r="AA191" s="39"/>
      <c r="AB191" s="39"/>
      <c r="AC191" s="39"/>
      <c r="AD191" s="39"/>
      <c r="AE191" s="39"/>
      <c r="AF191" s="39"/>
      <c r="AG191" s="39"/>
      <c r="AH191" s="39"/>
    </row>
    <row r="192" spans="1:34" s="38" customFormat="1" x14ac:dyDescent="0.25">
      <c r="A192" s="52">
        <v>13</v>
      </c>
      <c r="B192" s="53">
        <f t="shared" si="5"/>
        <v>40878</v>
      </c>
      <c r="C192" s="53">
        <f t="shared" si="6"/>
        <v>40878</v>
      </c>
      <c r="D192" s="55">
        <v>2457000</v>
      </c>
      <c r="E192" s="56">
        <v>305000</v>
      </c>
      <c r="F192" s="57"/>
      <c r="H192" s="39"/>
      <c r="I192" s="39"/>
      <c r="J192" s="39"/>
      <c r="K192" s="39"/>
      <c r="L192" s="39"/>
      <c r="M192" s="39"/>
      <c r="N192" s="39"/>
      <c r="O192" s="39"/>
      <c r="P192" s="39"/>
      <c r="Q192" s="39"/>
      <c r="R192" s="39"/>
      <c r="S192" s="39"/>
      <c r="T192" s="39"/>
      <c r="U192" s="39"/>
      <c r="V192" s="39"/>
      <c r="W192" s="39"/>
      <c r="X192" s="39"/>
      <c r="Y192" s="39"/>
      <c r="Z192" s="39"/>
      <c r="AA192" s="39"/>
      <c r="AB192" s="39"/>
      <c r="AC192" s="39"/>
      <c r="AD192" s="39"/>
      <c r="AE192" s="39"/>
      <c r="AF192" s="39"/>
      <c r="AG192" s="39"/>
      <c r="AH192" s="39"/>
    </row>
    <row r="193" spans="1:34" s="38" customFormat="1" x14ac:dyDescent="0.25">
      <c r="A193" s="52">
        <v>13</v>
      </c>
      <c r="B193" s="53">
        <f t="shared" si="5"/>
        <v>40878</v>
      </c>
      <c r="C193" s="53">
        <f t="shared" si="6"/>
        <v>40909</v>
      </c>
      <c r="D193" s="55">
        <v>4241000</v>
      </c>
      <c r="E193" s="56">
        <v>229000</v>
      </c>
      <c r="F193" s="57"/>
      <c r="H193" s="39"/>
      <c r="I193" s="39"/>
      <c r="J193" s="39"/>
      <c r="K193" s="39"/>
      <c r="L193" s="39"/>
      <c r="M193" s="39"/>
      <c r="N193" s="39"/>
      <c r="O193" s="39"/>
      <c r="P193" s="39"/>
      <c r="Q193" s="39"/>
      <c r="R193" s="39"/>
      <c r="S193" s="39"/>
      <c r="T193" s="39"/>
      <c r="U193" s="39"/>
      <c r="V193" s="39"/>
      <c r="W193" s="39"/>
      <c r="X193" s="39"/>
      <c r="Y193" s="39"/>
      <c r="Z193" s="39"/>
      <c r="AA193" s="39"/>
      <c r="AB193" s="39"/>
      <c r="AC193" s="39"/>
      <c r="AD193" s="39"/>
      <c r="AE193" s="39"/>
      <c r="AF193" s="39"/>
      <c r="AG193" s="39"/>
      <c r="AH193" s="39"/>
    </row>
    <row r="194" spans="1:34" s="38" customFormat="1" x14ac:dyDescent="0.25">
      <c r="A194" s="52">
        <v>13</v>
      </c>
      <c r="B194" s="53">
        <f t="shared" si="5"/>
        <v>40878</v>
      </c>
      <c r="C194" s="53">
        <f t="shared" si="6"/>
        <v>40940</v>
      </c>
      <c r="D194" s="55">
        <v>960000</v>
      </c>
      <c r="E194" s="56">
        <v>53000</v>
      </c>
      <c r="F194" s="57"/>
      <c r="H194" s="39"/>
      <c r="I194" s="39"/>
      <c r="J194" s="39"/>
      <c r="K194" s="39"/>
      <c r="L194" s="39"/>
      <c r="M194" s="39"/>
      <c r="N194" s="39"/>
      <c r="O194" s="39"/>
      <c r="P194" s="39"/>
      <c r="Q194" s="39"/>
      <c r="R194" s="39"/>
      <c r="S194" s="39"/>
      <c r="T194" s="39"/>
      <c r="U194" s="39"/>
      <c r="V194" s="39"/>
      <c r="W194" s="39"/>
      <c r="X194" s="39"/>
      <c r="Y194" s="39"/>
      <c r="Z194" s="39"/>
      <c r="AA194" s="39"/>
      <c r="AB194" s="39"/>
      <c r="AC194" s="39"/>
      <c r="AD194" s="39"/>
      <c r="AE194" s="39"/>
      <c r="AF194" s="39"/>
      <c r="AG194" s="39"/>
      <c r="AH194" s="39"/>
    </row>
    <row r="195" spans="1:34" s="38" customFormat="1" x14ac:dyDescent="0.25">
      <c r="A195" s="52">
        <v>13</v>
      </c>
      <c r="B195" s="53">
        <f t="shared" si="5"/>
        <v>40878</v>
      </c>
      <c r="C195" s="53">
        <f t="shared" si="6"/>
        <v>40969</v>
      </c>
      <c r="D195" s="55">
        <v>452000</v>
      </c>
      <c r="E195" s="56">
        <v>14000</v>
      </c>
      <c r="F195" s="57"/>
      <c r="H195" s="39"/>
      <c r="I195" s="39"/>
      <c r="J195" s="39"/>
      <c r="K195" s="39"/>
      <c r="L195" s="39"/>
      <c r="M195" s="39"/>
      <c r="N195" s="39"/>
      <c r="O195" s="39"/>
      <c r="P195" s="39"/>
      <c r="Q195" s="39"/>
      <c r="R195" s="39"/>
      <c r="S195" s="39"/>
      <c r="T195" s="39"/>
      <c r="U195" s="39"/>
      <c r="V195" s="39"/>
      <c r="W195" s="39"/>
      <c r="X195" s="39"/>
      <c r="Y195" s="39"/>
      <c r="Z195" s="39"/>
      <c r="AA195" s="39"/>
      <c r="AB195" s="39"/>
      <c r="AC195" s="39"/>
      <c r="AD195" s="39"/>
      <c r="AE195" s="39"/>
      <c r="AF195" s="39"/>
      <c r="AG195" s="39"/>
      <c r="AH195" s="39"/>
    </row>
    <row r="196" spans="1:34" s="38" customFormat="1" x14ac:dyDescent="0.25">
      <c r="A196" s="52">
        <v>13</v>
      </c>
      <c r="B196" s="53">
        <f t="shared" si="5"/>
        <v>40878</v>
      </c>
      <c r="C196" s="53">
        <f t="shared" si="6"/>
        <v>41000</v>
      </c>
      <c r="D196" s="55">
        <v>192000</v>
      </c>
      <c r="E196" s="56">
        <v>13000</v>
      </c>
      <c r="F196" s="57"/>
      <c r="H196" s="39"/>
      <c r="I196" s="39"/>
      <c r="J196" s="39"/>
      <c r="K196" s="39"/>
      <c r="L196" s="39"/>
      <c r="M196" s="39"/>
      <c r="N196" s="39"/>
      <c r="O196" s="39"/>
      <c r="P196" s="39"/>
      <c r="Q196" s="39"/>
      <c r="R196" s="39"/>
      <c r="S196" s="39"/>
      <c r="T196" s="39"/>
      <c r="U196" s="39"/>
      <c r="V196" s="39"/>
      <c r="W196" s="39"/>
      <c r="X196" s="39"/>
      <c r="Y196" s="39"/>
      <c r="Z196" s="39"/>
      <c r="AA196" s="39"/>
      <c r="AB196" s="39"/>
      <c r="AC196" s="39"/>
      <c r="AD196" s="39"/>
      <c r="AE196" s="39"/>
      <c r="AF196" s="39"/>
      <c r="AG196" s="39"/>
      <c r="AH196" s="39"/>
    </row>
    <row r="197" spans="1:34" s="38" customFormat="1" x14ac:dyDescent="0.25">
      <c r="A197" s="52">
        <v>13</v>
      </c>
      <c r="B197" s="53">
        <f t="shared" ref="B197:B260" si="7">EDATE($L$2,-A197)</f>
        <v>40878</v>
      </c>
      <c r="C197" s="53">
        <f t="shared" ref="C197:C260" si="8">IF(B197&lt;&gt;B196,B197,EDATE(C196,1))</f>
        <v>41030</v>
      </c>
      <c r="D197" s="55">
        <v>106000</v>
      </c>
      <c r="E197" s="56">
        <v>8000</v>
      </c>
      <c r="F197" s="57"/>
      <c r="H197" s="39"/>
      <c r="I197" s="39"/>
      <c r="J197" s="39"/>
      <c r="K197" s="39"/>
      <c r="L197" s="39"/>
      <c r="M197" s="39"/>
      <c r="N197" s="39"/>
      <c r="O197" s="39"/>
      <c r="P197" s="39"/>
      <c r="Q197" s="39"/>
      <c r="R197" s="39"/>
      <c r="S197" s="39"/>
      <c r="T197" s="39"/>
      <c r="U197" s="39"/>
      <c r="V197" s="39"/>
      <c r="W197" s="39"/>
      <c r="X197" s="39"/>
      <c r="Y197" s="39"/>
      <c r="Z197" s="39"/>
      <c r="AA197" s="39"/>
      <c r="AB197" s="39"/>
      <c r="AC197" s="39"/>
      <c r="AD197" s="39"/>
      <c r="AE197" s="39"/>
      <c r="AF197" s="39"/>
      <c r="AG197" s="39"/>
      <c r="AH197" s="39"/>
    </row>
    <row r="198" spans="1:34" s="38" customFormat="1" x14ac:dyDescent="0.25">
      <c r="A198" s="52">
        <v>13</v>
      </c>
      <c r="B198" s="53">
        <f t="shared" si="7"/>
        <v>40878</v>
      </c>
      <c r="C198" s="53">
        <f t="shared" si="8"/>
        <v>41061</v>
      </c>
      <c r="D198" s="55">
        <v>76000</v>
      </c>
      <c r="E198" s="56">
        <v>2000</v>
      </c>
      <c r="F198" s="57"/>
      <c r="H198" s="39"/>
      <c r="I198" s="39"/>
      <c r="J198" s="39"/>
      <c r="K198" s="39"/>
      <c r="L198" s="39"/>
      <c r="M198" s="39"/>
      <c r="N198" s="39"/>
      <c r="O198" s="39"/>
      <c r="P198" s="39"/>
      <c r="Q198" s="39"/>
      <c r="R198" s="39"/>
      <c r="S198" s="39"/>
      <c r="T198" s="39"/>
      <c r="U198" s="39"/>
      <c r="V198" s="39"/>
      <c r="W198" s="39"/>
      <c r="X198" s="39"/>
      <c r="Y198" s="39"/>
      <c r="Z198" s="39"/>
      <c r="AA198" s="39"/>
      <c r="AB198" s="39"/>
      <c r="AC198" s="39"/>
      <c r="AD198" s="39"/>
      <c r="AE198" s="39"/>
      <c r="AF198" s="39"/>
      <c r="AG198" s="39"/>
      <c r="AH198" s="39"/>
    </row>
    <row r="199" spans="1:34" s="38" customFormat="1" x14ac:dyDescent="0.25">
      <c r="A199" s="52">
        <v>13</v>
      </c>
      <c r="B199" s="53">
        <f t="shared" si="7"/>
        <v>40878</v>
      </c>
      <c r="C199" s="53">
        <f t="shared" si="8"/>
        <v>41091</v>
      </c>
      <c r="D199" s="55">
        <v>46000</v>
      </c>
      <c r="E199" s="56">
        <v>0</v>
      </c>
      <c r="F199" s="57"/>
      <c r="H199" s="39"/>
      <c r="I199" s="39"/>
      <c r="J199" s="39"/>
      <c r="K199" s="39"/>
      <c r="L199" s="39"/>
      <c r="M199" s="39"/>
      <c r="N199" s="39"/>
      <c r="O199" s="39"/>
      <c r="P199" s="39"/>
      <c r="Q199" s="39"/>
      <c r="R199" s="39"/>
      <c r="S199" s="39"/>
      <c r="T199" s="39"/>
      <c r="U199" s="39"/>
      <c r="V199" s="39"/>
      <c r="W199" s="39"/>
      <c r="X199" s="39"/>
      <c r="Y199" s="39"/>
      <c r="Z199" s="39"/>
      <c r="AA199" s="39"/>
      <c r="AB199" s="39"/>
      <c r="AC199" s="39"/>
      <c r="AD199" s="39"/>
      <c r="AE199" s="39"/>
      <c r="AF199" s="39"/>
      <c r="AG199" s="39"/>
      <c r="AH199" s="39"/>
    </row>
    <row r="200" spans="1:34" s="38" customFormat="1" x14ac:dyDescent="0.25">
      <c r="A200" s="52">
        <v>13</v>
      </c>
      <c r="B200" s="53">
        <f t="shared" si="7"/>
        <v>40878</v>
      </c>
      <c r="C200" s="53">
        <f t="shared" si="8"/>
        <v>41122</v>
      </c>
      <c r="D200" s="55">
        <v>9000</v>
      </c>
      <c r="E200" s="56">
        <v>5000</v>
      </c>
      <c r="F200" s="57"/>
      <c r="H200" s="39"/>
      <c r="I200" s="39"/>
      <c r="J200" s="39"/>
      <c r="K200" s="39"/>
      <c r="L200" s="39"/>
      <c r="M200" s="39"/>
      <c r="N200" s="39"/>
      <c r="O200" s="39"/>
      <c r="P200" s="39"/>
      <c r="Q200" s="39"/>
      <c r="R200" s="39"/>
      <c r="S200" s="39"/>
      <c r="T200" s="39"/>
      <c r="U200" s="39"/>
      <c r="V200" s="39"/>
      <c r="W200" s="39"/>
      <c r="X200" s="39"/>
      <c r="Y200" s="39"/>
      <c r="Z200" s="39"/>
      <c r="AA200" s="39"/>
      <c r="AB200" s="39"/>
      <c r="AC200" s="39"/>
      <c r="AD200" s="39"/>
      <c r="AE200" s="39"/>
      <c r="AF200" s="39"/>
      <c r="AG200" s="39"/>
      <c r="AH200" s="39"/>
    </row>
    <row r="201" spans="1:34" s="38" customFormat="1" x14ac:dyDescent="0.25">
      <c r="A201" s="52">
        <v>13</v>
      </c>
      <c r="B201" s="53">
        <f t="shared" si="7"/>
        <v>40878</v>
      </c>
      <c r="C201" s="53">
        <f t="shared" si="8"/>
        <v>41153</v>
      </c>
      <c r="D201" s="55">
        <v>-1000</v>
      </c>
      <c r="E201" s="56">
        <v>0</v>
      </c>
      <c r="F201" s="57"/>
      <c r="H201" s="39"/>
      <c r="I201" s="39"/>
      <c r="J201" s="39"/>
      <c r="K201" s="39"/>
      <c r="L201" s="39"/>
      <c r="M201" s="39"/>
      <c r="N201" s="39"/>
      <c r="O201" s="39"/>
      <c r="P201" s="39"/>
      <c r="Q201" s="39"/>
      <c r="R201" s="39"/>
      <c r="S201" s="39"/>
      <c r="T201" s="39"/>
      <c r="U201" s="39"/>
      <c r="V201" s="39"/>
      <c r="W201" s="39"/>
      <c r="X201" s="39"/>
      <c r="Y201" s="39"/>
      <c r="Z201" s="39"/>
      <c r="AA201" s="39"/>
      <c r="AB201" s="39"/>
      <c r="AC201" s="39"/>
      <c r="AD201" s="39"/>
      <c r="AE201" s="39"/>
      <c r="AF201" s="39"/>
      <c r="AG201" s="39"/>
      <c r="AH201" s="39"/>
    </row>
    <row r="202" spans="1:34" s="38" customFormat="1" x14ac:dyDescent="0.25">
      <c r="A202" s="52">
        <v>13</v>
      </c>
      <c r="B202" s="53">
        <f t="shared" si="7"/>
        <v>40878</v>
      </c>
      <c r="C202" s="53">
        <f t="shared" si="8"/>
        <v>41183</v>
      </c>
      <c r="D202" s="55">
        <v>-9000</v>
      </c>
      <c r="E202" s="56">
        <v>51000</v>
      </c>
      <c r="F202" s="57"/>
      <c r="H202" s="39"/>
      <c r="I202" s="39"/>
      <c r="J202" s="39"/>
      <c r="K202" s="39"/>
      <c r="L202" s="39"/>
      <c r="M202" s="39"/>
      <c r="N202" s="39"/>
      <c r="O202" s="39"/>
      <c r="P202" s="39"/>
      <c r="Q202" s="39"/>
      <c r="R202" s="39"/>
      <c r="S202" s="39"/>
      <c r="T202" s="39"/>
      <c r="U202" s="39"/>
      <c r="V202" s="39"/>
      <c r="W202" s="39"/>
      <c r="X202" s="39"/>
      <c r="Y202" s="39"/>
      <c r="Z202" s="39"/>
      <c r="AA202" s="39"/>
      <c r="AB202" s="39"/>
      <c r="AC202" s="39"/>
      <c r="AD202" s="39"/>
      <c r="AE202" s="39"/>
      <c r="AF202" s="39"/>
      <c r="AG202" s="39"/>
      <c r="AH202" s="39"/>
    </row>
    <row r="203" spans="1:34" s="38" customFormat="1" x14ac:dyDescent="0.25">
      <c r="A203" s="52">
        <v>13</v>
      </c>
      <c r="B203" s="53">
        <f t="shared" si="7"/>
        <v>40878</v>
      </c>
      <c r="C203" s="53">
        <f t="shared" si="8"/>
        <v>41214</v>
      </c>
      <c r="D203" s="55">
        <v>0</v>
      </c>
      <c r="E203" s="56">
        <v>48000</v>
      </c>
      <c r="F203" s="57"/>
      <c r="H203" s="39"/>
      <c r="I203" s="39"/>
      <c r="J203" s="39"/>
      <c r="K203" s="39"/>
      <c r="L203" s="39"/>
      <c r="M203" s="39"/>
      <c r="N203" s="39"/>
      <c r="O203" s="39"/>
      <c r="P203" s="39"/>
      <c r="Q203" s="39"/>
      <c r="R203" s="39"/>
      <c r="S203" s="39"/>
      <c r="T203" s="39"/>
      <c r="U203" s="39"/>
      <c r="V203" s="39"/>
      <c r="W203" s="39"/>
      <c r="X203" s="39"/>
      <c r="Y203" s="39"/>
      <c r="Z203" s="39"/>
      <c r="AA203" s="39"/>
      <c r="AB203" s="39"/>
      <c r="AC203" s="39"/>
      <c r="AD203" s="39"/>
      <c r="AE203" s="39"/>
      <c r="AF203" s="39"/>
      <c r="AG203" s="39"/>
      <c r="AH203" s="39"/>
    </row>
    <row r="204" spans="1:34" s="38" customFormat="1" x14ac:dyDescent="0.25">
      <c r="A204" s="52">
        <v>13</v>
      </c>
      <c r="B204" s="53">
        <f t="shared" si="7"/>
        <v>40878</v>
      </c>
      <c r="C204" s="53">
        <f t="shared" si="8"/>
        <v>41244</v>
      </c>
      <c r="D204" s="55">
        <v>-4000</v>
      </c>
      <c r="E204" s="56">
        <v>1000</v>
      </c>
      <c r="F204" s="57"/>
      <c r="H204" s="39"/>
      <c r="I204" s="39"/>
      <c r="J204" s="39"/>
      <c r="K204" s="39"/>
      <c r="L204" s="39"/>
      <c r="M204" s="39"/>
      <c r="N204" s="39"/>
      <c r="O204" s="39"/>
      <c r="P204" s="39"/>
      <c r="Q204" s="39"/>
      <c r="R204" s="39"/>
      <c r="S204" s="39"/>
      <c r="T204" s="39"/>
      <c r="U204" s="39"/>
      <c r="V204" s="39"/>
      <c r="W204" s="39"/>
      <c r="X204" s="39"/>
      <c r="Y204" s="39"/>
      <c r="Z204" s="39"/>
      <c r="AA204" s="39"/>
      <c r="AB204" s="39"/>
      <c r="AC204" s="39"/>
      <c r="AD204" s="39"/>
      <c r="AE204" s="39"/>
      <c r="AF204" s="39"/>
      <c r="AG204" s="39"/>
      <c r="AH204" s="39"/>
    </row>
    <row r="205" spans="1:34" s="38" customFormat="1" x14ac:dyDescent="0.25">
      <c r="A205" s="52">
        <v>12</v>
      </c>
      <c r="B205" s="53">
        <f t="shared" si="7"/>
        <v>40909</v>
      </c>
      <c r="C205" s="53">
        <f t="shared" si="8"/>
        <v>40909</v>
      </c>
      <c r="D205" s="55">
        <v>1562000</v>
      </c>
      <c r="E205" s="56">
        <v>235000</v>
      </c>
      <c r="F205" s="57"/>
      <c r="H205" s="39"/>
      <c r="I205" s="39"/>
      <c r="J205" s="39"/>
      <c r="K205" s="39"/>
      <c r="L205" s="39"/>
      <c r="M205" s="39"/>
      <c r="N205" s="39"/>
      <c r="O205" s="39"/>
      <c r="P205" s="39"/>
      <c r="Q205" s="39"/>
      <c r="R205" s="39"/>
      <c r="S205" s="39"/>
      <c r="T205" s="39"/>
      <c r="U205" s="39"/>
      <c r="V205" s="39"/>
      <c r="W205" s="39"/>
      <c r="X205" s="39"/>
      <c r="Y205" s="39"/>
      <c r="Z205" s="39"/>
      <c r="AA205" s="39"/>
      <c r="AB205" s="39"/>
      <c r="AC205" s="39"/>
      <c r="AD205" s="39"/>
      <c r="AE205" s="39"/>
      <c r="AF205" s="39"/>
      <c r="AG205" s="39"/>
      <c r="AH205" s="39"/>
    </row>
    <row r="206" spans="1:34" s="38" customFormat="1" x14ac:dyDescent="0.25">
      <c r="A206" s="52">
        <v>12</v>
      </c>
      <c r="B206" s="53">
        <f t="shared" si="7"/>
        <v>40909</v>
      </c>
      <c r="C206" s="53">
        <f t="shared" si="8"/>
        <v>40940</v>
      </c>
      <c r="D206" s="55">
        <v>4735000</v>
      </c>
      <c r="E206" s="56">
        <v>91000</v>
      </c>
      <c r="F206" s="57"/>
      <c r="H206" s="39"/>
      <c r="I206" s="39"/>
      <c r="J206" s="39"/>
      <c r="K206" s="39"/>
      <c r="L206" s="39"/>
      <c r="M206" s="39"/>
      <c r="N206" s="39"/>
      <c r="O206" s="39"/>
      <c r="P206" s="39"/>
      <c r="Q206" s="39"/>
      <c r="R206" s="39"/>
      <c r="S206" s="39"/>
      <c r="T206" s="39"/>
      <c r="U206" s="39"/>
      <c r="V206" s="39"/>
      <c r="W206" s="39"/>
      <c r="X206" s="39"/>
      <c r="Y206" s="39"/>
      <c r="Z206" s="39"/>
      <c r="AA206" s="39"/>
      <c r="AB206" s="39"/>
      <c r="AC206" s="39"/>
      <c r="AD206" s="39"/>
      <c r="AE206" s="39"/>
      <c r="AF206" s="39"/>
      <c r="AG206" s="39"/>
      <c r="AH206" s="39"/>
    </row>
    <row r="207" spans="1:34" s="38" customFormat="1" x14ac:dyDescent="0.25">
      <c r="A207" s="52">
        <v>12</v>
      </c>
      <c r="B207" s="53">
        <f t="shared" si="7"/>
        <v>40909</v>
      </c>
      <c r="C207" s="53">
        <f t="shared" si="8"/>
        <v>40969</v>
      </c>
      <c r="D207" s="55">
        <v>1194000</v>
      </c>
      <c r="E207" s="56">
        <v>63000</v>
      </c>
      <c r="F207" s="57"/>
      <c r="H207" s="39"/>
      <c r="I207" s="39"/>
      <c r="J207" s="39"/>
      <c r="K207" s="39"/>
      <c r="L207" s="39"/>
      <c r="M207" s="39"/>
      <c r="N207" s="39"/>
      <c r="O207" s="39"/>
      <c r="P207" s="39"/>
      <c r="Q207" s="39"/>
      <c r="R207" s="39"/>
      <c r="S207" s="39"/>
      <c r="T207" s="39"/>
      <c r="U207" s="39"/>
      <c r="V207" s="39"/>
      <c r="W207" s="39"/>
      <c r="X207" s="39"/>
      <c r="Y207" s="39"/>
      <c r="Z207" s="39"/>
      <c r="AA207" s="39"/>
      <c r="AB207" s="39"/>
      <c r="AC207" s="39"/>
      <c r="AD207" s="39"/>
      <c r="AE207" s="39"/>
      <c r="AF207" s="39"/>
      <c r="AG207" s="39"/>
      <c r="AH207" s="39"/>
    </row>
    <row r="208" spans="1:34" s="38" customFormat="1" x14ac:dyDescent="0.25">
      <c r="A208" s="52">
        <v>12</v>
      </c>
      <c r="B208" s="53">
        <f t="shared" si="7"/>
        <v>40909</v>
      </c>
      <c r="C208" s="53">
        <f t="shared" si="8"/>
        <v>41000</v>
      </c>
      <c r="D208" s="55">
        <v>445000</v>
      </c>
      <c r="E208" s="56">
        <v>13000</v>
      </c>
      <c r="F208" s="57"/>
      <c r="H208" s="39"/>
      <c r="I208" s="39"/>
      <c r="J208" s="39"/>
      <c r="K208" s="39"/>
      <c r="L208" s="39"/>
      <c r="M208" s="39"/>
      <c r="N208" s="39"/>
      <c r="O208" s="39"/>
      <c r="P208" s="39"/>
      <c r="Q208" s="39"/>
      <c r="R208" s="39"/>
      <c r="S208" s="39"/>
      <c r="T208" s="39"/>
      <c r="U208" s="39"/>
      <c r="V208" s="39"/>
      <c r="W208" s="39"/>
      <c r="X208" s="39"/>
      <c r="Y208" s="39"/>
      <c r="Z208" s="39"/>
      <c r="AA208" s="39"/>
      <c r="AB208" s="39"/>
      <c r="AC208" s="39"/>
      <c r="AD208" s="39"/>
      <c r="AE208" s="39"/>
      <c r="AF208" s="39"/>
      <c r="AG208" s="39"/>
      <c r="AH208" s="39"/>
    </row>
    <row r="209" spans="1:34" s="38" customFormat="1" x14ac:dyDescent="0.25">
      <c r="A209" s="52">
        <v>12</v>
      </c>
      <c r="B209" s="53">
        <f t="shared" si="7"/>
        <v>40909</v>
      </c>
      <c r="C209" s="53">
        <f t="shared" si="8"/>
        <v>41030</v>
      </c>
      <c r="D209" s="55">
        <v>173000</v>
      </c>
      <c r="E209" s="56">
        <v>4000</v>
      </c>
      <c r="F209" s="57"/>
      <c r="H209" s="39"/>
      <c r="I209" s="39"/>
      <c r="J209" s="39"/>
      <c r="K209" s="39"/>
      <c r="L209" s="39"/>
      <c r="M209" s="39"/>
      <c r="N209" s="39"/>
      <c r="O209" s="39"/>
      <c r="P209" s="39"/>
      <c r="Q209" s="39"/>
      <c r="R209" s="39"/>
      <c r="S209" s="39"/>
      <c r="T209" s="39"/>
      <c r="U209" s="39"/>
      <c r="V209" s="39"/>
      <c r="W209" s="39"/>
      <c r="X209" s="39"/>
      <c r="Y209" s="39"/>
      <c r="Z209" s="39"/>
      <c r="AA209" s="39"/>
      <c r="AB209" s="39"/>
      <c r="AC209" s="39"/>
      <c r="AD209" s="39"/>
      <c r="AE209" s="39"/>
      <c r="AF209" s="39"/>
      <c r="AG209" s="39"/>
      <c r="AH209" s="39"/>
    </row>
    <row r="210" spans="1:34" s="38" customFormat="1" x14ac:dyDescent="0.25">
      <c r="A210" s="52">
        <v>12</v>
      </c>
      <c r="B210" s="53">
        <f t="shared" si="7"/>
        <v>40909</v>
      </c>
      <c r="C210" s="53">
        <f t="shared" si="8"/>
        <v>41061</v>
      </c>
      <c r="D210" s="55">
        <v>61000</v>
      </c>
      <c r="E210" s="56">
        <v>7000</v>
      </c>
      <c r="F210" s="57"/>
      <c r="H210" s="39"/>
      <c r="I210" s="39"/>
      <c r="J210" s="39"/>
      <c r="K210" s="39"/>
      <c r="L210" s="39"/>
      <c r="M210" s="39"/>
      <c r="N210" s="39"/>
      <c r="O210" s="39"/>
      <c r="P210" s="39"/>
      <c r="Q210" s="39"/>
      <c r="R210" s="39"/>
      <c r="S210" s="39"/>
      <c r="T210" s="39"/>
      <c r="U210" s="39"/>
      <c r="V210" s="39"/>
      <c r="W210" s="39"/>
      <c r="X210" s="39"/>
      <c r="Y210" s="39"/>
      <c r="Z210" s="39"/>
      <c r="AA210" s="39"/>
      <c r="AB210" s="39"/>
      <c r="AC210" s="39"/>
      <c r="AD210" s="39"/>
      <c r="AE210" s="39"/>
      <c r="AF210" s="39"/>
      <c r="AG210" s="39"/>
      <c r="AH210" s="39"/>
    </row>
    <row r="211" spans="1:34" s="38" customFormat="1" x14ac:dyDescent="0.25">
      <c r="A211" s="52">
        <v>12</v>
      </c>
      <c r="B211" s="53">
        <f t="shared" si="7"/>
        <v>40909</v>
      </c>
      <c r="C211" s="53">
        <f t="shared" si="8"/>
        <v>41091</v>
      </c>
      <c r="D211" s="55">
        <v>40000</v>
      </c>
      <c r="E211" s="56">
        <v>7000</v>
      </c>
      <c r="F211" s="57"/>
      <c r="H211" s="39"/>
      <c r="I211" s="39"/>
      <c r="J211" s="39"/>
      <c r="K211" s="39"/>
      <c r="L211" s="39"/>
      <c r="M211" s="39"/>
      <c r="N211" s="39"/>
      <c r="O211" s="39"/>
      <c r="P211" s="39"/>
      <c r="Q211" s="39"/>
      <c r="R211" s="39"/>
      <c r="S211" s="39"/>
      <c r="T211" s="39"/>
      <c r="U211" s="39"/>
      <c r="V211" s="39"/>
      <c r="W211" s="39"/>
      <c r="X211" s="39"/>
      <c r="Y211" s="39"/>
      <c r="Z211" s="39"/>
      <c r="AA211" s="39"/>
      <c r="AB211" s="39"/>
      <c r="AC211" s="39"/>
      <c r="AD211" s="39"/>
      <c r="AE211" s="39"/>
      <c r="AF211" s="39"/>
      <c r="AG211" s="39"/>
      <c r="AH211" s="39"/>
    </row>
    <row r="212" spans="1:34" s="38" customFormat="1" x14ac:dyDescent="0.25">
      <c r="A212" s="52">
        <v>12</v>
      </c>
      <c r="B212" s="53">
        <f t="shared" si="7"/>
        <v>40909</v>
      </c>
      <c r="C212" s="53">
        <f t="shared" si="8"/>
        <v>41122</v>
      </c>
      <c r="D212" s="55">
        <v>26000</v>
      </c>
      <c r="E212" s="56">
        <v>3000</v>
      </c>
      <c r="F212" s="57"/>
      <c r="H212" s="39"/>
      <c r="I212" s="39"/>
      <c r="J212" s="39"/>
      <c r="K212" s="39"/>
      <c r="L212" s="39"/>
      <c r="M212" s="39"/>
      <c r="N212" s="39"/>
      <c r="O212" s="39"/>
      <c r="P212" s="39"/>
      <c r="Q212" s="39"/>
      <c r="R212" s="39"/>
      <c r="S212" s="39"/>
      <c r="T212" s="39"/>
      <c r="U212" s="39"/>
      <c r="V212" s="39"/>
      <c r="W212" s="39"/>
      <c r="X212" s="39"/>
      <c r="Y212" s="39"/>
      <c r="Z212" s="39"/>
      <c r="AA212" s="39"/>
      <c r="AB212" s="39"/>
      <c r="AC212" s="39"/>
      <c r="AD212" s="39"/>
      <c r="AE212" s="39"/>
      <c r="AF212" s="39"/>
      <c r="AG212" s="39"/>
      <c r="AH212" s="39"/>
    </row>
    <row r="213" spans="1:34" s="38" customFormat="1" x14ac:dyDescent="0.25">
      <c r="A213" s="52">
        <v>12</v>
      </c>
      <c r="B213" s="53">
        <f t="shared" si="7"/>
        <v>40909</v>
      </c>
      <c r="C213" s="53">
        <f t="shared" si="8"/>
        <v>41153</v>
      </c>
      <c r="D213" s="55">
        <v>13000</v>
      </c>
      <c r="E213" s="56">
        <v>1000</v>
      </c>
      <c r="F213" s="57"/>
      <c r="H213" s="39"/>
      <c r="I213" s="39"/>
      <c r="J213" s="39"/>
      <c r="K213" s="39"/>
      <c r="L213" s="39"/>
      <c r="M213" s="39"/>
      <c r="N213" s="39"/>
      <c r="O213" s="39"/>
      <c r="P213" s="39"/>
      <c r="Q213" s="39"/>
      <c r="R213" s="39"/>
      <c r="S213" s="39"/>
      <c r="T213" s="39"/>
      <c r="U213" s="39"/>
      <c r="V213" s="39"/>
      <c r="W213" s="39"/>
      <c r="X213" s="39"/>
      <c r="Y213" s="39"/>
      <c r="Z213" s="39"/>
      <c r="AA213" s="39"/>
      <c r="AB213" s="39"/>
      <c r="AC213" s="39"/>
      <c r="AD213" s="39"/>
      <c r="AE213" s="39"/>
      <c r="AF213" s="39"/>
      <c r="AG213" s="39"/>
      <c r="AH213" s="39"/>
    </row>
    <row r="214" spans="1:34" s="38" customFormat="1" x14ac:dyDescent="0.25">
      <c r="A214" s="52">
        <v>12</v>
      </c>
      <c r="B214" s="53">
        <f t="shared" si="7"/>
        <v>40909</v>
      </c>
      <c r="C214" s="53">
        <f t="shared" si="8"/>
        <v>41183</v>
      </c>
      <c r="D214" s="55">
        <v>25000</v>
      </c>
      <c r="E214" s="56">
        <v>3600</v>
      </c>
      <c r="F214" s="57"/>
      <c r="H214" s="39"/>
      <c r="I214" s="39"/>
      <c r="J214" s="39"/>
      <c r="K214" s="39"/>
      <c r="L214" s="39"/>
      <c r="M214" s="39"/>
      <c r="N214" s="39"/>
      <c r="O214" s="39"/>
      <c r="P214" s="39"/>
      <c r="Q214" s="39"/>
      <c r="R214" s="39"/>
      <c r="S214" s="39"/>
      <c r="T214" s="39"/>
      <c r="U214" s="39"/>
      <c r="V214" s="39"/>
      <c r="W214" s="39"/>
      <c r="X214" s="39"/>
      <c r="Y214" s="39"/>
      <c r="Z214" s="39"/>
      <c r="AA214" s="39"/>
      <c r="AB214" s="39"/>
      <c r="AC214" s="39"/>
      <c r="AD214" s="39"/>
      <c r="AE214" s="39"/>
      <c r="AF214" s="39"/>
      <c r="AG214" s="39"/>
      <c r="AH214" s="39"/>
    </row>
    <row r="215" spans="1:34" s="38" customFormat="1" x14ac:dyDescent="0.25">
      <c r="A215" s="52">
        <v>12</v>
      </c>
      <c r="B215" s="53">
        <f t="shared" si="7"/>
        <v>40909</v>
      </c>
      <c r="C215" s="53">
        <f t="shared" si="8"/>
        <v>41214</v>
      </c>
      <c r="D215" s="55">
        <v>-20000</v>
      </c>
      <c r="E215" s="56">
        <v>2000</v>
      </c>
      <c r="F215" s="57"/>
      <c r="H215" s="39"/>
      <c r="I215" s="39"/>
      <c r="J215" s="39"/>
      <c r="K215" s="39"/>
      <c r="L215" s="39"/>
      <c r="M215" s="39"/>
      <c r="N215" s="39"/>
      <c r="O215" s="39"/>
      <c r="P215" s="39"/>
      <c r="Q215" s="39"/>
      <c r="R215" s="39"/>
      <c r="S215" s="39"/>
      <c r="T215" s="39"/>
      <c r="U215" s="39"/>
      <c r="V215" s="39"/>
      <c r="W215" s="39"/>
      <c r="X215" s="39"/>
      <c r="Y215" s="39"/>
      <c r="Z215" s="39"/>
      <c r="AA215" s="39"/>
      <c r="AB215" s="39"/>
      <c r="AC215" s="39"/>
      <c r="AD215" s="39"/>
      <c r="AE215" s="39"/>
      <c r="AF215" s="39"/>
      <c r="AG215" s="39"/>
      <c r="AH215" s="39"/>
    </row>
    <row r="216" spans="1:34" s="38" customFormat="1" x14ac:dyDescent="0.25">
      <c r="A216" s="52">
        <v>12</v>
      </c>
      <c r="B216" s="53">
        <f t="shared" si="7"/>
        <v>40909</v>
      </c>
      <c r="C216" s="53">
        <f t="shared" si="8"/>
        <v>41244</v>
      </c>
      <c r="D216" s="55">
        <v>50000</v>
      </c>
      <c r="E216" s="56">
        <v>4000</v>
      </c>
      <c r="F216" s="57"/>
      <c r="H216" s="39"/>
      <c r="I216" s="39"/>
      <c r="J216" s="39"/>
      <c r="K216" s="39"/>
      <c r="L216" s="39"/>
      <c r="M216" s="39"/>
      <c r="N216" s="39"/>
      <c r="O216" s="39"/>
      <c r="P216" s="39"/>
      <c r="Q216" s="39"/>
      <c r="R216" s="39"/>
      <c r="S216" s="39"/>
      <c r="T216" s="39"/>
      <c r="U216" s="39"/>
      <c r="V216" s="39"/>
      <c r="W216" s="39"/>
      <c r="X216" s="39"/>
      <c r="Y216" s="39"/>
      <c r="Z216" s="39"/>
      <c r="AA216" s="39"/>
      <c r="AB216" s="39"/>
      <c r="AC216" s="39"/>
      <c r="AD216" s="39"/>
      <c r="AE216" s="39"/>
      <c r="AF216" s="39"/>
      <c r="AG216" s="39"/>
      <c r="AH216" s="39"/>
    </row>
    <row r="217" spans="1:34" s="38" customFormat="1" x14ac:dyDescent="0.25">
      <c r="A217" s="52">
        <v>11</v>
      </c>
      <c r="B217" s="53">
        <f t="shared" si="7"/>
        <v>40940</v>
      </c>
      <c r="C217" s="53">
        <f t="shared" si="8"/>
        <v>40940</v>
      </c>
      <c r="D217" s="55">
        <v>1594000</v>
      </c>
      <c r="E217" s="56">
        <v>276000</v>
      </c>
      <c r="F217" s="57"/>
      <c r="H217" s="39"/>
      <c r="I217" s="39"/>
      <c r="J217" s="39"/>
      <c r="K217" s="39"/>
      <c r="L217" s="39"/>
      <c r="M217" s="39"/>
      <c r="N217" s="39"/>
      <c r="O217" s="39"/>
      <c r="P217" s="39"/>
      <c r="Q217" s="39"/>
      <c r="R217" s="39"/>
      <c r="S217" s="39"/>
      <c r="T217" s="39"/>
      <c r="U217" s="39"/>
      <c r="V217" s="39"/>
      <c r="W217" s="39"/>
      <c r="X217" s="39"/>
      <c r="Y217" s="39"/>
      <c r="Z217" s="39"/>
      <c r="AA217" s="39"/>
      <c r="AB217" s="39"/>
      <c r="AC217" s="39"/>
      <c r="AD217" s="39"/>
      <c r="AE217" s="39"/>
      <c r="AF217" s="39"/>
      <c r="AG217" s="39"/>
      <c r="AH217" s="39"/>
    </row>
    <row r="218" spans="1:34" s="38" customFormat="1" x14ac:dyDescent="0.25">
      <c r="A218" s="52">
        <v>11</v>
      </c>
      <c r="B218" s="53">
        <f t="shared" si="7"/>
        <v>40940</v>
      </c>
      <c r="C218" s="53">
        <f t="shared" si="8"/>
        <v>40969</v>
      </c>
      <c r="D218" s="55">
        <v>4996000</v>
      </c>
      <c r="E218" s="56">
        <v>227000</v>
      </c>
      <c r="F218" s="57"/>
      <c r="H218" s="39"/>
      <c r="I218" s="39"/>
      <c r="J218" s="39"/>
      <c r="K218" s="39"/>
      <c r="L218" s="39"/>
      <c r="M218" s="39"/>
      <c r="N218" s="39"/>
      <c r="O218" s="39"/>
      <c r="P218" s="39"/>
      <c r="Q218" s="39"/>
      <c r="R218" s="39"/>
      <c r="S218" s="39"/>
      <c r="T218" s="39"/>
      <c r="U218" s="39"/>
      <c r="V218" s="39"/>
      <c r="W218" s="39"/>
      <c r="X218" s="39"/>
      <c r="Y218" s="39"/>
      <c r="Z218" s="39"/>
      <c r="AA218" s="39"/>
      <c r="AB218" s="39"/>
      <c r="AC218" s="39"/>
      <c r="AD218" s="39"/>
      <c r="AE218" s="39"/>
      <c r="AF218" s="39"/>
      <c r="AG218" s="39"/>
      <c r="AH218" s="39"/>
    </row>
    <row r="219" spans="1:34" s="38" customFormat="1" x14ac:dyDescent="0.25">
      <c r="A219" s="52">
        <v>11</v>
      </c>
      <c r="B219" s="53">
        <f t="shared" si="7"/>
        <v>40940</v>
      </c>
      <c r="C219" s="53">
        <f t="shared" si="8"/>
        <v>41000</v>
      </c>
      <c r="D219" s="55">
        <v>768000</v>
      </c>
      <c r="E219" s="56">
        <v>49000</v>
      </c>
      <c r="F219" s="57"/>
      <c r="H219" s="39"/>
      <c r="I219" s="39"/>
      <c r="J219" s="39"/>
      <c r="K219" s="39"/>
      <c r="L219" s="39"/>
      <c r="M219" s="39"/>
      <c r="N219" s="39"/>
      <c r="O219" s="39"/>
      <c r="P219" s="39"/>
      <c r="Q219" s="39"/>
      <c r="R219" s="39"/>
      <c r="S219" s="39"/>
      <c r="T219" s="39"/>
      <c r="U219" s="39"/>
      <c r="V219" s="39"/>
      <c r="W219" s="39"/>
      <c r="X219" s="39"/>
      <c r="Y219" s="39"/>
      <c r="Z219" s="39"/>
      <c r="AA219" s="39"/>
      <c r="AB219" s="39"/>
      <c r="AC219" s="39"/>
      <c r="AD219" s="39"/>
      <c r="AE219" s="39"/>
      <c r="AF219" s="39"/>
      <c r="AG219" s="39"/>
      <c r="AH219" s="39"/>
    </row>
    <row r="220" spans="1:34" s="38" customFormat="1" x14ac:dyDescent="0.25">
      <c r="A220" s="52">
        <v>11</v>
      </c>
      <c r="B220" s="53">
        <f t="shared" si="7"/>
        <v>40940</v>
      </c>
      <c r="C220" s="53">
        <f t="shared" si="8"/>
        <v>41030</v>
      </c>
      <c r="D220" s="55">
        <v>260000</v>
      </c>
      <c r="E220" s="56">
        <v>18000</v>
      </c>
      <c r="F220" s="57"/>
      <c r="H220" s="39"/>
      <c r="I220" s="39"/>
      <c r="J220" s="39"/>
      <c r="K220" s="39"/>
      <c r="L220" s="39"/>
      <c r="M220" s="39"/>
      <c r="N220" s="39"/>
      <c r="O220" s="39"/>
      <c r="P220" s="39"/>
      <c r="Q220" s="39"/>
      <c r="R220" s="39"/>
      <c r="S220" s="39"/>
      <c r="T220" s="39"/>
      <c r="U220" s="39"/>
      <c r="V220" s="39"/>
      <c r="W220" s="39"/>
      <c r="X220" s="39"/>
      <c r="Y220" s="39"/>
      <c r="Z220" s="39"/>
      <c r="AA220" s="39"/>
      <c r="AB220" s="39"/>
      <c r="AC220" s="39"/>
      <c r="AD220" s="39"/>
      <c r="AE220" s="39"/>
      <c r="AF220" s="39"/>
      <c r="AG220" s="39"/>
      <c r="AH220" s="39"/>
    </row>
    <row r="221" spans="1:34" s="38" customFormat="1" x14ac:dyDescent="0.25">
      <c r="A221" s="52">
        <v>11</v>
      </c>
      <c r="B221" s="53">
        <f t="shared" si="7"/>
        <v>40940</v>
      </c>
      <c r="C221" s="53">
        <f t="shared" si="8"/>
        <v>41061</v>
      </c>
      <c r="D221" s="55">
        <v>340000</v>
      </c>
      <c r="E221" s="56">
        <v>24000</v>
      </c>
      <c r="F221" s="57"/>
      <c r="H221" s="39"/>
      <c r="I221" s="39"/>
      <c r="J221" s="39"/>
      <c r="K221" s="39"/>
      <c r="L221" s="39"/>
      <c r="M221" s="39"/>
      <c r="N221" s="39"/>
      <c r="O221" s="39"/>
      <c r="P221" s="39"/>
      <c r="Q221" s="39"/>
      <c r="R221" s="39"/>
      <c r="S221" s="39"/>
      <c r="T221" s="39"/>
      <c r="U221" s="39"/>
      <c r="V221" s="39"/>
      <c r="W221" s="39"/>
      <c r="X221" s="39"/>
      <c r="Y221" s="39"/>
      <c r="Z221" s="39"/>
      <c r="AA221" s="39"/>
      <c r="AB221" s="39"/>
      <c r="AC221" s="39"/>
      <c r="AD221" s="39"/>
      <c r="AE221" s="39"/>
      <c r="AF221" s="39"/>
      <c r="AG221" s="39"/>
      <c r="AH221" s="39"/>
    </row>
    <row r="222" spans="1:34" s="38" customFormat="1" x14ac:dyDescent="0.25">
      <c r="A222" s="52">
        <v>11</v>
      </c>
      <c r="B222" s="53">
        <f t="shared" si="7"/>
        <v>40940</v>
      </c>
      <c r="C222" s="53">
        <f t="shared" si="8"/>
        <v>41091</v>
      </c>
      <c r="D222" s="55">
        <v>114000</v>
      </c>
      <c r="E222" s="56">
        <v>0</v>
      </c>
      <c r="F222" s="57"/>
      <c r="H222" s="39"/>
      <c r="I222" s="39"/>
      <c r="J222" s="39"/>
      <c r="K222" s="39"/>
      <c r="L222" s="39"/>
      <c r="M222" s="39"/>
      <c r="N222" s="39"/>
      <c r="O222" s="39"/>
      <c r="P222" s="39"/>
      <c r="Q222" s="39"/>
      <c r="R222" s="39"/>
      <c r="S222" s="39"/>
      <c r="T222" s="39"/>
      <c r="U222" s="39"/>
      <c r="V222" s="39"/>
      <c r="W222" s="39"/>
      <c r="X222" s="39"/>
      <c r="Y222" s="39"/>
      <c r="Z222" s="39"/>
      <c r="AA222" s="39"/>
      <c r="AB222" s="39"/>
      <c r="AC222" s="39"/>
      <c r="AD222" s="39"/>
      <c r="AE222" s="39"/>
      <c r="AF222" s="39"/>
      <c r="AG222" s="39"/>
      <c r="AH222" s="39"/>
    </row>
    <row r="223" spans="1:34" s="38" customFormat="1" x14ac:dyDescent="0.25">
      <c r="A223" s="52">
        <v>11</v>
      </c>
      <c r="B223" s="53">
        <f t="shared" si="7"/>
        <v>40940</v>
      </c>
      <c r="C223" s="53">
        <f t="shared" si="8"/>
        <v>41122</v>
      </c>
      <c r="D223" s="55">
        <v>36000</v>
      </c>
      <c r="E223" s="56">
        <v>5000</v>
      </c>
      <c r="F223" s="57"/>
      <c r="H223" s="39"/>
      <c r="I223" s="39"/>
      <c r="J223" s="39"/>
      <c r="K223" s="39"/>
      <c r="L223" s="39"/>
      <c r="M223" s="39"/>
      <c r="N223" s="39"/>
      <c r="O223" s="39"/>
      <c r="P223" s="39"/>
      <c r="Q223" s="39"/>
      <c r="R223" s="39"/>
      <c r="S223" s="39"/>
      <c r="T223" s="39"/>
      <c r="U223" s="39"/>
      <c r="V223" s="39"/>
      <c r="W223" s="39"/>
      <c r="X223" s="39"/>
      <c r="Y223" s="39"/>
      <c r="Z223" s="39"/>
      <c r="AA223" s="39"/>
      <c r="AB223" s="39"/>
      <c r="AC223" s="39"/>
      <c r="AD223" s="39"/>
      <c r="AE223" s="39"/>
      <c r="AF223" s="39"/>
      <c r="AG223" s="39"/>
      <c r="AH223" s="39"/>
    </row>
    <row r="224" spans="1:34" s="38" customFormat="1" x14ac:dyDescent="0.25">
      <c r="A224" s="52">
        <v>11</v>
      </c>
      <c r="B224" s="53">
        <f t="shared" si="7"/>
        <v>40940</v>
      </c>
      <c r="C224" s="53">
        <f t="shared" si="8"/>
        <v>41153</v>
      </c>
      <c r="D224" s="55">
        <v>42000</v>
      </c>
      <c r="E224" s="56">
        <v>2000</v>
      </c>
      <c r="F224" s="57"/>
      <c r="H224" s="39"/>
      <c r="I224" s="39"/>
      <c r="J224" s="39"/>
      <c r="K224" s="39"/>
      <c r="L224" s="39"/>
      <c r="M224" s="39"/>
      <c r="N224" s="39"/>
      <c r="O224" s="39"/>
      <c r="P224" s="39"/>
      <c r="Q224" s="39"/>
      <c r="R224" s="39"/>
      <c r="S224" s="39"/>
      <c r="T224" s="39"/>
      <c r="U224" s="39"/>
      <c r="V224" s="39"/>
      <c r="W224" s="39"/>
      <c r="X224" s="39"/>
      <c r="Y224" s="39"/>
      <c r="Z224" s="39"/>
      <c r="AA224" s="39"/>
      <c r="AB224" s="39"/>
      <c r="AC224" s="39"/>
      <c r="AD224" s="39"/>
      <c r="AE224" s="39"/>
      <c r="AF224" s="39"/>
      <c r="AG224" s="39"/>
      <c r="AH224" s="39"/>
    </row>
    <row r="225" spans="1:34" s="38" customFormat="1" x14ac:dyDescent="0.25">
      <c r="A225" s="52">
        <v>11</v>
      </c>
      <c r="B225" s="53">
        <f t="shared" si="7"/>
        <v>40940</v>
      </c>
      <c r="C225" s="53">
        <f t="shared" si="8"/>
        <v>41183</v>
      </c>
      <c r="D225" s="55">
        <v>27000</v>
      </c>
      <c r="E225" s="56">
        <v>2100</v>
      </c>
      <c r="F225" s="57"/>
      <c r="H225" s="39"/>
      <c r="I225" s="39"/>
      <c r="J225" s="39"/>
      <c r="K225" s="39"/>
      <c r="L225" s="39"/>
      <c r="M225" s="39"/>
      <c r="N225" s="39"/>
      <c r="O225" s="39"/>
      <c r="P225" s="39"/>
      <c r="Q225" s="39"/>
      <c r="R225" s="39"/>
      <c r="S225" s="39"/>
      <c r="T225" s="39"/>
      <c r="U225" s="39"/>
      <c r="V225" s="39"/>
      <c r="W225" s="39"/>
      <c r="X225" s="39"/>
      <c r="Y225" s="39"/>
      <c r="Z225" s="39"/>
      <c r="AA225" s="39"/>
      <c r="AB225" s="39"/>
      <c r="AC225" s="39"/>
      <c r="AD225" s="39"/>
      <c r="AE225" s="39"/>
      <c r="AF225" s="39"/>
      <c r="AG225" s="39"/>
      <c r="AH225" s="39"/>
    </row>
    <row r="226" spans="1:34" s="38" customFormat="1" x14ac:dyDescent="0.25">
      <c r="A226" s="52">
        <v>11</v>
      </c>
      <c r="B226" s="53">
        <f t="shared" si="7"/>
        <v>40940</v>
      </c>
      <c r="C226" s="53">
        <f t="shared" si="8"/>
        <v>41214</v>
      </c>
      <c r="D226" s="55">
        <v>2000</v>
      </c>
      <c r="E226" s="56">
        <v>0</v>
      </c>
      <c r="F226" s="57"/>
      <c r="H226" s="39"/>
      <c r="I226" s="39"/>
      <c r="J226" s="39"/>
      <c r="K226" s="39"/>
      <c r="L226" s="39"/>
      <c r="M226" s="39"/>
      <c r="N226" s="39"/>
      <c r="O226" s="39"/>
      <c r="P226" s="39"/>
      <c r="Q226" s="39"/>
      <c r="R226" s="39"/>
      <c r="S226" s="39"/>
      <c r="T226" s="39"/>
      <c r="U226" s="39"/>
      <c r="V226" s="39"/>
      <c r="W226" s="39"/>
      <c r="X226" s="39"/>
      <c r="Y226" s="39"/>
      <c r="Z226" s="39"/>
      <c r="AA226" s="39"/>
      <c r="AB226" s="39"/>
      <c r="AC226" s="39"/>
      <c r="AD226" s="39"/>
      <c r="AE226" s="39"/>
      <c r="AF226" s="39"/>
      <c r="AG226" s="39"/>
      <c r="AH226" s="39"/>
    </row>
    <row r="227" spans="1:34" s="38" customFormat="1" x14ac:dyDescent="0.25">
      <c r="A227" s="52">
        <v>11</v>
      </c>
      <c r="B227" s="53">
        <f t="shared" si="7"/>
        <v>40940</v>
      </c>
      <c r="C227" s="53">
        <f t="shared" si="8"/>
        <v>41244</v>
      </c>
      <c r="D227" s="55">
        <v>-5000</v>
      </c>
      <c r="E227" s="56">
        <v>3500</v>
      </c>
      <c r="F227" s="57"/>
      <c r="H227" s="39"/>
      <c r="I227" s="39"/>
      <c r="J227" s="39"/>
      <c r="K227" s="39"/>
      <c r="L227" s="39"/>
      <c r="M227" s="39"/>
      <c r="N227" s="39"/>
      <c r="O227" s="39"/>
      <c r="P227" s="39"/>
      <c r="Q227" s="39"/>
      <c r="R227" s="39"/>
      <c r="S227" s="39"/>
      <c r="T227" s="39"/>
      <c r="U227" s="39"/>
      <c r="V227" s="39"/>
      <c r="W227" s="39"/>
      <c r="X227" s="39"/>
      <c r="Y227" s="39"/>
      <c r="Z227" s="39"/>
      <c r="AA227" s="39"/>
      <c r="AB227" s="39"/>
      <c r="AC227" s="39"/>
      <c r="AD227" s="39"/>
      <c r="AE227" s="39"/>
      <c r="AF227" s="39"/>
      <c r="AG227" s="39"/>
      <c r="AH227" s="39"/>
    </row>
    <row r="228" spans="1:34" s="38" customFormat="1" x14ac:dyDescent="0.25">
      <c r="A228" s="52">
        <v>10</v>
      </c>
      <c r="B228" s="53">
        <f t="shared" si="7"/>
        <v>40969</v>
      </c>
      <c r="C228" s="53">
        <f t="shared" si="8"/>
        <v>40969</v>
      </c>
      <c r="D228" s="55">
        <v>2894000</v>
      </c>
      <c r="E228" s="56">
        <v>228000</v>
      </c>
      <c r="F228" s="57"/>
      <c r="H228" s="39"/>
      <c r="I228" s="39"/>
      <c r="J228" s="39"/>
      <c r="K228" s="39"/>
      <c r="L228" s="39"/>
      <c r="M228" s="39"/>
      <c r="N228" s="39"/>
      <c r="O228" s="39"/>
      <c r="P228" s="39"/>
      <c r="Q228" s="39"/>
      <c r="R228" s="39"/>
      <c r="S228" s="39"/>
      <c r="T228" s="39"/>
      <c r="U228" s="39"/>
      <c r="V228" s="39"/>
      <c r="W228" s="39"/>
      <c r="X228" s="39"/>
      <c r="Y228" s="39"/>
      <c r="Z228" s="39"/>
      <c r="AA228" s="39"/>
      <c r="AB228" s="39"/>
      <c r="AC228" s="39"/>
      <c r="AD228" s="39"/>
      <c r="AE228" s="39"/>
      <c r="AF228" s="39"/>
      <c r="AG228" s="39"/>
      <c r="AH228" s="39"/>
    </row>
    <row r="229" spans="1:34" s="38" customFormat="1" x14ac:dyDescent="0.25">
      <c r="A229" s="52">
        <v>10</v>
      </c>
      <c r="B229" s="53">
        <f t="shared" si="7"/>
        <v>40969</v>
      </c>
      <c r="C229" s="53">
        <f t="shared" si="8"/>
        <v>41000</v>
      </c>
      <c r="D229" s="55">
        <v>4857000</v>
      </c>
      <c r="E229" s="56">
        <v>80000</v>
      </c>
      <c r="F229" s="57"/>
      <c r="H229" s="39"/>
      <c r="I229" s="39"/>
      <c r="J229" s="39"/>
      <c r="K229" s="39"/>
      <c r="L229" s="39"/>
      <c r="M229" s="39"/>
      <c r="N229" s="39"/>
      <c r="O229" s="39"/>
      <c r="P229" s="39"/>
      <c r="Q229" s="39"/>
      <c r="R229" s="39"/>
      <c r="S229" s="39"/>
      <c r="T229" s="39"/>
      <c r="U229" s="39"/>
      <c r="V229" s="39"/>
      <c r="W229" s="39"/>
      <c r="X229" s="39"/>
      <c r="Y229" s="39"/>
      <c r="Z229" s="39"/>
      <c r="AA229" s="39"/>
      <c r="AB229" s="39"/>
      <c r="AC229" s="39"/>
      <c r="AD229" s="39"/>
      <c r="AE229" s="39"/>
      <c r="AF229" s="39"/>
      <c r="AG229" s="39"/>
      <c r="AH229" s="39"/>
    </row>
    <row r="230" spans="1:34" s="38" customFormat="1" x14ac:dyDescent="0.25">
      <c r="A230" s="52">
        <v>10</v>
      </c>
      <c r="B230" s="53">
        <f t="shared" si="7"/>
        <v>40969</v>
      </c>
      <c r="C230" s="53">
        <f t="shared" si="8"/>
        <v>41030</v>
      </c>
      <c r="D230" s="55">
        <v>961000</v>
      </c>
      <c r="E230" s="56">
        <v>18000</v>
      </c>
      <c r="F230" s="57"/>
      <c r="H230" s="39"/>
      <c r="I230" s="39"/>
      <c r="J230" s="39"/>
      <c r="K230" s="39"/>
      <c r="L230" s="39"/>
      <c r="M230" s="39"/>
      <c r="N230" s="39"/>
      <c r="O230" s="39"/>
      <c r="P230" s="39"/>
      <c r="Q230" s="39"/>
      <c r="R230" s="39"/>
      <c r="S230" s="39"/>
      <c r="T230" s="39"/>
      <c r="U230" s="39"/>
      <c r="V230" s="39"/>
      <c r="W230" s="39"/>
      <c r="X230" s="39"/>
      <c r="Y230" s="39"/>
      <c r="Z230" s="39"/>
      <c r="AA230" s="39"/>
      <c r="AB230" s="39"/>
      <c r="AC230" s="39"/>
      <c r="AD230" s="39"/>
      <c r="AE230" s="39"/>
      <c r="AF230" s="39"/>
      <c r="AG230" s="39"/>
      <c r="AH230" s="39"/>
    </row>
    <row r="231" spans="1:34" s="38" customFormat="1" x14ac:dyDescent="0.25">
      <c r="A231" s="52">
        <v>10</v>
      </c>
      <c r="B231" s="53">
        <f t="shared" si="7"/>
        <v>40969</v>
      </c>
      <c r="C231" s="53">
        <f t="shared" si="8"/>
        <v>41061</v>
      </c>
      <c r="D231" s="55">
        <v>445000</v>
      </c>
      <c r="E231" s="56">
        <v>31000</v>
      </c>
      <c r="F231" s="57"/>
      <c r="H231" s="39"/>
      <c r="I231" s="39"/>
      <c r="J231" s="39"/>
      <c r="K231" s="39"/>
      <c r="L231" s="39"/>
      <c r="M231" s="39"/>
      <c r="N231" s="39"/>
      <c r="O231" s="39"/>
      <c r="P231" s="39"/>
      <c r="Q231" s="39"/>
      <c r="R231" s="39"/>
      <c r="S231" s="39"/>
      <c r="T231" s="39"/>
      <c r="U231" s="39"/>
      <c r="V231" s="39"/>
      <c r="W231" s="39"/>
      <c r="X231" s="39"/>
      <c r="Y231" s="39"/>
      <c r="Z231" s="39"/>
      <c r="AA231" s="39"/>
      <c r="AB231" s="39"/>
      <c r="AC231" s="39"/>
      <c r="AD231" s="39"/>
      <c r="AE231" s="39"/>
      <c r="AF231" s="39"/>
      <c r="AG231" s="39"/>
      <c r="AH231" s="39"/>
    </row>
    <row r="232" spans="1:34" s="38" customFormat="1" x14ac:dyDescent="0.25">
      <c r="A232" s="52">
        <v>10</v>
      </c>
      <c r="B232" s="53">
        <f t="shared" si="7"/>
        <v>40969</v>
      </c>
      <c r="C232" s="53">
        <f t="shared" si="8"/>
        <v>41091</v>
      </c>
      <c r="D232" s="55">
        <v>127000</v>
      </c>
      <c r="E232" s="56">
        <v>3000</v>
      </c>
      <c r="F232" s="57"/>
      <c r="H232" s="39"/>
      <c r="I232" s="39"/>
      <c r="J232" s="39"/>
      <c r="K232" s="39"/>
      <c r="L232" s="39"/>
      <c r="M232" s="39"/>
      <c r="N232" s="39"/>
      <c r="O232" s="39"/>
      <c r="P232" s="39"/>
      <c r="Q232" s="39"/>
      <c r="R232" s="39"/>
      <c r="S232" s="39"/>
      <c r="T232" s="39"/>
      <c r="U232" s="39"/>
      <c r="V232" s="39"/>
      <c r="W232" s="39"/>
      <c r="X232" s="39"/>
      <c r="Y232" s="39"/>
      <c r="Z232" s="39"/>
      <c r="AA232" s="39"/>
      <c r="AB232" s="39"/>
      <c r="AC232" s="39"/>
      <c r="AD232" s="39"/>
      <c r="AE232" s="39"/>
      <c r="AF232" s="39"/>
      <c r="AG232" s="39"/>
      <c r="AH232" s="39"/>
    </row>
    <row r="233" spans="1:34" s="38" customFormat="1" x14ac:dyDescent="0.25">
      <c r="A233" s="52">
        <v>10</v>
      </c>
      <c r="B233" s="53">
        <f t="shared" si="7"/>
        <v>40969</v>
      </c>
      <c r="C233" s="53">
        <f t="shared" si="8"/>
        <v>41122</v>
      </c>
      <c r="D233" s="55">
        <v>131000</v>
      </c>
      <c r="E233" s="56">
        <v>5000</v>
      </c>
      <c r="F233" s="57"/>
      <c r="H233" s="39"/>
      <c r="I233" s="39"/>
      <c r="J233" s="39"/>
      <c r="K233" s="39"/>
      <c r="L233" s="39"/>
      <c r="M233" s="39"/>
      <c r="N233" s="39"/>
      <c r="O233" s="39"/>
      <c r="P233" s="39"/>
      <c r="Q233" s="39"/>
      <c r="R233" s="39"/>
      <c r="S233" s="39"/>
      <c r="T233" s="39"/>
      <c r="U233" s="39"/>
      <c r="V233" s="39"/>
      <c r="W233" s="39"/>
      <c r="X233" s="39"/>
      <c r="Y233" s="39"/>
      <c r="Z233" s="39"/>
      <c r="AA233" s="39"/>
      <c r="AB233" s="39"/>
      <c r="AC233" s="39"/>
      <c r="AD233" s="39"/>
      <c r="AE233" s="39"/>
      <c r="AF233" s="39"/>
      <c r="AG233" s="39"/>
      <c r="AH233" s="39"/>
    </row>
    <row r="234" spans="1:34" s="38" customFormat="1" x14ac:dyDescent="0.25">
      <c r="A234" s="52">
        <v>10</v>
      </c>
      <c r="B234" s="53">
        <f t="shared" si="7"/>
        <v>40969</v>
      </c>
      <c r="C234" s="53">
        <f t="shared" si="8"/>
        <v>41153</v>
      </c>
      <c r="D234" s="55">
        <v>24000</v>
      </c>
      <c r="E234" s="56">
        <v>6000</v>
      </c>
      <c r="F234" s="57"/>
      <c r="H234" s="39"/>
      <c r="I234" s="39"/>
      <c r="J234" s="39"/>
      <c r="K234" s="39"/>
      <c r="L234" s="39"/>
      <c r="M234" s="39"/>
      <c r="N234" s="39"/>
      <c r="O234" s="39"/>
      <c r="P234" s="39"/>
      <c r="Q234" s="39"/>
      <c r="R234" s="39"/>
      <c r="S234" s="39"/>
      <c r="T234" s="39"/>
      <c r="U234" s="39"/>
      <c r="V234" s="39"/>
      <c r="W234" s="39"/>
      <c r="X234" s="39"/>
      <c r="Y234" s="39"/>
      <c r="Z234" s="39"/>
      <c r="AA234" s="39"/>
      <c r="AB234" s="39"/>
      <c r="AC234" s="39"/>
      <c r="AD234" s="39"/>
      <c r="AE234" s="39"/>
      <c r="AF234" s="39"/>
      <c r="AG234" s="39"/>
      <c r="AH234" s="39"/>
    </row>
    <row r="235" spans="1:34" s="38" customFormat="1" x14ac:dyDescent="0.25">
      <c r="A235" s="52">
        <v>10</v>
      </c>
      <c r="B235" s="53">
        <f t="shared" si="7"/>
        <v>40969</v>
      </c>
      <c r="C235" s="53">
        <f t="shared" si="8"/>
        <v>41183</v>
      </c>
      <c r="D235" s="55">
        <v>56000</v>
      </c>
      <c r="E235" s="56">
        <v>1000</v>
      </c>
      <c r="F235" s="57"/>
      <c r="H235" s="39"/>
      <c r="I235" s="39"/>
      <c r="J235" s="39"/>
      <c r="K235" s="39"/>
      <c r="L235" s="39"/>
      <c r="M235" s="39"/>
      <c r="N235" s="39"/>
      <c r="O235" s="39"/>
      <c r="P235" s="39"/>
      <c r="Q235" s="39"/>
      <c r="R235" s="39"/>
      <c r="S235" s="39"/>
      <c r="T235" s="39"/>
      <c r="U235" s="39"/>
      <c r="V235" s="39"/>
      <c r="W235" s="39"/>
      <c r="X235" s="39"/>
      <c r="Y235" s="39"/>
      <c r="Z235" s="39"/>
      <c r="AA235" s="39"/>
      <c r="AB235" s="39"/>
      <c r="AC235" s="39"/>
      <c r="AD235" s="39"/>
      <c r="AE235" s="39"/>
      <c r="AF235" s="39"/>
      <c r="AG235" s="39"/>
      <c r="AH235" s="39"/>
    </row>
    <row r="236" spans="1:34" s="38" customFormat="1" x14ac:dyDescent="0.25">
      <c r="A236" s="52">
        <v>10</v>
      </c>
      <c r="B236" s="53">
        <f t="shared" si="7"/>
        <v>40969</v>
      </c>
      <c r="C236" s="53">
        <f t="shared" si="8"/>
        <v>41214</v>
      </c>
      <c r="D236" s="55">
        <v>13000</v>
      </c>
      <c r="E236" s="56">
        <v>1000</v>
      </c>
      <c r="F236" s="57"/>
      <c r="H236" s="39"/>
      <c r="I236" s="39"/>
      <c r="J236" s="39"/>
      <c r="K236" s="39"/>
      <c r="L236" s="39"/>
      <c r="M236" s="39"/>
      <c r="N236" s="39"/>
      <c r="O236" s="39"/>
      <c r="P236" s="39"/>
      <c r="Q236" s="39"/>
      <c r="R236" s="39"/>
      <c r="S236" s="39"/>
      <c r="T236" s="39"/>
      <c r="U236" s="39"/>
      <c r="V236" s="39"/>
      <c r="W236" s="39"/>
      <c r="X236" s="39"/>
      <c r="Y236" s="39"/>
      <c r="Z236" s="39"/>
      <c r="AA236" s="39"/>
      <c r="AB236" s="39"/>
      <c r="AC236" s="39"/>
      <c r="AD236" s="39"/>
      <c r="AE236" s="39"/>
      <c r="AF236" s="39"/>
      <c r="AG236" s="39"/>
      <c r="AH236" s="39"/>
    </row>
    <row r="237" spans="1:34" s="38" customFormat="1" x14ac:dyDescent="0.25">
      <c r="A237" s="52">
        <v>10</v>
      </c>
      <c r="B237" s="53">
        <f t="shared" si="7"/>
        <v>40969</v>
      </c>
      <c r="C237" s="53">
        <f t="shared" si="8"/>
        <v>41244</v>
      </c>
      <c r="D237" s="55">
        <v>38000</v>
      </c>
      <c r="E237" s="56">
        <v>0</v>
      </c>
      <c r="F237" s="57"/>
      <c r="H237" s="39"/>
      <c r="I237" s="39"/>
      <c r="J237" s="39"/>
      <c r="K237" s="39"/>
      <c r="L237" s="39"/>
      <c r="M237" s="39"/>
      <c r="N237" s="39"/>
      <c r="O237" s="39"/>
      <c r="P237" s="39"/>
      <c r="Q237" s="39"/>
      <c r="R237" s="39"/>
      <c r="S237" s="39"/>
      <c r="T237" s="39"/>
      <c r="U237" s="39"/>
      <c r="V237" s="39"/>
      <c r="W237" s="39"/>
      <c r="X237" s="39"/>
      <c r="Y237" s="39"/>
      <c r="Z237" s="39"/>
      <c r="AA237" s="39"/>
      <c r="AB237" s="39"/>
      <c r="AC237" s="39"/>
      <c r="AD237" s="39"/>
      <c r="AE237" s="39"/>
      <c r="AF237" s="39"/>
      <c r="AG237" s="39"/>
      <c r="AH237" s="39"/>
    </row>
    <row r="238" spans="1:34" s="38" customFormat="1" x14ac:dyDescent="0.25">
      <c r="A238" s="52">
        <v>9</v>
      </c>
      <c r="B238" s="53">
        <f t="shared" si="7"/>
        <v>41000</v>
      </c>
      <c r="C238" s="53">
        <f t="shared" si="8"/>
        <v>41000</v>
      </c>
      <c r="D238" s="55">
        <v>2383000</v>
      </c>
      <c r="E238" s="56">
        <v>184000</v>
      </c>
      <c r="F238" s="57"/>
      <c r="H238" s="39"/>
      <c r="I238" s="39"/>
      <c r="J238" s="39"/>
      <c r="K238" s="39"/>
      <c r="L238" s="39"/>
      <c r="M238" s="39"/>
      <c r="N238" s="39"/>
      <c r="O238" s="39"/>
      <c r="P238" s="39"/>
      <c r="Q238" s="39"/>
      <c r="R238" s="39"/>
      <c r="S238" s="39"/>
      <c r="T238" s="39"/>
      <c r="U238" s="39"/>
      <c r="V238" s="39"/>
      <c r="W238" s="39"/>
      <c r="X238" s="39"/>
      <c r="Y238" s="39"/>
      <c r="Z238" s="39"/>
      <c r="AA238" s="39"/>
      <c r="AB238" s="39"/>
      <c r="AC238" s="39"/>
      <c r="AD238" s="39"/>
      <c r="AE238" s="39"/>
      <c r="AF238" s="39"/>
      <c r="AG238" s="39"/>
      <c r="AH238" s="39"/>
    </row>
    <row r="239" spans="1:34" s="38" customFormat="1" x14ac:dyDescent="0.25">
      <c r="A239" s="52">
        <v>9</v>
      </c>
      <c r="B239" s="53">
        <f t="shared" si="7"/>
        <v>41000</v>
      </c>
      <c r="C239" s="53">
        <f t="shared" si="8"/>
        <v>41030</v>
      </c>
      <c r="D239" s="55">
        <v>4659000</v>
      </c>
      <c r="E239" s="56">
        <v>39000</v>
      </c>
      <c r="F239" s="57"/>
      <c r="H239" s="39"/>
      <c r="I239" s="39"/>
      <c r="J239" s="39"/>
      <c r="K239" s="39"/>
      <c r="L239" s="39"/>
      <c r="M239" s="39"/>
      <c r="N239" s="39"/>
      <c r="O239" s="39"/>
      <c r="P239" s="39"/>
      <c r="Q239" s="39"/>
      <c r="R239" s="39"/>
      <c r="S239" s="39"/>
      <c r="T239" s="39"/>
      <c r="U239" s="39"/>
      <c r="V239" s="39"/>
      <c r="W239" s="39"/>
      <c r="X239" s="39"/>
      <c r="Y239" s="39"/>
      <c r="Z239" s="39"/>
      <c r="AA239" s="39"/>
      <c r="AB239" s="39"/>
      <c r="AC239" s="39"/>
      <c r="AD239" s="39"/>
      <c r="AE239" s="39"/>
      <c r="AF239" s="39"/>
      <c r="AG239" s="39"/>
      <c r="AH239" s="39"/>
    </row>
    <row r="240" spans="1:34" s="38" customFormat="1" x14ac:dyDescent="0.25">
      <c r="A240" s="52">
        <v>9</v>
      </c>
      <c r="B240" s="53">
        <f t="shared" si="7"/>
        <v>41000</v>
      </c>
      <c r="C240" s="53">
        <f t="shared" si="8"/>
        <v>41061</v>
      </c>
      <c r="D240" s="55">
        <v>1276000</v>
      </c>
      <c r="E240" s="56">
        <v>101000</v>
      </c>
      <c r="F240" s="57"/>
      <c r="H240" s="39"/>
      <c r="I240" s="39"/>
      <c r="J240" s="39"/>
      <c r="K240" s="39"/>
      <c r="L240" s="39"/>
      <c r="M240" s="39"/>
      <c r="N240" s="39"/>
      <c r="O240" s="39"/>
      <c r="P240" s="39"/>
      <c r="Q240" s="39"/>
      <c r="R240" s="39"/>
      <c r="S240" s="39"/>
      <c r="T240" s="39"/>
      <c r="U240" s="39"/>
      <c r="V240" s="39"/>
      <c r="W240" s="39"/>
      <c r="X240" s="39"/>
      <c r="Y240" s="39"/>
      <c r="Z240" s="39"/>
      <c r="AA240" s="39"/>
      <c r="AB240" s="39"/>
      <c r="AC240" s="39"/>
      <c r="AD240" s="39"/>
      <c r="AE240" s="39"/>
      <c r="AF240" s="39"/>
      <c r="AG240" s="39"/>
      <c r="AH240" s="39"/>
    </row>
    <row r="241" spans="1:34" s="38" customFormat="1" x14ac:dyDescent="0.25">
      <c r="A241" s="52">
        <v>9</v>
      </c>
      <c r="B241" s="53">
        <f t="shared" si="7"/>
        <v>41000</v>
      </c>
      <c r="C241" s="53">
        <f t="shared" si="8"/>
        <v>41091</v>
      </c>
      <c r="D241" s="55">
        <v>355000</v>
      </c>
      <c r="E241" s="56">
        <v>6000</v>
      </c>
      <c r="F241" s="57"/>
      <c r="H241" s="39"/>
      <c r="I241" s="39"/>
      <c r="J241" s="39"/>
      <c r="K241" s="39"/>
      <c r="L241" s="39"/>
      <c r="M241" s="39"/>
      <c r="N241" s="39"/>
      <c r="O241" s="39"/>
      <c r="P241" s="39"/>
      <c r="Q241" s="39"/>
      <c r="R241" s="39"/>
      <c r="S241" s="39"/>
      <c r="T241" s="39"/>
      <c r="U241" s="39"/>
      <c r="V241" s="39"/>
      <c r="W241" s="39"/>
      <c r="X241" s="39"/>
      <c r="Y241" s="39"/>
      <c r="Z241" s="39"/>
      <c r="AA241" s="39"/>
      <c r="AB241" s="39"/>
      <c r="AC241" s="39"/>
      <c r="AD241" s="39"/>
      <c r="AE241" s="39"/>
      <c r="AF241" s="39"/>
      <c r="AG241" s="39"/>
      <c r="AH241" s="39"/>
    </row>
    <row r="242" spans="1:34" s="38" customFormat="1" x14ac:dyDescent="0.25">
      <c r="A242" s="52">
        <v>9</v>
      </c>
      <c r="B242" s="53">
        <f t="shared" si="7"/>
        <v>41000</v>
      </c>
      <c r="C242" s="53">
        <f t="shared" si="8"/>
        <v>41122</v>
      </c>
      <c r="D242" s="55">
        <v>152000</v>
      </c>
      <c r="E242" s="56">
        <v>2000</v>
      </c>
      <c r="F242" s="57"/>
      <c r="H242" s="39"/>
      <c r="I242" s="39"/>
      <c r="J242" s="39"/>
      <c r="K242" s="39"/>
      <c r="L242" s="39"/>
      <c r="M242" s="39"/>
      <c r="N242" s="39"/>
      <c r="O242" s="39"/>
      <c r="P242" s="39"/>
      <c r="Q242" s="39"/>
      <c r="R242" s="39"/>
      <c r="S242" s="39"/>
      <c r="T242" s="39"/>
      <c r="U242" s="39"/>
      <c r="V242" s="39"/>
      <c r="W242" s="39"/>
      <c r="X242" s="39"/>
      <c r="Y242" s="39"/>
      <c r="Z242" s="39"/>
      <c r="AA242" s="39"/>
      <c r="AB242" s="39"/>
      <c r="AC242" s="39"/>
      <c r="AD242" s="39"/>
      <c r="AE242" s="39"/>
      <c r="AF242" s="39"/>
      <c r="AG242" s="39"/>
      <c r="AH242" s="39"/>
    </row>
    <row r="243" spans="1:34" s="38" customFormat="1" x14ac:dyDescent="0.25">
      <c r="A243" s="52">
        <v>9</v>
      </c>
      <c r="B243" s="53">
        <f t="shared" si="7"/>
        <v>41000</v>
      </c>
      <c r="C243" s="53">
        <f t="shared" si="8"/>
        <v>41153</v>
      </c>
      <c r="D243" s="55">
        <v>238000</v>
      </c>
      <c r="E243" s="56">
        <v>5000</v>
      </c>
      <c r="F243" s="57"/>
      <c r="H243" s="39"/>
      <c r="I243" s="39"/>
      <c r="J243" s="39"/>
      <c r="K243" s="39"/>
      <c r="L243" s="39"/>
      <c r="M243" s="39"/>
      <c r="N243" s="39"/>
      <c r="O243" s="39"/>
      <c r="P243" s="39"/>
      <c r="Q243" s="39"/>
      <c r="R243" s="39"/>
      <c r="S243" s="39"/>
      <c r="T243" s="39"/>
      <c r="U243" s="39"/>
      <c r="V243" s="39"/>
      <c r="W243" s="39"/>
      <c r="X243" s="39"/>
      <c r="Y243" s="39"/>
      <c r="Z243" s="39"/>
      <c r="AA243" s="39"/>
      <c r="AB243" s="39"/>
      <c r="AC243" s="39"/>
      <c r="AD243" s="39"/>
      <c r="AE243" s="39"/>
      <c r="AF243" s="39"/>
      <c r="AG243" s="39"/>
      <c r="AH243" s="39"/>
    </row>
    <row r="244" spans="1:34" s="38" customFormat="1" x14ac:dyDescent="0.25">
      <c r="A244" s="52">
        <v>9</v>
      </c>
      <c r="B244" s="53">
        <f t="shared" si="7"/>
        <v>41000</v>
      </c>
      <c r="C244" s="53">
        <f t="shared" si="8"/>
        <v>41183</v>
      </c>
      <c r="D244" s="55">
        <v>63000</v>
      </c>
      <c r="E244" s="56">
        <v>3000</v>
      </c>
      <c r="F244" s="57"/>
      <c r="H244" s="39"/>
      <c r="I244" s="39"/>
      <c r="J244" s="39"/>
      <c r="K244" s="39"/>
      <c r="L244" s="39"/>
      <c r="M244" s="39"/>
      <c r="N244" s="39"/>
      <c r="O244" s="39"/>
      <c r="P244" s="39"/>
      <c r="Q244" s="39"/>
      <c r="R244" s="39"/>
      <c r="S244" s="39"/>
      <c r="T244" s="39"/>
      <c r="U244" s="39"/>
      <c r="V244" s="39"/>
      <c r="W244" s="39"/>
      <c r="X244" s="39"/>
      <c r="Y244" s="39"/>
      <c r="Z244" s="39"/>
      <c r="AA244" s="39"/>
      <c r="AB244" s="39"/>
      <c r="AC244" s="39"/>
      <c r="AD244" s="39"/>
      <c r="AE244" s="39"/>
      <c r="AF244" s="39"/>
      <c r="AG244" s="39"/>
      <c r="AH244" s="39"/>
    </row>
    <row r="245" spans="1:34" s="38" customFormat="1" x14ac:dyDescent="0.25">
      <c r="A245" s="52">
        <v>9</v>
      </c>
      <c r="B245" s="53">
        <f t="shared" si="7"/>
        <v>41000</v>
      </c>
      <c r="C245" s="53">
        <f t="shared" si="8"/>
        <v>41214</v>
      </c>
      <c r="D245" s="55">
        <v>17000</v>
      </c>
      <c r="E245" s="56">
        <v>1000</v>
      </c>
      <c r="F245" s="57"/>
      <c r="H245" s="39"/>
      <c r="I245" s="39"/>
      <c r="J245" s="39"/>
      <c r="K245" s="39"/>
      <c r="L245" s="39"/>
      <c r="M245" s="39"/>
      <c r="N245" s="39"/>
      <c r="O245" s="39"/>
      <c r="P245" s="39"/>
      <c r="Q245" s="39"/>
      <c r="R245" s="39"/>
      <c r="S245" s="39"/>
      <c r="T245" s="39"/>
      <c r="U245" s="39"/>
      <c r="V245" s="39"/>
      <c r="W245" s="39"/>
      <c r="X245" s="39"/>
      <c r="Y245" s="39"/>
      <c r="Z245" s="39"/>
      <c r="AA245" s="39"/>
      <c r="AB245" s="39"/>
      <c r="AC245" s="39"/>
      <c r="AD245" s="39"/>
      <c r="AE245" s="39"/>
      <c r="AF245" s="39"/>
      <c r="AG245" s="39"/>
      <c r="AH245" s="39"/>
    </row>
    <row r="246" spans="1:34" s="38" customFormat="1" x14ac:dyDescent="0.25">
      <c r="A246" s="52">
        <v>9</v>
      </c>
      <c r="B246" s="53">
        <f t="shared" si="7"/>
        <v>41000</v>
      </c>
      <c r="C246" s="53">
        <f t="shared" si="8"/>
        <v>41244</v>
      </c>
      <c r="D246" s="55">
        <v>24000</v>
      </c>
      <c r="E246" s="56">
        <v>1000</v>
      </c>
      <c r="F246" s="57"/>
      <c r="H246" s="39"/>
      <c r="I246" s="39"/>
      <c r="J246" s="39"/>
      <c r="K246" s="39"/>
      <c r="L246" s="39"/>
      <c r="M246" s="39"/>
      <c r="N246" s="39"/>
      <c r="O246" s="39"/>
      <c r="P246" s="39"/>
      <c r="Q246" s="39"/>
      <c r="R246" s="39"/>
      <c r="S246" s="39"/>
      <c r="T246" s="39"/>
      <c r="U246" s="39"/>
      <c r="V246" s="39"/>
      <c r="W246" s="39"/>
      <c r="X246" s="39"/>
      <c r="Y246" s="39"/>
      <c r="Z246" s="39"/>
      <c r="AA246" s="39"/>
      <c r="AB246" s="39"/>
      <c r="AC246" s="39"/>
      <c r="AD246" s="39"/>
      <c r="AE246" s="39"/>
      <c r="AF246" s="39"/>
      <c r="AG246" s="39"/>
      <c r="AH246" s="39"/>
    </row>
    <row r="247" spans="1:34" s="38" customFormat="1" x14ac:dyDescent="0.25">
      <c r="A247" s="52">
        <v>8</v>
      </c>
      <c r="B247" s="53">
        <f t="shared" si="7"/>
        <v>41030</v>
      </c>
      <c r="C247" s="53">
        <f t="shared" si="8"/>
        <v>41030</v>
      </c>
      <c r="D247" s="55">
        <v>2311000</v>
      </c>
      <c r="E247" s="60">
        <v>185000</v>
      </c>
      <c r="F247" s="39"/>
      <c r="H247" s="39"/>
      <c r="I247" s="39"/>
      <c r="J247" s="39"/>
      <c r="K247" s="39"/>
      <c r="L247" s="39"/>
      <c r="M247" s="39"/>
      <c r="N247" s="39"/>
      <c r="O247" s="39"/>
      <c r="P247" s="39"/>
      <c r="Q247" s="39"/>
      <c r="R247" s="39"/>
      <c r="S247" s="39"/>
      <c r="T247" s="39"/>
      <c r="U247" s="39"/>
      <c r="V247" s="39"/>
      <c r="W247" s="39"/>
      <c r="X247" s="39"/>
      <c r="Y247" s="39"/>
      <c r="Z247" s="39"/>
      <c r="AA247" s="39"/>
      <c r="AB247" s="39"/>
      <c r="AC247" s="39"/>
      <c r="AD247" s="39"/>
      <c r="AE247" s="39"/>
      <c r="AF247" s="39"/>
      <c r="AG247" s="39"/>
      <c r="AH247" s="39"/>
    </row>
    <row r="248" spans="1:34" s="38" customFormat="1" x14ac:dyDescent="0.25">
      <c r="A248" s="52">
        <v>8</v>
      </c>
      <c r="B248" s="53">
        <f t="shared" si="7"/>
        <v>41030</v>
      </c>
      <c r="C248" s="53">
        <f t="shared" si="8"/>
        <v>41061</v>
      </c>
      <c r="D248" s="55">
        <v>5423000</v>
      </c>
      <c r="E248" s="60">
        <v>50000</v>
      </c>
      <c r="F248" s="39"/>
      <c r="H248" s="39"/>
      <c r="I248" s="39"/>
      <c r="J248" s="39"/>
      <c r="K248" s="39"/>
      <c r="L248" s="39"/>
      <c r="M248" s="39"/>
      <c r="N248" s="39"/>
      <c r="O248" s="39"/>
      <c r="P248" s="39"/>
      <c r="Q248" s="39"/>
      <c r="R248" s="39"/>
      <c r="S248" s="39"/>
      <c r="T248" s="39"/>
      <c r="U248" s="39"/>
      <c r="V248" s="39"/>
      <c r="W248" s="39"/>
      <c r="X248" s="39"/>
      <c r="Y248" s="39"/>
      <c r="Z248" s="39"/>
      <c r="AA248" s="39"/>
      <c r="AB248" s="39"/>
      <c r="AC248" s="39"/>
      <c r="AD248" s="39"/>
      <c r="AE248" s="39"/>
      <c r="AF248" s="39"/>
      <c r="AG248" s="39"/>
      <c r="AH248" s="39"/>
    </row>
    <row r="249" spans="1:34" s="38" customFormat="1" x14ac:dyDescent="0.25">
      <c r="A249" s="52">
        <v>8</v>
      </c>
      <c r="B249" s="53">
        <f t="shared" si="7"/>
        <v>41030</v>
      </c>
      <c r="C249" s="53">
        <f t="shared" si="8"/>
        <v>41091</v>
      </c>
      <c r="D249" s="55">
        <v>651000</v>
      </c>
      <c r="E249" s="60">
        <v>172000</v>
      </c>
      <c r="F249" s="39"/>
      <c r="H249" s="39"/>
      <c r="I249" s="39"/>
      <c r="J249" s="39"/>
      <c r="K249" s="39"/>
      <c r="L249" s="39"/>
      <c r="M249" s="39"/>
      <c r="N249" s="39"/>
      <c r="O249" s="39"/>
      <c r="P249" s="39"/>
      <c r="Q249" s="39"/>
      <c r="R249" s="39"/>
      <c r="S249" s="39"/>
      <c r="T249" s="39"/>
      <c r="U249" s="39"/>
      <c r="V249" s="39"/>
      <c r="W249" s="39"/>
      <c r="X249" s="39"/>
      <c r="Y249" s="39"/>
      <c r="Z249" s="39"/>
      <c r="AA249" s="39"/>
      <c r="AB249" s="39"/>
      <c r="AC249" s="39"/>
      <c r="AD249" s="39"/>
      <c r="AE249" s="39"/>
      <c r="AF249" s="39"/>
      <c r="AG249" s="39"/>
      <c r="AH249" s="39"/>
    </row>
    <row r="250" spans="1:34" s="38" customFormat="1" x14ac:dyDescent="0.25">
      <c r="A250" s="52">
        <v>8</v>
      </c>
      <c r="B250" s="53">
        <f t="shared" si="7"/>
        <v>41030</v>
      </c>
      <c r="C250" s="53">
        <f t="shared" si="8"/>
        <v>41122</v>
      </c>
      <c r="D250" s="55">
        <v>455000</v>
      </c>
      <c r="E250" s="60">
        <v>5000</v>
      </c>
      <c r="F250" s="39"/>
      <c r="H250" s="39"/>
      <c r="I250" s="39"/>
      <c r="J250" s="39"/>
      <c r="K250" s="39"/>
      <c r="L250" s="39"/>
      <c r="M250" s="39"/>
      <c r="N250" s="39"/>
      <c r="O250" s="39"/>
      <c r="P250" s="39"/>
      <c r="Q250" s="39"/>
      <c r="R250" s="39"/>
      <c r="S250" s="39"/>
      <c r="T250" s="39"/>
      <c r="U250" s="39"/>
      <c r="V250" s="39"/>
      <c r="W250" s="39"/>
      <c r="X250" s="39"/>
      <c r="Y250" s="39"/>
      <c r="Z250" s="39"/>
      <c r="AA250" s="39"/>
      <c r="AB250" s="39"/>
      <c r="AC250" s="39"/>
      <c r="AD250" s="39"/>
      <c r="AE250" s="39"/>
      <c r="AF250" s="39"/>
      <c r="AG250" s="39"/>
      <c r="AH250" s="39"/>
    </row>
    <row r="251" spans="1:34" s="38" customFormat="1" x14ac:dyDescent="0.25">
      <c r="A251" s="52">
        <v>8</v>
      </c>
      <c r="B251" s="53">
        <f t="shared" si="7"/>
        <v>41030</v>
      </c>
      <c r="C251" s="53">
        <f t="shared" si="8"/>
        <v>41153</v>
      </c>
      <c r="D251" s="55">
        <v>317000</v>
      </c>
      <c r="E251" s="60">
        <v>5000</v>
      </c>
      <c r="F251" s="39"/>
      <c r="H251" s="39"/>
      <c r="I251" s="39"/>
      <c r="J251" s="39"/>
      <c r="K251" s="39"/>
      <c r="L251" s="39"/>
      <c r="M251" s="39"/>
      <c r="N251" s="39"/>
      <c r="O251" s="39"/>
      <c r="P251" s="39"/>
      <c r="Q251" s="39"/>
      <c r="R251" s="39"/>
      <c r="S251" s="39"/>
      <c r="T251" s="39"/>
      <c r="U251" s="39"/>
      <c r="V251" s="39"/>
      <c r="W251" s="39"/>
      <c r="X251" s="39"/>
      <c r="Y251" s="39"/>
      <c r="Z251" s="39"/>
      <c r="AA251" s="39"/>
      <c r="AB251" s="39"/>
      <c r="AC251" s="39"/>
      <c r="AD251" s="39"/>
      <c r="AE251" s="39"/>
      <c r="AF251" s="39"/>
      <c r="AG251" s="39"/>
      <c r="AH251" s="39"/>
    </row>
    <row r="252" spans="1:34" s="38" customFormat="1" x14ac:dyDescent="0.25">
      <c r="A252" s="52">
        <v>8</v>
      </c>
      <c r="B252" s="53">
        <f t="shared" si="7"/>
        <v>41030</v>
      </c>
      <c r="C252" s="53">
        <f t="shared" si="8"/>
        <v>41183</v>
      </c>
      <c r="D252" s="55">
        <v>60000</v>
      </c>
      <c r="E252" s="60">
        <v>1000</v>
      </c>
      <c r="F252" s="39"/>
      <c r="H252" s="39"/>
      <c r="I252" s="39"/>
      <c r="J252" s="39"/>
      <c r="K252" s="39"/>
      <c r="L252" s="39"/>
      <c r="M252" s="39"/>
      <c r="N252" s="39"/>
      <c r="O252" s="39"/>
      <c r="P252" s="39"/>
      <c r="Q252" s="39"/>
      <c r="R252" s="39"/>
      <c r="S252" s="39"/>
      <c r="T252" s="39"/>
      <c r="U252" s="39"/>
      <c r="V252" s="39"/>
      <c r="W252" s="39"/>
      <c r="X252" s="39"/>
      <c r="Y252" s="39"/>
      <c r="Z252" s="39"/>
      <c r="AA252" s="39"/>
      <c r="AB252" s="39"/>
      <c r="AC252" s="39"/>
      <c r="AD252" s="39"/>
      <c r="AE252" s="39"/>
      <c r="AF252" s="39"/>
      <c r="AG252" s="39"/>
      <c r="AH252" s="39"/>
    </row>
    <row r="253" spans="1:34" s="38" customFormat="1" x14ac:dyDescent="0.25">
      <c r="A253" s="52">
        <v>8</v>
      </c>
      <c r="B253" s="53">
        <f t="shared" si="7"/>
        <v>41030</v>
      </c>
      <c r="C253" s="53">
        <f t="shared" si="8"/>
        <v>41214</v>
      </c>
      <c r="D253" s="55">
        <v>74000</v>
      </c>
      <c r="E253" s="60">
        <v>1000</v>
      </c>
      <c r="F253" s="39"/>
      <c r="H253" s="39"/>
      <c r="I253" s="39"/>
      <c r="J253" s="39"/>
      <c r="K253" s="39"/>
      <c r="L253" s="39"/>
      <c r="M253" s="39"/>
      <c r="N253" s="39"/>
      <c r="O253" s="39"/>
      <c r="P253" s="39"/>
      <c r="Q253" s="39"/>
      <c r="R253" s="39"/>
      <c r="S253" s="39"/>
      <c r="T253" s="39"/>
      <c r="U253" s="39"/>
      <c r="V253" s="39"/>
      <c r="W253" s="39"/>
      <c r="X253" s="39"/>
      <c r="Y253" s="39"/>
      <c r="Z253" s="39"/>
      <c r="AA253" s="39"/>
      <c r="AB253" s="39"/>
      <c r="AC253" s="39"/>
      <c r="AD253" s="39"/>
      <c r="AE253" s="39"/>
      <c r="AF253" s="39"/>
      <c r="AG253" s="39"/>
      <c r="AH253" s="39"/>
    </row>
    <row r="254" spans="1:34" s="38" customFormat="1" x14ac:dyDescent="0.25">
      <c r="A254" s="52">
        <v>8</v>
      </c>
      <c r="B254" s="53">
        <f t="shared" si="7"/>
        <v>41030</v>
      </c>
      <c r="C254" s="53">
        <f t="shared" si="8"/>
        <v>41244</v>
      </c>
      <c r="D254" s="55">
        <v>-14000</v>
      </c>
      <c r="E254" s="60">
        <v>3000</v>
      </c>
      <c r="F254" s="39"/>
      <c r="H254" s="39"/>
      <c r="I254" s="39"/>
      <c r="J254" s="39"/>
      <c r="K254" s="39"/>
      <c r="L254" s="39"/>
      <c r="M254" s="39"/>
      <c r="N254" s="39"/>
      <c r="O254" s="39"/>
      <c r="P254" s="39"/>
      <c r="Q254" s="39"/>
      <c r="R254" s="39"/>
      <c r="S254" s="39"/>
      <c r="T254" s="39"/>
      <c r="U254" s="39"/>
      <c r="V254" s="39"/>
      <c r="W254" s="39"/>
      <c r="X254" s="39"/>
      <c r="Y254" s="39"/>
      <c r="Z254" s="39"/>
      <c r="AA254" s="39"/>
      <c r="AB254" s="39"/>
      <c r="AC254" s="39"/>
      <c r="AD254" s="39"/>
      <c r="AE254" s="39"/>
      <c r="AF254" s="39"/>
      <c r="AG254" s="39"/>
      <c r="AH254" s="39"/>
    </row>
    <row r="255" spans="1:34" s="38" customFormat="1" x14ac:dyDescent="0.25">
      <c r="A255" s="52">
        <v>7</v>
      </c>
      <c r="B255" s="53">
        <f t="shared" si="7"/>
        <v>41061</v>
      </c>
      <c r="C255" s="53">
        <f t="shared" si="8"/>
        <v>41061</v>
      </c>
      <c r="D255" s="55">
        <v>2782000</v>
      </c>
      <c r="E255" s="55">
        <v>189000</v>
      </c>
      <c r="F255" s="59"/>
      <c r="H255" s="39"/>
      <c r="I255" s="39"/>
      <c r="J255" s="39"/>
      <c r="K255" s="39"/>
      <c r="L255" s="39"/>
      <c r="M255" s="39"/>
      <c r="N255" s="39"/>
      <c r="O255" s="39"/>
      <c r="P255" s="39"/>
      <c r="Q255" s="39"/>
      <c r="R255" s="39"/>
      <c r="S255" s="39"/>
      <c r="T255" s="39"/>
      <c r="U255" s="39"/>
      <c r="V255" s="39"/>
      <c r="W255" s="39"/>
      <c r="X255" s="39"/>
      <c r="Y255" s="39"/>
      <c r="Z255" s="39"/>
      <c r="AA255" s="39"/>
      <c r="AB255" s="39"/>
      <c r="AC255" s="39"/>
      <c r="AD255" s="39"/>
      <c r="AE255" s="39"/>
      <c r="AF255" s="39"/>
      <c r="AG255" s="39"/>
      <c r="AH255" s="39"/>
    </row>
    <row r="256" spans="1:34" s="38" customFormat="1" x14ac:dyDescent="0.25">
      <c r="A256" s="52">
        <v>7</v>
      </c>
      <c r="B256" s="53">
        <f t="shared" si="7"/>
        <v>41061</v>
      </c>
      <c r="C256" s="53">
        <f t="shared" si="8"/>
        <v>41091</v>
      </c>
      <c r="D256" s="55">
        <v>4821000</v>
      </c>
      <c r="E256" s="55">
        <v>152000</v>
      </c>
      <c r="F256" s="59"/>
      <c r="H256" s="39"/>
      <c r="I256" s="39"/>
      <c r="J256" s="39"/>
      <c r="K256" s="39"/>
      <c r="L256" s="39"/>
      <c r="M256" s="39"/>
      <c r="N256" s="39"/>
      <c r="O256" s="39"/>
      <c r="P256" s="39"/>
      <c r="Q256" s="39"/>
      <c r="R256" s="39"/>
      <c r="S256" s="39"/>
      <c r="T256" s="39"/>
      <c r="U256" s="39"/>
      <c r="V256" s="39"/>
      <c r="W256" s="39"/>
      <c r="X256" s="39"/>
      <c r="Y256" s="39"/>
      <c r="Z256" s="39"/>
      <c r="AA256" s="39"/>
      <c r="AB256" s="39"/>
      <c r="AC256" s="39"/>
      <c r="AD256" s="39"/>
      <c r="AE256" s="39"/>
      <c r="AF256" s="39"/>
      <c r="AG256" s="39"/>
      <c r="AH256" s="39"/>
    </row>
    <row r="257" spans="1:34" s="38" customFormat="1" x14ac:dyDescent="0.25">
      <c r="A257" s="52">
        <v>7</v>
      </c>
      <c r="B257" s="53">
        <f t="shared" si="7"/>
        <v>41061</v>
      </c>
      <c r="C257" s="53">
        <f t="shared" si="8"/>
        <v>41122</v>
      </c>
      <c r="D257" s="55">
        <v>942000</v>
      </c>
      <c r="E257" s="55">
        <v>5000</v>
      </c>
      <c r="F257" s="59"/>
      <c r="H257" s="39"/>
      <c r="I257" s="39"/>
      <c r="J257" s="39"/>
      <c r="K257" s="39"/>
      <c r="L257" s="39"/>
      <c r="M257" s="39"/>
      <c r="N257" s="39"/>
      <c r="O257" s="39"/>
      <c r="P257" s="39"/>
      <c r="Q257" s="39"/>
      <c r="R257" s="39"/>
      <c r="S257" s="39"/>
      <c r="T257" s="39"/>
      <c r="U257" s="39"/>
      <c r="V257" s="39"/>
      <c r="W257" s="39"/>
      <c r="X257" s="39"/>
      <c r="Y257" s="39"/>
      <c r="Z257" s="39"/>
      <c r="AA257" s="39"/>
      <c r="AB257" s="39"/>
      <c r="AC257" s="39"/>
      <c r="AD257" s="39"/>
      <c r="AE257" s="39"/>
      <c r="AF257" s="39"/>
      <c r="AG257" s="39"/>
      <c r="AH257" s="39"/>
    </row>
    <row r="258" spans="1:34" s="38" customFormat="1" x14ac:dyDescent="0.25">
      <c r="A258" s="52">
        <v>7</v>
      </c>
      <c r="B258" s="53">
        <f t="shared" si="7"/>
        <v>41061</v>
      </c>
      <c r="C258" s="53">
        <f t="shared" si="8"/>
        <v>41153</v>
      </c>
      <c r="D258" s="55">
        <v>188000</v>
      </c>
      <c r="E258" s="55">
        <v>14000</v>
      </c>
      <c r="F258" s="59"/>
      <c r="H258" s="39"/>
      <c r="I258" s="39"/>
      <c r="J258" s="39"/>
      <c r="K258" s="39"/>
      <c r="L258" s="39"/>
      <c r="M258" s="39"/>
      <c r="N258" s="39"/>
      <c r="O258" s="39"/>
      <c r="P258" s="39"/>
      <c r="Q258" s="39"/>
      <c r="R258" s="39"/>
      <c r="S258" s="39"/>
      <c r="T258" s="39"/>
      <c r="U258" s="39"/>
      <c r="V258" s="39"/>
      <c r="W258" s="39"/>
      <c r="X258" s="39"/>
      <c r="Y258" s="39"/>
      <c r="Z258" s="39"/>
      <c r="AA258" s="39"/>
      <c r="AB258" s="39"/>
      <c r="AC258" s="39"/>
      <c r="AD258" s="39"/>
      <c r="AE258" s="39"/>
      <c r="AF258" s="39"/>
      <c r="AG258" s="39"/>
      <c r="AH258" s="39"/>
    </row>
    <row r="259" spans="1:34" s="38" customFormat="1" x14ac:dyDescent="0.25">
      <c r="A259" s="52">
        <v>7</v>
      </c>
      <c r="B259" s="53">
        <f t="shared" si="7"/>
        <v>41061</v>
      </c>
      <c r="C259" s="53">
        <f t="shared" si="8"/>
        <v>41183</v>
      </c>
      <c r="D259" s="55">
        <v>135000</v>
      </c>
      <c r="E259" s="55">
        <v>0</v>
      </c>
      <c r="F259" s="59"/>
      <c r="H259" s="39"/>
      <c r="I259" s="39"/>
      <c r="J259" s="39"/>
      <c r="K259" s="39"/>
      <c r="L259" s="39"/>
      <c r="M259" s="39"/>
      <c r="N259" s="39"/>
      <c r="O259" s="39"/>
      <c r="P259" s="39"/>
      <c r="Q259" s="39"/>
      <c r="R259" s="39"/>
      <c r="S259" s="39"/>
      <c r="T259" s="39"/>
      <c r="U259" s="39"/>
      <c r="V259" s="39"/>
      <c r="W259" s="39"/>
      <c r="X259" s="39"/>
      <c r="Y259" s="39"/>
      <c r="Z259" s="39"/>
      <c r="AA259" s="39"/>
      <c r="AB259" s="39"/>
      <c r="AC259" s="39"/>
      <c r="AD259" s="39"/>
      <c r="AE259" s="39"/>
      <c r="AF259" s="39"/>
      <c r="AG259" s="39"/>
      <c r="AH259" s="39"/>
    </row>
    <row r="260" spans="1:34" s="38" customFormat="1" x14ac:dyDescent="0.25">
      <c r="A260" s="52">
        <v>7</v>
      </c>
      <c r="B260" s="53">
        <f t="shared" si="7"/>
        <v>41061</v>
      </c>
      <c r="C260" s="53">
        <f t="shared" si="8"/>
        <v>41214</v>
      </c>
      <c r="D260" s="55">
        <v>77000</v>
      </c>
      <c r="E260" s="55">
        <v>2000</v>
      </c>
      <c r="F260" s="59"/>
      <c r="H260" s="39"/>
      <c r="I260" s="39"/>
      <c r="J260" s="39"/>
      <c r="K260" s="39"/>
      <c r="L260" s="39"/>
      <c r="M260" s="39"/>
      <c r="N260" s="39"/>
      <c r="O260" s="39"/>
      <c r="P260" s="39"/>
      <c r="Q260" s="39"/>
      <c r="R260" s="39"/>
      <c r="S260" s="39"/>
      <c r="T260" s="39"/>
      <c r="U260" s="39"/>
      <c r="V260" s="39"/>
      <c r="W260" s="39"/>
      <c r="X260" s="39"/>
      <c r="Y260" s="39"/>
      <c r="Z260" s="39"/>
      <c r="AA260" s="39"/>
      <c r="AB260" s="39"/>
      <c r="AC260" s="39"/>
      <c r="AD260" s="39"/>
      <c r="AE260" s="39"/>
      <c r="AF260" s="39"/>
      <c r="AG260" s="39"/>
      <c r="AH260" s="39"/>
    </row>
    <row r="261" spans="1:34" s="38" customFormat="1" x14ac:dyDescent="0.25">
      <c r="A261" s="52">
        <v>7</v>
      </c>
      <c r="B261" s="53">
        <f t="shared" ref="B261:B282" si="9">EDATE($L$2,-A261)</f>
        <v>41061</v>
      </c>
      <c r="C261" s="53">
        <f t="shared" ref="C261:C282" si="10">IF(B261&lt;&gt;B260,B261,EDATE(C260,1))</f>
        <v>41244</v>
      </c>
      <c r="D261" s="55">
        <v>38000</v>
      </c>
      <c r="E261" s="55">
        <v>1000</v>
      </c>
      <c r="F261" s="59"/>
      <c r="H261" s="39"/>
      <c r="I261" s="39"/>
      <c r="J261" s="39"/>
      <c r="K261" s="39"/>
      <c r="L261" s="39"/>
      <c r="M261" s="39"/>
      <c r="N261" s="39"/>
      <c r="O261" s="39"/>
      <c r="P261" s="39"/>
      <c r="Q261" s="39"/>
      <c r="R261" s="39"/>
      <c r="S261" s="39"/>
      <c r="T261" s="39"/>
      <c r="U261" s="39"/>
      <c r="V261" s="39"/>
      <c r="W261" s="39"/>
      <c r="X261" s="39"/>
      <c r="Y261" s="39"/>
      <c r="Z261" s="39"/>
      <c r="AA261" s="39"/>
      <c r="AB261" s="39"/>
      <c r="AC261" s="39"/>
      <c r="AD261" s="39"/>
      <c r="AE261" s="39"/>
      <c r="AF261" s="39"/>
      <c r="AG261" s="39"/>
      <c r="AH261" s="39"/>
    </row>
    <row r="262" spans="1:34" s="38" customFormat="1" x14ac:dyDescent="0.25">
      <c r="A262" s="52">
        <v>6</v>
      </c>
      <c r="B262" s="53">
        <f t="shared" si="9"/>
        <v>41091</v>
      </c>
      <c r="C262" s="53">
        <f t="shared" si="10"/>
        <v>41091</v>
      </c>
      <c r="D262" s="55">
        <v>1917000</v>
      </c>
      <c r="E262" s="60">
        <v>151000</v>
      </c>
      <c r="F262" s="39"/>
      <c r="H262" s="39"/>
      <c r="I262" s="39"/>
      <c r="J262" s="39"/>
      <c r="K262" s="39"/>
      <c r="L262" s="39"/>
      <c r="M262" s="39"/>
      <c r="N262" s="39"/>
      <c r="O262" s="39"/>
      <c r="P262" s="39"/>
      <c r="Q262" s="39"/>
      <c r="R262" s="39"/>
      <c r="S262" s="39"/>
      <c r="T262" s="39"/>
      <c r="U262" s="39"/>
      <c r="V262" s="39"/>
      <c r="W262" s="39"/>
      <c r="X262" s="39"/>
      <c r="Y262" s="39"/>
      <c r="Z262" s="39"/>
      <c r="AA262" s="39"/>
      <c r="AB262" s="39"/>
      <c r="AC262" s="39"/>
      <c r="AD262" s="39"/>
      <c r="AE262" s="39"/>
      <c r="AF262" s="39"/>
      <c r="AG262" s="39"/>
      <c r="AH262" s="39"/>
    </row>
    <row r="263" spans="1:34" s="38" customFormat="1" x14ac:dyDescent="0.25">
      <c r="A263" s="52">
        <v>6</v>
      </c>
      <c r="B263" s="53">
        <f t="shared" si="9"/>
        <v>41091</v>
      </c>
      <c r="C263" s="53">
        <f t="shared" si="10"/>
        <v>41122</v>
      </c>
      <c r="D263" s="55">
        <v>4472000</v>
      </c>
      <c r="E263" s="60">
        <v>39000</v>
      </c>
      <c r="F263" s="39"/>
      <c r="H263" s="39"/>
      <c r="I263" s="39"/>
      <c r="J263" s="39"/>
      <c r="K263" s="39"/>
      <c r="L263" s="39"/>
      <c r="M263" s="39"/>
      <c r="N263" s="39"/>
      <c r="O263" s="39"/>
      <c r="P263" s="39"/>
      <c r="Q263" s="39"/>
      <c r="R263" s="39"/>
      <c r="S263" s="39"/>
      <c r="T263" s="39"/>
      <c r="U263" s="39"/>
      <c r="V263" s="39"/>
      <c r="W263" s="39"/>
      <c r="X263" s="39"/>
      <c r="Y263" s="39"/>
      <c r="Z263" s="39"/>
      <c r="AA263" s="39"/>
      <c r="AB263" s="39"/>
      <c r="AC263" s="39"/>
      <c r="AD263" s="39"/>
      <c r="AE263" s="39"/>
      <c r="AF263" s="39"/>
      <c r="AG263" s="39"/>
      <c r="AH263" s="39"/>
    </row>
    <row r="264" spans="1:34" s="38" customFormat="1" x14ac:dyDescent="0.25">
      <c r="A264" s="52">
        <v>6</v>
      </c>
      <c r="B264" s="53">
        <f t="shared" si="9"/>
        <v>41091</v>
      </c>
      <c r="C264" s="53">
        <f t="shared" si="10"/>
        <v>41153</v>
      </c>
      <c r="D264" s="55">
        <v>880000</v>
      </c>
      <c r="E264" s="60">
        <v>15000</v>
      </c>
      <c r="F264" s="39"/>
      <c r="H264" s="39"/>
      <c r="I264" s="39"/>
      <c r="J264" s="39"/>
      <c r="K264" s="39"/>
      <c r="L264" s="39"/>
      <c r="M264" s="39"/>
      <c r="N264" s="39"/>
      <c r="O264" s="39"/>
      <c r="P264" s="39"/>
      <c r="Q264" s="39"/>
      <c r="R264" s="39"/>
      <c r="S264" s="39"/>
      <c r="T264" s="39"/>
      <c r="U264" s="39"/>
      <c r="V264" s="39"/>
      <c r="W264" s="39"/>
      <c r="X264" s="39"/>
      <c r="Y264" s="39"/>
      <c r="Z264" s="39"/>
      <c r="AA264" s="39"/>
      <c r="AB264" s="39"/>
      <c r="AC264" s="39"/>
      <c r="AD264" s="39"/>
      <c r="AE264" s="39"/>
      <c r="AF264" s="39"/>
      <c r="AG264" s="39"/>
      <c r="AH264" s="39"/>
    </row>
    <row r="265" spans="1:34" s="38" customFormat="1" x14ac:dyDescent="0.25">
      <c r="A265" s="52">
        <v>6</v>
      </c>
      <c r="B265" s="53">
        <f t="shared" si="9"/>
        <v>41091</v>
      </c>
      <c r="C265" s="53">
        <f t="shared" si="10"/>
        <v>41183</v>
      </c>
      <c r="D265" s="55">
        <v>423000</v>
      </c>
      <c r="E265" s="60">
        <v>5000</v>
      </c>
      <c r="F265" s="39"/>
      <c r="H265" s="39"/>
      <c r="I265" s="39"/>
      <c r="J265" s="39"/>
      <c r="K265" s="39"/>
      <c r="L265" s="39"/>
      <c r="M265" s="39"/>
      <c r="N265" s="39"/>
      <c r="O265" s="39"/>
      <c r="P265" s="39"/>
      <c r="Q265" s="39"/>
      <c r="R265" s="39"/>
      <c r="S265" s="39"/>
      <c r="T265" s="39"/>
      <c r="U265" s="39"/>
      <c r="V265" s="39"/>
      <c r="W265" s="39"/>
      <c r="X265" s="39"/>
      <c r="Y265" s="39"/>
      <c r="Z265" s="39"/>
      <c r="AA265" s="39"/>
      <c r="AB265" s="39"/>
      <c r="AC265" s="39"/>
      <c r="AD265" s="39"/>
      <c r="AE265" s="39"/>
      <c r="AF265" s="39"/>
      <c r="AG265" s="39"/>
      <c r="AH265" s="39"/>
    </row>
    <row r="266" spans="1:34" s="38" customFormat="1" x14ac:dyDescent="0.25">
      <c r="A266" s="52">
        <v>6</v>
      </c>
      <c r="B266" s="53">
        <f t="shared" si="9"/>
        <v>41091</v>
      </c>
      <c r="C266" s="53">
        <f t="shared" si="10"/>
        <v>41214</v>
      </c>
      <c r="D266" s="55">
        <v>146000</v>
      </c>
      <c r="E266" s="60">
        <v>1000</v>
      </c>
      <c r="F266" s="39"/>
      <c r="H266" s="39"/>
      <c r="I266" s="39"/>
      <c r="J266" s="39"/>
      <c r="K266" s="39"/>
      <c r="L266" s="39"/>
      <c r="M266" s="39"/>
      <c r="N266" s="39"/>
      <c r="O266" s="39"/>
      <c r="P266" s="39"/>
      <c r="Q266" s="39"/>
      <c r="R266" s="39"/>
      <c r="S266" s="39"/>
      <c r="T266" s="39"/>
      <c r="U266" s="39"/>
      <c r="V266" s="39"/>
      <c r="W266" s="39"/>
      <c r="X266" s="39"/>
      <c r="Y266" s="39"/>
      <c r="Z266" s="39"/>
      <c r="AA266" s="39"/>
      <c r="AB266" s="39"/>
      <c r="AC266" s="39"/>
      <c r="AD266" s="39"/>
      <c r="AE266" s="39"/>
      <c r="AF266" s="39"/>
      <c r="AG266" s="39"/>
      <c r="AH266" s="39"/>
    </row>
    <row r="267" spans="1:34" s="38" customFormat="1" x14ac:dyDescent="0.25">
      <c r="A267" s="52">
        <v>6</v>
      </c>
      <c r="B267" s="53">
        <f t="shared" si="9"/>
        <v>41091</v>
      </c>
      <c r="C267" s="53">
        <f t="shared" si="10"/>
        <v>41244</v>
      </c>
      <c r="D267" s="55">
        <v>69000</v>
      </c>
      <c r="E267" s="60">
        <v>3000</v>
      </c>
      <c r="F267" s="39"/>
      <c r="H267" s="39"/>
      <c r="I267" s="39"/>
      <c r="J267" s="39"/>
      <c r="K267" s="39"/>
      <c r="L267" s="39"/>
      <c r="M267" s="39"/>
      <c r="N267" s="39"/>
      <c r="O267" s="39"/>
      <c r="P267" s="39"/>
      <c r="Q267" s="39"/>
      <c r="R267" s="39"/>
      <c r="S267" s="39"/>
      <c r="T267" s="39"/>
      <c r="U267" s="39"/>
      <c r="V267" s="39"/>
      <c r="W267" s="39"/>
      <c r="X267" s="39"/>
      <c r="Y267" s="39"/>
      <c r="Z267" s="39"/>
      <c r="AA267" s="39"/>
      <c r="AB267" s="39"/>
      <c r="AC267" s="39"/>
      <c r="AD267" s="39"/>
      <c r="AE267" s="39"/>
      <c r="AF267" s="39"/>
      <c r="AG267" s="39"/>
      <c r="AH267" s="39"/>
    </row>
    <row r="268" spans="1:34" s="38" customFormat="1" x14ac:dyDescent="0.25">
      <c r="A268" s="52">
        <v>5</v>
      </c>
      <c r="B268" s="53">
        <f t="shared" si="9"/>
        <v>41122</v>
      </c>
      <c r="C268" s="53">
        <f t="shared" si="10"/>
        <v>41122</v>
      </c>
      <c r="D268" s="55">
        <v>1685000</v>
      </c>
      <c r="E268" s="55">
        <v>625114</v>
      </c>
      <c r="F268" s="59"/>
      <c r="H268" s="39"/>
      <c r="I268" s="39"/>
      <c r="J268" s="39"/>
      <c r="K268" s="39"/>
      <c r="L268" s="39"/>
      <c r="M268" s="39"/>
      <c r="N268" s="39"/>
      <c r="O268" s="39"/>
      <c r="P268" s="39"/>
      <c r="Q268" s="39"/>
      <c r="R268" s="39"/>
      <c r="S268" s="39"/>
      <c r="T268" s="39"/>
      <c r="U268" s="39"/>
      <c r="V268" s="39"/>
      <c r="W268" s="39"/>
      <c r="X268" s="39"/>
      <c r="Y268" s="39"/>
      <c r="Z268" s="39"/>
      <c r="AA268" s="39"/>
      <c r="AB268" s="39"/>
      <c r="AC268" s="39"/>
      <c r="AD268" s="39"/>
      <c r="AE268" s="39"/>
      <c r="AF268" s="39"/>
      <c r="AG268" s="39"/>
      <c r="AH268" s="39"/>
    </row>
    <row r="269" spans="1:34" s="38" customFormat="1" x14ac:dyDescent="0.25">
      <c r="A269" s="52">
        <v>5</v>
      </c>
      <c r="B269" s="53">
        <f t="shared" si="9"/>
        <v>41122</v>
      </c>
      <c r="C269" s="53">
        <f t="shared" si="10"/>
        <v>41153</v>
      </c>
      <c r="D269" s="55">
        <v>4785000</v>
      </c>
      <c r="E269" s="55">
        <v>711804</v>
      </c>
      <c r="F269" s="59"/>
      <c r="H269" s="39"/>
      <c r="I269" s="39"/>
      <c r="J269" s="39"/>
      <c r="K269" s="39"/>
      <c r="L269" s="39"/>
      <c r="M269" s="39"/>
      <c r="N269" s="39"/>
      <c r="O269" s="39"/>
      <c r="P269" s="39"/>
      <c r="Q269" s="39"/>
      <c r="R269" s="39"/>
      <c r="S269" s="39"/>
      <c r="T269" s="39"/>
      <c r="U269" s="39"/>
      <c r="V269" s="39"/>
      <c r="W269" s="39"/>
      <c r="X269" s="39"/>
      <c r="Y269" s="39"/>
      <c r="Z269" s="39"/>
      <c r="AA269" s="39"/>
      <c r="AB269" s="39"/>
      <c r="AC269" s="39"/>
      <c r="AD269" s="39"/>
      <c r="AE269" s="39"/>
      <c r="AF269" s="39"/>
      <c r="AG269" s="39"/>
      <c r="AH269" s="39"/>
    </row>
    <row r="270" spans="1:34" s="38" customFormat="1" x14ac:dyDescent="0.25">
      <c r="A270" s="52">
        <v>5</v>
      </c>
      <c r="B270" s="53">
        <f t="shared" si="9"/>
        <v>41122</v>
      </c>
      <c r="C270" s="53">
        <f t="shared" si="10"/>
        <v>41183</v>
      </c>
      <c r="D270" s="55">
        <v>1518000</v>
      </c>
      <c r="E270" s="55">
        <v>237268</v>
      </c>
      <c r="F270" s="59"/>
      <c r="H270" s="39"/>
      <c r="I270" s="39"/>
      <c r="J270" s="39"/>
      <c r="K270" s="39"/>
      <c r="L270" s="39"/>
      <c r="M270" s="39"/>
      <c r="N270" s="39"/>
      <c r="O270" s="39"/>
      <c r="P270" s="39"/>
      <c r="Q270" s="39"/>
      <c r="R270" s="39"/>
      <c r="S270" s="39"/>
      <c r="T270" s="39"/>
      <c r="U270" s="39"/>
      <c r="V270" s="39"/>
      <c r="W270" s="39"/>
      <c r="X270" s="39"/>
      <c r="Y270" s="39"/>
      <c r="Z270" s="39"/>
      <c r="AA270" s="39"/>
      <c r="AB270" s="39"/>
      <c r="AC270" s="39"/>
      <c r="AD270" s="39"/>
      <c r="AE270" s="39"/>
      <c r="AF270" s="39"/>
      <c r="AG270" s="39"/>
      <c r="AH270" s="39"/>
    </row>
    <row r="271" spans="1:34" s="38" customFormat="1" x14ac:dyDescent="0.25">
      <c r="A271" s="52">
        <v>5</v>
      </c>
      <c r="B271" s="53">
        <f t="shared" si="9"/>
        <v>41122</v>
      </c>
      <c r="C271" s="53">
        <f t="shared" si="10"/>
        <v>41214</v>
      </c>
      <c r="D271" s="55">
        <v>417000</v>
      </c>
      <c r="E271" s="55">
        <v>9317</v>
      </c>
      <c r="F271" s="59"/>
      <c r="H271" s="39"/>
      <c r="I271" s="39"/>
      <c r="J271" s="39"/>
      <c r="K271" s="39"/>
      <c r="L271" s="39"/>
      <c r="M271" s="39"/>
      <c r="N271" s="39"/>
      <c r="O271" s="39"/>
      <c r="P271" s="39"/>
      <c r="Q271" s="39"/>
      <c r="R271" s="39"/>
      <c r="S271" s="39"/>
      <c r="T271" s="39"/>
      <c r="U271" s="39"/>
      <c r="V271" s="39"/>
      <c r="W271" s="39"/>
      <c r="X271" s="39"/>
      <c r="Y271" s="39"/>
      <c r="Z271" s="39"/>
      <c r="AA271" s="39"/>
      <c r="AB271" s="39"/>
      <c r="AC271" s="39"/>
      <c r="AD271" s="39"/>
      <c r="AE271" s="39"/>
      <c r="AF271" s="39"/>
      <c r="AG271" s="39"/>
      <c r="AH271" s="39"/>
    </row>
    <row r="272" spans="1:34" s="38" customFormat="1" x14ac:dyDescent="0.25">
      <c r="A272" s="52">
        <v>5</v>
      </c>
      <c r="B272" s="53">
        <f t="shared" si="9"/>
        <v>41122</v>
      </c>
      <c r="C272" s="53">
        <f t="shared" si="10"/>
        <v>41244</v>
      </c>
      <c r="D272" s="55">
        <v>187000</v>
      </c>
      <c r="E272" s="55">
        <v>2662</v>
      </c>
      <c r="F272" s="59"/>
      <c r="H272" s="39"/>
      <c r="I272" s="39"/>
      <c r="J272" s="39"/>
      <c r="K272" s="39"/>
      <c r="L272" s="39"/>
      <c r="M272" s="39"/>
      <c r="N272" s="39"/>
      <c r="O272" s="39"/>
      <c r="P272" s="39"/>
      <c r="Q272" s="39"/>
      <c r="R272" s="39"/>
      <c r="S272" s="39"/>
      <c r="T272" s="39"/>
      <c r="U272" s="39"/>
      <c r="V272" s="39"/>
      <c r="W272" s="39"/>
      <c r="X272" s="39"/>
      <c r="Y272" s="39"/>
      <c r="Z272" s="39"/>
      <c r="AA272" s="39"/>
      <c r="AB272" s="39"/>
      <c r="AC272" s="39"/>
      <c r="AD272" s="39"/>
      <c r="AE272" s="39"/>
      <c r="AF272" s="39"/>
      <c r="AG272" s="39"/>
      <c r="AH272" s="39"/>
    </row>
    <row r="273" spans="1:34" s="38" customFormat="1" x14ac:dyDescent="0.25">
      <c r="A273" s="52">
        <v>4</v>
      </c>
      <c r="B273" s="53">
        <f t="shared" si="9"/>
        <v>41153</v>
      </c>
      <c r="C273" s="53">
        <f t="shared" si="10"/>
        <v>41153</v>
      </c>
      <c r="D273" s="55">
        <v>1355000</v>
      </c>
      <c r="E273" s="60">
        <v>836512</v>
      </c>
      <c r="F273" s="39"/>
      <c r="H273" s="39"/>
      <c r="I273" s="39"/>
      <c r="J273" s="39"/>
      <c r="K273" s="39"/>
      <c r="L273" s="39"/>
      <c r="M273" s="39"/>
      <c r="N273" s="39"/>
      <c r="O273" s="39"/>
      <c r="P273" s="39"/>
      <c r="Q273" s="39"/>
      <c r="R273" s="39"/>
      <c r="S273" s="39"/>
      <c r="T273" s="39"/>
      <c r="U273" s="39"/>
      <c r="V273" s="39"/>
      <c r="W273" s="39"/>
      <c r="X273" s="39"/>
      <c r="Y273" s="39"/>
      <c r="Z273" s="39"/>
      <c r="AA273" s="39"/>
      <c r="AB273" s="39"/>
      <c r="AC273" s="39"/>
      <c r="AD273" s="39"/>
      <c r="AE273" s="39"/>
      <c r="AF273" s="39"/>
      <c r="AG273" s="39"/>
      <c r="AH273" s="39"/>
    </row>
    <row r="274" spans="1:34" s="38" customFormat="1" x14ac:dyDescent="0.25">
      <c r="A274" s="52">
        <v>4</v>
      </c>
      <c r="B274" s="53">
        <f t="shared" si="9"/>
        <v>41153</v>
      </c>
      <c r="C274" s="53">
        <f t="shared" si="10"/>
        <v>41183</v>
      </c>
      <c r="D274" s="55">
        <v>4888000</v>
      </c>
      <c r="E274" s="60">
        <v>241472</v>
      </c>
      <c r="F274" s="39"/>
      <c r="H274" s="39"/>
      <c r="I274" s="39"/>
      <c r="J274" s="39"/>
      <c r="K274" s="39"/>
      <c r="L274" s="39"/>
      <c r="M274" s="39"/>
      <c r="N274" s="39"/>
      <c r="O274" s="39"/>
      <c r="P274" s="39"/>
      <c r="Q274" s="39"/>
      <c r="R274" s="39"/>
      <c r="S274" s="39"/>
      <c r="T274" s="39"/>
      <c r="U274" s="39"/>
      <c r="V274" s="39"/>
      <c r="W274" s="39"/>
      <c r="X274" s="39"/>
      <c r="Y274" s="39"/>
      <c r="Z274" s="39"/>
      <c r="AA274" s="39"/>
      <c r="AB274" s="39"/>
      <c r="AC274" s="39"/>
      <c r="AD274" s="39"/>
      <c r="AE274" s="39"/>
      <c r="AF274" s="39"/>
      <c r="AG274" s="39"/>
      <c r="AH274" s="39"/>
    </row>
    <row r="275" spans="1:34" s="38" customFormat="1" x14ac:dyDescent="0.25">
      <c r="A275" s="52">
        <v>4</v>
      </c>
      <c r="B275" s="53">
        <f t="shared" si="9"/>
        <v>41153</v>
      </c>
      <c r="C275" s="53">
        <f t="shared" si="10"/>
        <v>41214</v>
      </c>
      <c r="D275" s="55">
        <v>743000</v>
      </c>
      <c r="E275" s="60">
        <v>357024</v>
      </c>
      <c r="F275" s="39"/>
      <c r="H275" s="39"/>
      <c r="I275" s="39"/>
      <c r="J275" s="39"/>
      <c r="K275" s="39"/>
      <c r="L275" s="39"/>
      <c r="M275" s="39"/>
      <c r="N275" s="39"/>
      <c r="O275" s="39"/>
      <c r="P275" s="39"/>
      <c r="Q275" s="39"/>
      <c r="R275" s="39"/>
      <c r="S275" s="39"/>
      <c r="T275" s="39"/>
      <c r="U275" s="39"/>
      <c r="V275" s="39"/>
      <c r="W275" s="39"/>
      <c r="X275" s="39"/>
      <c r="Y275" s="39"/>
      <c r="Z275" s="39"/>
      <c r="AA275" s="39"/>
      <c r="AB275" s="39"/>
      <c r="AC275" s="39"/>
      <c r="AD275" s="39"/>
      <c r="AE275" s="39"/>
      <c r="AF275" s="39"/>
      <c r="AG275" s="39"/>
      <c r="AH275" s="39"/>
    </row>
    <row r="276" spans="1:34" s="38" customFormat="1" x14ac:dyDescent="0.25">
      <c r="A276" s="52">
        <v>4</v>
      </c>
      <c r="B276" s="53">
        <f t="shared" si="9"/>
        <v>41153</v>
      </c>
      <c r="C276" s="53">
        <f t="shared" si="10"/>
        <v>41244</v>
      </c>
      <c r="D276" s="55">
        <v>386000</v>
      </c>
      <c r="E276" s="60">
        <v>12096</v>
      </c>
      <c r="F276" s="39"/>
      <c r="H276" s="39"/>
      <c r="I276" s="39"/>
      <c r="J276" s="39"/>
      <c r="K276" s="39"/>
      <c r="L276" s="39"/>
      <c r="M276" s="39"/>
      <c r="N276" s="39"/>
      <c r="O276" s="39"/>
      <c r="P276" s="39"/>
      <c r="Q276" s="39"/>
      <c r="R276" s="39"/>
      <c r="S276" s="39"/>
      <c r="T276" s="39"/>
      <c r="U276" s="39"/>
      <c r="V276" s="39"/>
      <c r="W276" s="39"/>
      <c r="X276" s="39"/>
      <c r="Y276" s="39"/>
      <c r="Z276" s="39"/>
      <c r="AA276" s="39"/>
      <c r="AB276" s="39"/>
      <c r="AC276" s="39"/>
      <c r="AD276" s="39"/>
      <c r="AE276" s="39"/>
      <c r="AF276" s="39"/>
      <c r="AG276" s="39"/>
      <c r="AH276" s="39"/>
    </row>
    <row r="277" spans="1:34" s="38" customFormat="1" x14ac:dyDescent="0.25">
      <c r="A277" s="52">
        <v>3</v>
      </c>
      <c r="B277" s="53">
        <f t="shared" si="9"/>
        <v>41183</v>
      </c>
      <c r="C277" s="53">
        <f t="shared" si="10"/>
        <v>41183</v>
      </c>
      <c r="D277" s="55">
        <v>1803000</v>
      </c>
      <c r="E277" s="55">
        <v>755914</v>
      </c>
      <c r="F277" s="59"/>
      <c r="H277" s="39"/>
      <c r="I277" s="39"/>
      <c r="J277" s="39"/>
      <c r="K277" s="39"/>
      <c r="L277" s="39"/>
      <c r="M277" s="39"/>
      <c r="N277" s="39"/>
      <c r="O277" s="39"/>
      <c r="P277" s="39"/>
      <c r="Q277" s="39"/>
      <c r="R277" s="39"/>
      <c r="S277" s="39"/>
      <c r="T277" s="39"/>
      <c r="U277" s="39"/>
      <c r="V277" s="39"/>
      <c r="W277" s="39"/>
      <c r="X277" s="39"/>
      <c r="Y277" s="39"/>
      <c r="Z277" s="39"/>
      <c r="AA277" s="39"/>
      <c r="AB277" s="39"/>
      <c r="AC277" s="39"/>
      <c r="AD277" s="39"/>
      <c r="AE277" s="39"/>
      <c r="AF277" s="39"/>
      <c r="AG277" s="39"/>
      <c r="AH277" s="39"/>
    </row>
    <row r="278" spans="1:34" s="38" customFormat="1" x14ac:dyDescent="0.25">
      <c r="A278" s="52">
        <v>3</v>
      </c>
      <c r="B278" s="53">
        <f t="shared" si="9"/>
        <v>41183</v>
      </c>
      <c r="C278" s="53">
        <f t="shared" si="10"/>
        <v>41214</v>
      </c>
      <c r="D278" s="55">
        <v>4503000</v>
      </c>
      <c r="E278" s="55">
        <v>832809</v>
      </c>
      <c r="F278" s="59"/>
      <c r="H278" s="39"/>
      <c r="I278" s="39"/>
      <c r="J278" s="39"/>
      <c r="K278" s="39"/>
      <c r="L278" s="39"/>
      <c r="M278" s="39"/>
      <c r="N278" s="39"/>
      <c r="O278" s="39"/>
      <c r="P278" s="39"/>
      <c r="Q278" s="39"/>
      <c r="R278" s="39"/>
      <c r="S278" s="39"/>
      <c r="T278" s="39"/>
      <c r="U278" s="39"/>
      <c r="V278" s="39"/>
      <c r="W278" s="39"/>
      <c r="X278" s="39"/>
      <c r="Y278" s="39"/>
      <c r="Z278" s="39"/>
      <c r="AA278" s="39"/>
      <c r="AB278" s="39"/>
      <c r="AC278" s="39"/>
      <c r="AD278" s="39"/>
      <c r="AE278" s="39"/>
      <c r="AF278" s="39"/>
      <c r="AG278" s="39"/>
      <c r="AH278" s="39"/>
    </row>
    <row r="279" spans="1:34" s="38" customFormat="1" x14ac:dyDescent="0.25">
      <c r="A279" s="52">
        <v>3</v>
      </c>
      <c r="B279" s="53">
        <f t="shared" si="9"/>
        <v>41183</v>
      </c>
      <c r="C279" s="53">
        <f t="shared" si="10"/>
        <v>41244</v>
      </c>
      <c r="D279" s="55">
        <v>876000</v>
      </c>
      <c r="E279" s="55">
        <v>582278</v>
      </c>
      <c r="F279" s="59"/>
      <c r="H279" s="39"/>
      <c r="I279" s="39"/>
      <c r="J279" s="39"/>
      <c r="K279" s="39"/>
      <c r="L279" s="39"/>
      <c r="M279" s="39"/>
      <c r="N279" s="39"/>
      <c r="O279" s="39"/>
      <c r="P279" s="39"/>
      <c r="Q279" s="39"/>
      <c r="R279" s="39"/>
      <c r="S279" s="39"/>
      <c r="T279" s="39"/>
      <c r="U279" s="39"/>
      <c r="V279" s="39"/>
      <c r="W279" s="39"/>
      <c r="X279" s="39"/>
      <c r="Y279" s="39"/>
      <c r="Z279" s="39"/>
      <c r="AA279" s="39"/>
      <c r="AB279" s="39"/>
      <c r="AC279" s="39"/>
      <c r="AD279" s="39"/>
      <c r="AE279" s="39"/>
      <c r="AF279" s="39"/>
      <c r="AG279" s="39"/>
      <c r="AH279" s="39"/>
    </row>
    <row r="280" spans="1:34" s="38" customFormat="1" x14ac:dyDescent="0.25">
      <c r="A280" s="52">
        <v>2</v>
      </c>
      <c r="B280" s="53">
        <f t="shared" si="9"/>
        <v>41214</v>
      </c>
      <c r="C280" s="53">
        <f t="shared" si="10"/>
        <v>41214</v>
      </c>
      <c r="D280" s="55">
        <v>1357000</v>
      </c>
      <c r="E280" s="60">
        <v>1009464</v>
      </c>
      <c r="F280" s="39"/>
      <c r="H280" s="39"/>
      <c r="I280" s="39"/>
      <c r="J280" s="39"/>
      <c r="K280" s="39"/>
      <c r="L280" s="39"/>
      <c r="M280" s="39"/>
      <c r="N280" s="39"/>
      <c r="O280" s="39"/>
      <c r="P280" s="39"/>
      <c r="Q280" s="39"/>
      <c r="R280" s="39"/>
      <c r="S280" s="39"/>
      <c r="T280" s="39"/>
      <c r="U280" s="39"/>
      <c r="V280" s="39"/>
      <c r="W280" s="39"/>
      <c r="X280" s="39"/>
      <c r="Y280" s="39"/>
      <c r="Z280" s="39"/>
      <c r="AA280" s="39"/>
      <c r="AB280" s="39"/>
      <c r="AC280" s="39"/>
      <c r="AD280" s="39"/>
      <c r="AE280" s="39"/>
      <c r="AF280" s="39"/>
      <c r="AG280" s="39"/>
      <c r="AH280" s="39"/>
    </row>
    <row r="281" spans="1:34" s="38" customFormat="1" x14ac:dyDescent="0.25">
      <c r="A281" s="52">
        <v>2</v>
      </c>
      <c r="B281" s="53">
        <f t="shared" si="9"/>
        <v>41214</v>
      </c>
      <c r="C281" s="53">
        <f t="shared" si="10"/>
        <v>41244</v>
      </c>
      <c r="D281" s="55">
        <v>5339000</v>
      </c>
      <c r="E281" s="60">
        <v>594216</v>
      </c>
      <c r="F281" s="39"/>
      <c r="H281" s="39"/>
      <c r="I281" s="39"/>
      <c r="J281" s="39"/>
      <c r="K281" s="39"/>
      <c r="L281" s="39"/>
      <c r="M281" s="39"/>
      <c r="N281" s="39"/>
      <c r="O281" s="39"/>
      <c r="P281" s="39"/>
      <c r="Q281" s="39"/>
      <c r="R281" s="39"/>
      <c r="S281" s="39"/>
      <c r="T281" s="39"/>
      <c r="U281" s="39"/>
      <c r="V281" s="39"/>
      <c r="W281" s="39"/>
      <c r="X281" s="39"/>
      <c r="Y281" s="39"/>
      <c r="Z281" s="39"/>
      <c r="AA281" s="39"/>
      <c r="AB281" s="39"/>
      <c r="AC281" s="39"/>
      <c r="AD281" s="39"/>
      <c r="AE281" s="39"/>
      <c r="AF281" s="39"/>
      <c r="AG281" s="39"/>
      <c r="AH281" s="39"/>
    </row>
    <row r="282" spans="1:34" s="38" customFormat="1" x14ac:dyDescent="0.25">
      <c r="A282" s="52">
        <v>1</v>
      </c>
      <c r="B282" s="53">
        <f t="shared" si="9"/>
        <v>41244</v>
      </c>
      <c r="C282" s="53">
        <f t="shared" si="10"/>
        <v>41244</v>
      </c>
      <c r="D282" s="55">
        <v>1938000</v>
      </c>
      <c r="E282" s="60">
        <v>1420125</v>
      </c>
      <c r="F282" s="39"/>
      <c r="H282" s="39"/>
      <c r="I282" s="39"/>
      <c r="J282" s="39"/>
      <c r="K282" s="39"/>
      <c r="L282" s="39"/>
      <c r="M282" s="39"/>
      <c r="N282" s="39"/>
      <c r="O282" s="39"/>
      <c r="P282" s="39"/>
      <c r="Q282" s="39"/>
      <c r="R282" s="39"/>
      <c r="S282" s="39"/>
      <c r="T282" s="39"/>
      <c r="U282" s="39"/>
      <c r="V282" s="39"/>
      <c r="W282" s="39"/>
      <c r="X282" s="39"/>
      <c r="Y282" s="39"/>
      <c r="Z282" s="39"/>
      <c r="AA282" s="39"/>
      <c r="AB282" s="39"/>
      <c r="AC282" s="39"/>
      <c r="AD282" s="39"/>
      <c r="AE282" s="39"/>
      <c r="AF282" s="39"/>
      <c r="AG282" s="39"/>
      <c r="AH282" s="39"/>
    </row>
    <row r="283" spans="1:34" s="38" customFormat="1" x14ac:dyDescent="0.25">
      <c r="A283" s="52">
        <f>(YEAR($L$2)-YEAR(B283))*12+MONTH($L$2)-MONTH(B283)</f>
        <v>1356</v>
      </c>
      <c r="B283" s="58"/>
      <c r="C283" s="58"/>
      <c r="D283" s="59"/>
      <c r="E283" s="39"/>
      <c r="F283" s="39"/>
      <c r="H283" s="39"/>
      <c r="I283" s="39"/>
      <c r="J283" s="39"/>
      <c r="K283" s="39"/>
      <c r="L283" s="39"/>
      <c r="M283" s="39"/>
      <c r="N283" s="39"/>
      <c r="O283" s="39"/>
      <c r="P283" s="39"/>
      <c r="Q283" s="39"/>
      <c r="R283" s="39"/>
      <c r="S283" s="39"/>
      <c r="T283" s="39"/>
      <c r="U283" s="39"/>
      <c r="V283" s="39"/>
      <c r="W283" s="39"/>
      <c r="X283" s="39"/>
      <c r="Y283" s="39"/>
      <c r="Z283" s="39"/>
      <c r="AA283" s="39"/>
      <c r="AB283" s="39"/>
      <c r="AC283" s="39"/>
      <c r="AD283" s="39"/>
      <c r="AE283" s="39"/>
      <c r="AF283" s="39"/>
      <c r="AG283" s="39"/>
      <c r="AH283" s="39"/>
    </row>
    <row r="284" spans="1:34" s="38" customFormat="1" x14ac:dyDescent="0.25">
      <c r="A284" s="52"/>
      <c r="B284" s="58"/>
      <c r="C284" s="58"/>
      <c r="D284" s="59"/>
      <c r="E284" s="39"/>
      <c r="F284" s="39"/>
      <c r="H284" s="39"/>
      <c r="I284" s="39"/>
      <c r="J284" s="39"/>
      <c r="K284" s="39"/>
      <c r="L284" s="39"/>
      <c r="M284" s="39"/>
      <c r="N284" s="39"/>
      <c r="O284" s="39"/>
      <c r="P284" s="39"/>
      <c r="Q284" s="39"/>
      <c r="R284" s="39"/>
      <c r="S284" s="39"/>
      <c r="T284" s="39"/>
      <c r="U284" s="39"/>
      <c r="V284" s="39"/>
      <c r="W284" s="39"/>
      <c r="X284" s="39"/>
      <c r="Y284" s="39"/>
      <c r="Z284" s="39"/>
      <c r="AA284" s="39"/>
      <c r="AB284" s="39"/>
      <c r="AC284" s="39"/>
      <c r="AD284" s="39"/>
      <c r="AE284" s="39"/>
      <c r="AF284" s="39"/>
      <c r="AG284" s="39"/>
      <c r="AH284" s="39"/>
    </row>
    <row r="285" spans="1:34" s="38" customFormat="1" x14ac:dyDescent="0.25">
      <c r="A285" s="52"/>
      <c r="B285" s="58"/>
      <c r="C285" s="58"/>
      <c r="D285" s="59"/>
      <c r="E285" s="59"/>
      <c r="F285" s="59"/>
      <c r="H285" s="39"/>
      <c r="I285" s="39"/>
      <c r="J285" s="39"/>
      <c r="K285" s="39"/>
      <c r="L285" s="39"/>
      <c r="M285" s="39"/>
      <c r="N285" s="39"/>
      <c r="O285" s="39"/>
      <c r="P285" s="39"/>
      <c r="Q285" s="39"/>
      <c r="R285" s="39"/>
      <c r="S285" s="39"/>
      <c r="T285" s="39"/>
      <c r="U285" s="39"/>
      <c r="V285" s="39"/>
      <c r="W285" s="39"/>
      <c r="X285" s="39"/>
      <c r="Y285" s="39"/>
      <c r="Z285" s="39"/>
      <c r="AA285" s="39"/>
      <c r="AB285" s="39"/>
      <c r="AC285" s="39"/>
      <c r="AD285" s="39"/>
      <c r="AE285" s="39"/>
      <c r="AF285" s="39"/>
      <c r="AG285" s="39"/>
      <c r="AH285" s="39"/>
    </row>
    <row r="286" spans="1:34" s="38" customFormat="1" x14ac:dyDescent="0.25">
      <c r="A286" s="52"/>
      <c r="B286" s="58"/>
      <c r="C286" s="58"/>
      <c r="D286" s="59"/>
      <c r="E286" s="59"/>
      <c r="F286" s="59"/>
      <c r="H286" s="39"/>
      <c r="I286" s="39"/>
      <c r="J286" s="39"/>
      <c r="K286" s="39"/>
      <c r="L286" s="39"/>
      <c r="M286" s="39"/>
      <c r="N286" s="39"/>
      <c r="O286" s="39"/>
      <c r="P286" s="39"/>
      <c r="Q286" s="39"/>
      <c r="R286" s="39"/>
      <c r="S286" s="39"/>
      <c r="T286" s="39"/>
      <c r="U286" s="39"/>
      <c r="V286" s="39"/>
      <c r="W286" s="39"/>
      <c r="X286" s="39"/>
      <c r="Y286" s="39"/>
      <c r="Z286" s="39"/>
      <c r="AA286" s="39"/>
      <c r="AB286" s="39"/>
      <c r="AC286" s="39"/>
      <c r="AD286" s="39"/>
      <c r="AE286" s="39"/>
      <c r="AF286" s="39"/>
      <c r="AG286" s="39"/>
      <c r="AH286" s="39"/>
    </row>
    <row r="287" spans="1:34" s="38" customFormat="1" x14ac:dyDescent="0.25">
      <c r="A287" s="52"/>
      <c r="B287" s="58"/>
      <c r="C287" s="58"/>
      <c r="D287" s="59"/>
      <c r="E287" s="59"/>
      <c r="F287" s="59"/>
      <c r="H287" s="39"/>
      <c r="I287" s="39"/>
      <c r="J287" s="39"/>
      <c r="K287" s="39"/>
      <c r="L287" s="39"/>
      <c r="M287" s="39"/>
      <c r="N287" s="39"/>
      <c r="O287" s="39"/>
      <c r="P287" s="39"/>
      <c r="Q287" s="39"/>
      <c r="R287" s="39"/>
      <c r="S287" s="39"/>
      <c r="T287" s="39"/>
      <c r="U287" s="39"/>
      <c r="V287" s="39"/>
      <c r="W287" s="39"/>
      <c r="X287" s="39"/>
      <c r="Y287" s="39"/>
      <c r="Z287" s="39"/>
      <c r="AA287" s="39"/>
      <c r="AB287" s="39"/>
      <c r="AC287" s="39"/>
      <c r="AD287" s="39"/>
      <c r="AE287" s="39"/>
      <c r="AF287" s="39"/>
      <c r="AG287" s="39"/>
      <c r="AH287" s="39"/>
    </row>
    <row r="288" spans="1:34" s="38" customFormat="1" x14ac:dyDescent="0.25">
      <c r="A288" s="52"/>
      <c r="B288" s="58"/>
      <c r="C288" s="58"/>
      <c r="D288" s="59"/>
      <c r="E288" s="59"/>
      <c r="F288" s="59"/>
      <c r="H288" s="39"/>
      <c r="I288" s="39"/>
      <c r="J288" s="39"/>
      <c r="K288" s="39"/>
      <c r="L288" s="39"/>
      <c r="M288" s="39"/>
      <c r="N288" s="39"/>
      <c r="O288" s="39"/>
      <c r="P288" s="39"/>
      <c r="Q288" s="39"/>
      <c r="R288" s="39"/>
      <c r="S288" s="39"/>
      <c r="T288" s="39"/>
      <c r="U288" s="39"/>
      <c r="V288" s="39"/>
      <c r="W288" s="39"/>
      <c r="X288" s="39"/>
      <c r="Y288" s="39"/>
      <c r="Z288" s="39"/>
      <c r="AA288" s="39"/>
      <c r="AB288" s="39"/>
      <c r="AC288" s="39"/>
      <c r="AD288" s="39"/>
      <c r="AE288" s="39"/>
      <c r="AF288" s="39"/>
      <c r="AG288" s="39"/>
      <c r="AH288" s="39"/>
    </row>
    <row r="289" spans="1:34" s="38" customFormat="1" x14ac:dyDescent="0.25">
      <c r="A289" s="52"/>
      <c r="B289" s="58"/>
      <c r="C289" s="58"/>
      <c r="D289" s="59"/>
      <c r="E289" s="59"/>
      <c r="F289" s="59"/>
      <c r="H289" s="39"/>
      <c r="I289" s="39"/>
      <c r="J289" s="39"/>
      <c r="K289" s="39"/>
      <c r="L289" s="39"/>
      <c r="M289" s="39"/>
      <c r="N289" s="39"/>
      <c r="O289" s="39"/>
      <c r="P289" s="39"/>
      <c r="Q289" s="39"/>
      <c r="R289" s="39"/>
      <c r="S289" s="39"/>
      <c r="T289" s="39"/>
      <c r="U289" s="39"/>
      <c r="V289" s="39"/>
      <c r="W289" s="39"/>
      <c r="X289" s="39"/>
      <c r="Y289" s="39"/>
      <c r="Z289" s="39"/>
      <c r="AA289" s="39"/>
      <c r="AB289" s="39"/>
      <c r="AC289" s="39"/>
      <c r="AD289" s="39"/>
      <c r="AE289" s="39"/>
      <c r="AF289" s="39"/>
      <c r="AG289" s="39"/>
      <c r="AH289" s="39"/>
    </row>
    <row r="290" spans="1:34" s="38" customFormat="1" x14ac:dyDescent="0.25">
      <c r="A290" s="52"/>
      <c r="B290" s="58"/>
      <c r="C290" s="58"/>
      <c r="D290" s="59"/>
      <c r="E290" s="59"/>
      <c r="F290" s="59"/>
      <c r="H290" s="39"/>
      <c r="I290" s="39"/>
      <c r="J290" s="39"/>
      <c r="K290" s="39"/>
      <c r="L290" s="39"/>
      <c r="M290" s="39"/>
      <c r="N290" s="39"/>
      <c r="O290" s="39"/>
      <c r="P290" s="39"/>
      <c r="Q290" s="39"/>
      <c r="R290" s="39"/>
      <c r="S290" s="39"/>
      <c r="T290" s="39"/>
      <c r="U290" s="39"/>
      <c r="V290" s="39"/>
      <c r="W290" s="39"/>
      <c r="X290" s="39"/>
      <c r="Y290" s="39"/>
      <c r="Z290" s="39"/>
      <c r="AA290" s="39"/>
      <c r="AB290" s="39"/>
      <c r="AC290" s="39"/>
      <c r="AD290" s="39"/>
      <c r="AE290" s="39"/>
      <c r="AF290" s="39"/>
      <c r="AG290" s="39"/>
      <c r="AH290" s="39"/>
    </row>
    <row r="291" spans="1:34" s="38" customFormat="1" x14ac:dyDescent="0.25">
      <c r="A291" s="52"/>
      <c r="B291" s="58"/>
      <c r="C291" s="58"/>
      <c r="D291" s="59"/>
      <c r="E291" s="59"/>
      <c r="F291" s="59"/>
      <c r="H291" s="39"/>
      <c r="I291" s="39"/>
      <c r="J291" s="39"/>
      <c r="K291" s="39"/>
      <c r="L291" s="39"/>
      <c r="M291" s="39"/>
      <c r="N291" s="39"/>
      <c r="O291" s="39"/>
      <c r="P291" s="39"/>
      <c r="Q291" s="39"/>
      <c r="R291" s="39"/>
      <c r="S291" s="39"/>
      <c r="T291" s="39"/>
      <c r="U291" s="39"/>
      <c r="V291" s="39"/>
      <c r="W291" s="39"/>
      <c r="X291" s="39"/>
      <c r="Y291" s="39"/>
      <c r="Z291" s="39"/>
      <c r="AA291" s="39"/>
      <c r="AB291" s="39"/>
      <c r="AC291" s="39"/>
      <c r="AD291" s="39"/>
      <c r="AE291" s="39"/>
      <c r="AF291" s="39"/>
      <c r="AG291" s="39"/>
      <c r="AH291" s="39"/>
    </row>
    <row r="292" spans="1:34" s="38" customFormat="1" x14ac:dyDescent="0.25">
      <c r="A292" s="52"/>
      <c r="B292" s="58"/>
      <c r="C292" s="58"/>
      <c r="D292" s="59"/>
      <c r="E292" s="59"/>
      <c r="F292" s="59"/>
      <c r="H292" s="39"/>
      <c r="I292" s="39"/>
      <c r="J292" s="39"/>
      <c r="K292" s="39"/>
      <c r="L292" s="39"/>
      <c r="M292" s="39"/>
      <c r="N292" s="39"/>
      <c r="O292" s="39"/>
      <c r="P292" s="39"/>
      <c r="Q292" s="39"/>
      <c r="R292" s="39"/>
      <c r="S292" s="39"/>
      <c r="T292" s="39"/>
      <c r="U292" s="39"/>
      <c r="V292" s="39"/>
      <c r="W292" s="39"/>
      <c r="X292" s="39"/>
      <c r="Y292" s="39"/>
      <c r="Z292" s="39"/>
      <c r="AA292" s="39"/>
      <c r="AB292" s="39"/>
      <c r="AC292" s="39"/>
      <c r="AD292" s="39"/>
      <c r="AE292" s="39"/>
      <c r="AF292" s="39"/>
      <c r="AG292" s="39"/>
      <c r="AH292" s="39"/>
    </row>
    <row r="293" spans="1:34" s="38" customFormat="1" x14ac:dyDescent="0.25">
      <c r="A293" s="52"/>
      <c r="B293" s="58"/>
      <c r="C293" s="58"/>
      <c r="D293" s="59"/>
      <c r="E293" s="59"/>
      <c r="F293" s="59"/>
      <c r="H293" s="39"/>
      <c r="I293" s="39"/>
      <c r="J293" s="39"/>
      <c r="K293" s="39"/>
      <c r="L293" s="39"/>
      <c r="M293" s="39"/>
      <c r="N293" s="39"/>
      <c r="O293" s="39"/>
      <c r="P293" s="39"/>
      <c r="Q293" s="39"/>
      <c r="R293" s="39"/>
      <c r="S293" s="39"/>
      <c r="T293" s="39"/>
      <c r="U293" s="39"/>
      <c r="V293" s="39"/>
      <c r="W293" s="39"/>
      <c r="X293" s="39"/>
      <c r="Y293" s="39"/>
      <c r="Z293" s="39"/>
      <c r="AA293" s="39"/>
      <c r="AB293" s="39"/>
      <c r="AC293" s="39"/>
      <c r="AD293" s="39"/>
      <c r="AE293" s="39"/>
      <c r="AF293" s="39"/>
      <c r="AG293" s="39"/>
      <c r="AH293" s="39"/>
    </row>
    <row r="294" spans="1:34" s="38" customFormat="1" x14ac:dyDescent="0.25">
      <c r="A294" s="52"/>
      <c r="B294" s="58"/>
      <c r="C294" s="58"/>
      <c r="D294" s="59"/>
      <c r="E294" s="59"/>
      <c r="F294" s="59"/>
      <c r="H294" s="39"/>
      <c r="I294" s="39"/>
      <c r="J294" s="39"/>
      <c r="K294" s="39"/>
      <c r="L294" s="39"/>
      <c r="M294" s="39"/>
      <c r="N294" s="39"/>
      <c r="O294" s="39"/>
      <c r="P294" s="39"/>
      <c r="Q294" s="39"/>
      <c r="R294" s="39"/>
      <c r="S294" s="39"/>
      <c r="T294" s="39"/>
      <c r="U294" s="39"/>
      <c r="V294" s="39"/>
      <c r="W294" s="39"/>
      <c r="X294" s="39"/>
      <c r="Y294" s="39"/>
      <c r="Z294" s="39"/>
      <c r="AA294" s="39"/>
      <c r="AB294" s="39"/>
      <c r="AC294" s="39"/>
      <c r="AD294" s="39"/>
      <c r="AE294" s="39"/>
      <c r="AF294" s="39"/>
      <c r="AG294" s="39"/>
      <c r="AH294" s="39"/>
    </row>
    <row r="295" spans="1:34" s="38" customFormat="1" x14ac:dyDescent="0.25">
      <c r="A295" s="52"/>
      <c r="B295" s="58"/>
      <c r="C295" s="58"/>
      <c r="D295" s="59"/>
      <c r="E295" s="39"/>
      <c r="F295" s="39"/>
      <c r="H295" s="39"/>
      <c r="I295" s="39"/>
      <c r="J295" s="39"/>
      <c r="K295" s="39"/>
      <c r="L295" s="39"/>
      <c r="M295" s="39"/>
      <c r="N295" s="39"/>
      <c r="O295" s="39"/>
      <c r="P295" s="39"/>
      <c r="Q295" s="39"/>
      <c r="R295" s="39"/>
      <c r="S295" s="39"/>
      <c r="T295" s="39"/>
      <c r="U295" s="39"/>
      <c r="V295" s="39"/>
      <c r="W295" s="39"/>
      <c r="X295" s="39"/>
      <c r="Y295" s="39"/>
      <c r="Z295" s="39"/>
      <c r="AA295" s="39"/>
      <c r="AB295" s="39"/>
      <c r="AC295" s="39"/>
      <c r="AD295" s="39"/>
      <c r="AE295" s="39"/>
      <c r="AF295" s="39"/>
      <c r="AG295" s="39"/>
      <c r="AH295" s="39"/>
    </row>
    <row r="296" spans="1:34" s="38" customFormat="1" x14ac:dyDescent="0.25">
      <c r="A296" s="52"/>
      <c r="B296" s="58"/>
      <c r="C296" s="58"/>
      <c r="D296" s="59"/>
      <c r="E296" s="39"/>
      <c r="F296" s="39"/>
      <c r="H296" s="39"/>
      <c r="I296" s="39"/>
      <c r="J296" s="39"/>
      <c r="K296" s="39"/>
      <c r="L296" s="39"/>
      <c r="M296" s="39"/>
      <c r="N296" s="39"/>
      <c r="O296" s="39"/>
      <c r="P296" s="39"/>
      <c r="Q296" s="39"/>
      <c r="R296" s="39"/>
      <c r="S296" s="39"/>
      <c r="T296" s="39"/>
      <c r="U296" s="39"/>
      <c r="V296" s="39"/>
      <c r="W296" s="39"/>
      <c r="X296" s="39"/>
      <c r="Y296" s="39"/>
      <c r="Z296" s="39"/>
      <c r="AA296" s="39"/>
      <c r="AB296" s="39"/>
      <c r="AC296" s="39"/>
      <c r="AD296" s="39"/>
      <c r="AE296" s="39"/>
      <c r="AF296" s="39"/>
      <c r="AG296" s="39"/>
      <c r="AH296" s="39"/>
    </row>
    <row r="297" spans="1:34" s="38" customFormat="1" x14ac:dyDescent="0.25">
      <c r="A297" s="52"/>
      <c r="B297" s="58"/>
      <c r="C297" s="58"/>
      <c r="D297" s="59"/>
      <c r="E297" s="39"/>
      <c r="F297" s="39"/>
      <c r="H297" s="39"/>
      <c r="I297" s="39"/>
      <c r="J297" s="39"/>
      <c r="K297" s="39"/>
      <c r="L297" s="39"/>
      <c r="M297" s="39"/>
      <c r="N297" s="39"/>
      <c r="O297" s="39"/>
      <c r="P297" s="39"/>
      <c r="Q297" s="39"/>
      <c r="R297" s="39"/>
      <c r="S297" s="39"/>
      <c r="T297" s="39"/>
      <c r="U297" s="39"/>
      <c r="V297" s="39"/>
      <c r="W297" s="39"/>
      <c r="X297" s="39"/>
      <c r="Y297" s="39"/>
      <c r="Z297" s="39"/>
      <c r="AA297" s="39"/>
      <c r="AB297" s="39"/>
      <c r="AC297" s="39"/>
      <c r="AD297" s="39"/>
      <c r="AE297" s="39"/>
      <c r="AF297" s="39"/>
      <c r="AG297" s="39"/>
      <c r="AH297" s="39"/>
    </row>
    <row r="298" spans="1:34" s="38" customFormat="1" x14ac:dyDescent="0.25">
      <c r="A298" s="52"/>
      <c r="B298" s="58"/>
      <c r="C298" s="58"/>
      <c r="D298" s="59"/>
      <c r="E298" s="39"/>
      <c r="F298" s="39"/>
      <c r="H298" s="39"/>
      <c r="I298" s="39"/>
      <c r="J298" s="39"/>
      <c r="K298" s="39"/>
      <c r="L298" s="39"/>
      <c r="M298" s="39"/>
      <c r="N298" s="39"/>
      <c r="O298" s="39"/>
      <c r="P298" s="39"/>
      <c r="Q298" s="39"/>
      <c r="R298" s="39"/>
      <c r="S298" s="39"/>
      <c r="T298" s="39"/>
      <c r="U298" s="39"/>
      <c r="V298" s="39"/>
      <c r="W298" s="39"/>
      <c r="X298" s="39"/>
      <c r="Y298" s="39"/>
      <c r="Z298" s="39"/>
      <c r="AA298" s="39"/>
      <c r="AB298" s="39"/>
      <c r="AC298" s="39"/>
      <c r="AD298" s="39"/>
      <c r="AE298" s="39"/>
      <c r="AF298" s="39"/>
      <c r="AG298" s="39"/>
      <c r="AH298" s="39"/>
    </row>
    <row r="299" spans="1:34" s="38" customFormat="1" x14ac:dyDescent="0.25">
      <c r="A299" s="52"/>
      <c r="B299" s="58"/>
      <c r="C299" s="58"/>
      <c r="D299" s="59"/>
      <c r="E299" s="39"/>
      <c r="F299" s="39"/>
      <c r="H299" s="39"/>
      <c r="I299" s="39"/>
      <c r="J299" s="39"/>
      <c r="K299" s="39"/>
      <c r="L299" s="39"/>
      <c r="M299" s="39"/>
      <c r="N299" s="39"/>
      <c r="O299" s="39"/>
      <c r="P299" s="39"/>
      <c r="Q299" s="39"/>
      <c r="R299" s="39"/>
      <c r="S299" s="39"/>
      <c r="T299" s="39"/>
      <c r="U299" s="39"/>
      <c r="V299" s="39"/>
      <c r="W299" s="39"/>
      <c r="X299" s="39"/>
      <c r="Y299" s="39"/>
      <c r="Z299" s="39"/>
      <c r="AA299" s="39"/>
      <c r="AB299" s="39"/>
      <c r="AC299" s="39"/>
      <c r="AD299" s="39"/>
      <c r="AE299" s="39"/>
      <c r="AF299" s="39"/>
      <c r="AG299" s="39"/>
      <c r="AH299" s="39"/>
    </row>
    <row r="300" spans="1:34" s="38" customFormat="1" x14ac:dyDescent="0.25">
      <c r="A300" s="52"/>
      <c r="B300" s="58"/>
      <c r="C300" s="58"/>
      <c r="D300" s="59"/>
      <c r="E300" s="39"/>
      <c r="F300" s="39"/>
      <c r="H300" s="39"/>
      <c r="I300" s="39"/>
      <c r="J300" s="39"/>
      <c r="K300" s="39"/>
      <c r="L300" s="39"/>
      <c r="M300" s="39"/>
      <c r="N300" s="39"/>
      <c r="O300" s="39"/>
      <c r="P300" s="39"/>
      <c r="Q300" s="39"/>
      <c r="R300" s="39"/>
      <c r="S300" s="39"/>
      <c r="T300" s="39"/>
      <c r="U300" s="39"/>
      <c r="V300" s="39"/>
      <c r="W300" s="39"/>
      <c r="X300" s="39"/>
      <c r="Y300" s="39"/>
      <c r="Z300" s="39"/>
      <c r="AA300" s="39"/>
      <c r="AB300" s="39"/>
      <c r="AC300" s="39"/>
      <c r="AD300" s="39"/>
      <c r="AE300" s="39"/>
      <c r="AF300" s="39"/>
      <c r="AG300" s="39"/>
      <c r="AH300" s="39"/>
    </row>
    <row r="301" spans="1:34" s="38" customFormat="1" x14ac:dyDescent="0.25">
      <c r="A301" s="52"/>
      <c r="B301" s="58"/>
      <c r="C301" s="58"/>
      <c r="D301" s="59"/>
      <c r="E301" s="39"/>
      <c r="F301" s="39"/>
      <c r="H301" s="39"/>
      <c r="I301" s="39"/>
      <c r="J301" s="39"/>
      <c r="K301" s="39"/>
      <c r="L301" s="39"/>
      <c r="M301" s="39"/>
      <c r="N301" s="39"/>
      <c r="O301" s="39"/>
      <c r="P301" s="39"/>
      <c r="Q301" s="39"/>
      <c r="R301" s="39"/>
      <c r="S301" s="39"/>
      <c r="T301" s="39"/>
      <c r="U301" s="39"/>
      <c r="V301" s="39"/>
      <c r="W301" s="39"/>
      <c r="X301" s="39"/>
      <c r="Y301" s="39"/>
      <c r="Z301" s="39"/>
      <c r="AA301" s="39"/>
      <c r="AB301" s="39"/>
      <c r="AC301" s="39"/>
      <c r="AD301" s="39"/>
      <c r="AE301" s="39"/>
      <c r="AF301" s="39"/>
      <c r="AG301" s="39"/>
      <c r="AH301" s="39"/>
    </row>
    <row r="302" spans="1:34" s="38" customFormat="1" x14ac:dyDescent="0.25">
      <c r="A302" s="52"/>
      <c r="B302" s="58"/>
      <c r="C302" s="58"/>
      <c r="D302" s="59"/>
      <c r="E302" s="39"/>
      <c r="F302" s="39"/>
      <c r="H302" s="39"/>
      <c r="I302" s="39"/>
      <c r="J302" s="39"/>
      <c r="K302" s="39"/>
      <c r="L302" s="39"/>
      <c r="M302" s="39"/>
      <c r="N302" s="39"/>
      <c r="O302" s="39"/>
      <c r="P302" s="39"/>
      <c r="Q302" s="39"/>
      <c r="R302" s="39"/>
      <c r="S302" s="39"/>
      <c r="T302" s="39"/>
      <c r="U302" s="39"/>
      <c r="V302" s="39"/>
      <c r="W302" s="39"/>
      <c r="X302" s="39"/>
      <c r="Y302" s="39"/>
      <c r="Z302" s="39"/>
      <c r="AA302" s="39"/>
      <c r="AB302" s="39"/>
      <c r="AC302" s="39"/>
      <c r="AD302" s="39"/>
      <c r="AE302" s="39"/>
      <c r="AF302" s="39"/>
      <c r="AG302" s="39"/>
      <c r="AH302" s="39"/>
    </row>
    <row r="303" spans="1:34" s="38" customFormat="1" x14ac:dyDescent="0.25">
      <c r="A303" s="52"/>
      <c r="B303" s="58"/>
      <c r="C303" s="58"/>
      <c r="D303" s="59"/>
      <c r="E303" s="39"/>
      <c r="F303" s="39"/>
      <c r="H303" s="39"/>
      <c r="I303" s="39"/>
      <c r="J303" s="39"/>
      <c r="K303" s="39"/>
      <c r="L303" s="39"/>
      <c r="M303" s="39"/>
      <c r="N303" s="39"/>
      <c r="O303" s="39"/>
      <c r="P303" s="39"/>
      <c r="Q303" s="39"/>
      <c r="R303" s="39"/>
      <c r="S303" s="39"/>
      <c r="T303" s="39"/>
      <c r="U303" s="39"/>
      <c r="V303" s="39"/>
      <c r="W303" s="39"/>
      <c r="X303" s="39"/>
      <c r="Y303" s="39"/>
      <c r="Z303" s="39"/>
      <c r="AA303" s="39"/>
      <c r="AB303" s="39"/>
      <c r="AC303" s="39"/>
      <c r="AD303" s="39"/>
      <c r="AE303" s="39"/>
      <c r="AF303" s="39"/>
      <c r="AG303" s="39"/>
      <c r="AH303" s="39"/>
    </row>
    <row r="304" spans="1:34" s="38" customFormat="1" x14ac:dyDescent="0.25">
      <c r="A304" s="52"/>
      <c r="B304" s="58"/>
      <c r="C304" s="58"/>
      <c r="D304" s="59"/>
      <c r="E304" s="39"/>
      <c r="F304" s="39"/>
      <c r="H304" s="39"/>
      <c r="I304" s="39"/>
      <c r="J304" s="39"/>
      <c r="K304" s="39"/>
      <c r="L304" s="39"/>
      <c r="M304" s="39"/>
      <c r="N304" s="39"/>
      <c r="O304" s="39"/>
      <c r="P304" s="39"/>
      <c r="Q304" s="39"/>
      <c r="R304" s="39"/>
      <c r="S304" s="39"/>
      <c r="T304" s="39"/>
      <c r="U304" s="39"/>
      <c r="V304" s="39"/>
      <c r="W304" s="39"/>
      <c r="X304" s="39"/>
      <c r="Y304" s="39"/>
      <c r="Z304" s="39"/>
      <c r="AA304" s="39"/>
      <c r="AB304" s="39"/>
      <c r="AC304" s="39"/>
      <c r="AD304" s="39"/>
      <c r="AE304" s="39"/>
      <c r="AF304" s="39"/>
      <c r="AG304" s="39"/>
      <c r="AH304" s="39"/>
    </row>
    <row r="305" spans="1:34" s="38" customFormat="1" x14ac:dyDescent="0.25">
      <c r="A305" s="52"/>
      <c r="B305" s="58"/>
      <c r="C305" s="58"/>
      <c r="D305" s="59"/>
      <c r="E305" s="39"/>
      <c r="F305" s="39"/>
      <c r="H305" s="39"/>
      <c r="I305" s="39"/>
      <c r="J305" s="39"/>
      <c r="K305" s="39"/>
      <c r="L305" s="39"/>
      <c r="M305" s="39"/>
      <c r="N305" s="39"/>
      <c r="O305" s="39"/>
      <c r="P305" s="39"/>
      <c r="Q305" s="39"/>
      <c r="R305" s="39"/>
      <c r="S305" s="39"/>
      <c r="T305" s="39"/>
      <c r="U305" s="39"/>
      <c r="V305" s="39"/>
      <c r="W305" s="39"/>
      <c r="X305" s="39"/>
      <c r="Y305" s="39"/>
      <c r="Z305" s="39"/>
      <c r="AA305" s="39"/>
      <c r="AB305" s="39"/>
      <c r="AC305" s="39"/>
      <c r="AD305" s="39"/>
      <c r="AE305" s="39"/>
      <c r="AF305" s="39"/>
      <c r="AG305" s="39"/>
      <c r="AH305" s="39"/>
    </row>
    <row r="306" spans="1:34" s="38" customFormat="1" x14ac:dyDescent="0.25">
      <c r="A306" s="52"/>
      <c r="B306" s="58"/>
      <c r="C306" s="58"/>
      <c r="D306" s="59"/>
      <c r="E306" s="39"/>
      <c r="F306" s="39"/>
      <c r="H306" s="39"/>
      <c r="I306" s="39"/>
      <c r="J306" s="39"/>
      <c r="K306" s="39"/>
      <c r="L306" s="39"/>
      <c r="M306" s="39"/>
      <c r="N306" s="39"/>
      <c r="O306" s="39"/>
      <c r="P306" s="39"/>
      <c r="Q306" s="39"/>
      <c r="R306" s="39"/>
      <c r="S306" s="39"/>
      <c r="T306" s="39"/>
      <c r="U306" s="39"/>
      <c r="V306" s="39"/>
      <c r="W306" s="39"/>
      <c r="X306" s="39"/>
      <c r="Y306" s="39"/>
      <c r="Z306" s="39"/>
      <c r="AA306" s="39"/>
      <c r="AB306" s="39"/>
      <c r="AC306" s="39"/>
      <c r="AD306" s="39"/>
      <c r="AE306" s="39"/>
      <c r="AF306" s="39"/>
      <c r="AG306" s="39"/>
      <c r="AH306" s="39"/>
    </row>
    <row r="307" spans="1:34" s="38" customFormat="1" x14ac:dyDescent="0.25">
      <c r="A307" s="52"/>
      <c r="B307" s="58"/>
      <c r="C307" s="58"/>
      <c r="D307" s="59"/>
      <c r="E307" s="39"/>
      <c r="F307" s="39"/>
      <c r="H307" s="39"/>
      <c r="I307" s="39"/>
      <c r="J307" s="39"/>
      <c r="K307" s="39"/>
      <c r="L307" s="39"/>
      <c r="M307" s="39"/>
      <c r="N307" s="39"/>
      <c r="O307" s="39"/>
      <c r="P307" s="39"/>
      <c r="Q307" s="39"/>
      <c r="R307" s="39"/>
      <c r="S307" s="39"/>
      <c r="T307" s="39"/>
      <c r="U307" s="39"/>
      <c r="V307" s="39"/>
      <c r="W307" s="39"/>
      <c r="X307" s="39"/>
      <c r="Y307" s="39"/>
      <c r="Z307" s="39"/>
      <c r="AA307" s="39"/>
      <c r="AB307" s="39"/>
      <c r="AC307" s="39"/>
      <c r="AD307" s="39"/>
      <c r="AE307" s="39"/>
      <c r="AF307" s="39"/>
      <c r="AG307" s="39"/>
      <c r="AH307" s="39"/>
    </row>
    <row r="308" spans="1:34" s="38" customFormat="1" x14ac:dyDescent="0.25">
      <c r="A308" s="52"/>
      <c r="B308" s="58"/>
      <c r="C308" s="58"/>
      <c r="D308" s="59"/>
      <c r="E308" s="39"/>
      <c r="F308" s="39"/>
      <c r="H308" s="39"/>
      <c r="I308" s="39"/>
      <c r="J308" s="39"/>
      <c r="K308" s="39"/>
      <c r="L308" s="39"/>
      <c r="M308" s="39"/>
      <c r="N308" s="39"/>
      <c r="O308" s="39"/>
      <c r="P308" s="39"/>
      <c r="Q308" s="39"/>
      <c r="R308" s="39"/>
      <c r="S308" s="39"/>
      <c r="T308" s="39"/>
      <c r="U308" s="39"/>
      <c r="V308" s="39"/>
      <c r="W308" s="39"/>
      <c r="X308" s="39"/>
      <c r="Y308" s="39"/>
      <c r="Z308" s="39"/>
      <c r="AA308" s="39"/>
      <c r="AB308" s="39"/>
      <c r="AC308" s="39"/>
      <c r="AD308" s="39"/>
      <c r="AE308" s="39"/>
      <c r="AF308" s="39"/>
      <c r="AG308" s="39"/>
      <c r="AH308" s="39"/>
    </row>
    <row r="309" spans="1:34" s="38" customFormat="1" x14ac:dyDescent="0.25">
      <c r="A309" s="52"/>
      <c r="B309" s="58"/>
      <c r="C309" s="58"/>
      <c r="D309" s="59"/>
      <c r="E309" s="39"/>
      <c r="F309" s="39"/>
      <c r="H309" s="39"/>
      <c r="I309" s="39"/>
      <c r="J309" s="39"/>
      <c r="K309" s="39"/>
      <c r="L309" s="39"/>
      <c r="M309" s="39"/>
      <c r="N309" s="39"/>
      <c r="O309" s="39"/>
      <c r="P309" s="39"/>
      <c r="Q309" s="39"/>
      <c r="R309" s="39"/>
      <c r="S309" s="39"/>
      <c r="T309" s="39"/>
      <c r="U309" s="39"/>
      <c r="V309" s="39"/>
      <c r="W309" s="39"/>
      <c r="X309" s="39"/>
      <c r="Y309" s="39"/>
      <c r="Z309" s="39"/>
      <c r="AA309" s="39"/>
      <c r="AB309" s="39"/>
      <c r="AC309" s="39"/>
      <c r="AD309" s="39"/>
      <c r="AE309" s="39"/>
      <c r="AF309" s="39"/>
      <c r="AG309" s="39"/>
      <c r="AH309" s="39"/>
    </row>
    <row r="310" spans="1:34" s="38" customFormat="1" x14ac:dyDescent="0.25">
      <c r="A310" s="52"/>
      <c r="B310" s="58"/>
      <c r="C310" s="58"/>
      <c r="D310" s="59"/>
      <c r="E310" s="59"/>
      <c r="F310" s="59"/>
      <c r="H310" s="39"/>
      <c r="I310" s="39"/>
      <c r="J310" s="39"/>
      <c r="K310" s="39"/>
      <c r="L310" s="39"/>
      <c r="M310" s="39"/>
      <c r="N310" s="39"/>
      <c r="O310" s="39"/>
      <c r="P310" s="39"/>
      <c r="Q310" s="39"/>
      <c r="R310" s="39"/>
      <c r="S310" s="39"/>
      <c r="T310" s="39"/>
      <c r="U310" s="39"/>
      <c r="V310" s="39"/>
      <c r="W310" s="39"/>
      <c r="X310" s="39"/>
      <c r="Y310" s="39"/>
      <c r="Z310" s="39"/>
      <c r="AA310" s="39"/>
      <c r="AB310" s="39"/>
      <c r="AC310" s="39"/>
      <c r="AD310" s="39"/>
      <c r="AE310" s="39"/>
      <c r="AF310" s="39"/>
      <c r="AG310" s="39"/>
      <c r="AH310" s="39"/>
    </row>
    <row r="311" spans="1:34" s="38" customFormat="1" x14ac:dyDescent="0.25">
      <c r="A311" s="52"/>
      <c r="B311" s="58"/>
      <c r="C311" s="58"/>
      <c r="D311" s="59"/>
      <c r="E311" s="59"/>
      <c r="F311" s="59"/>
      <c r="H311" s="39"/>
      <c r="I311" s="39"/>
      <c r="J311" s="39"/>
      <c r="K311" s="39"/>
      <c r="L311" s="39"/>
      <c r="M311" s="39"/>
      <c r="N311" s="39"/>
      <c r="O311" s="39"/>
      <c r="P311" s="39"/>
      <c r="Q311" s="39"/>
      <c r="R311" s="39"/>
      <c r="S311" s="39"/>
      <c r="T311" s="39"/>
      <c r="U311" s="39"/>
      <c r="V311" s="39"/>
      <c r="W311" s="39"/>
      <c r="X311" s="39"/>
      <c r="Y311" s="39"/>
      <c r="Z311" s="39"/>
      <c r="AA311" s="39"/>
      <c r="AB311" s="39"/>
      <c r="AC311" s="39"/>
      <c r="AD311" s="39"/>
      <c r="AE311" s="39"/>
      <c r="AF311" s="39"/>
      <c r="AG311" s="39"/>
      <c r="AH311" s="39"/>
    </row>
    <row r="312" spans="1:34" s="38" customFormat="1" x14ac:dyDescent="0.25">
      <c r="A312" s="52"/>
      <c r="B312" s="58"/>
      <c r="C312" s="58"/>
      <c r="D312" s="59"/>
      <c r="E312" s="59"/>
      <c r="F312" s="59"/>
      <c r="H312" s="39"/>
      <c r="I312" s="39"/>
      <c r="J312" s="39"/>
      <c r="K312" s="39"/>
      <c r="L312" s="39"/>
      <c r="M312" s="39"/>
      <c r="N312" s="39"/>
      <c r="O312" s="39"/>
      <c r="P312" s="39"/>
      <c r="Q312" s="39"/>
      <c r="R312" s="39"/>
      <c r="S312" s="39"/>
      <c r="T312" s="39"/>
      <c r="U312" s="39"/>
      <c r="V312" s="39"/>
      <c r="W312" s="39"/>
      <c r="X312" s="39"/>
      <c r="Y312" s="39"/>
      <c r="Z312" s="39"/>
      <c r="AA312" s="39"/>
      <c r="AB312" s="39"/>
      <c r="AC312" s="39"/>
      <c r="AD312" s="39"/>
      <c r="AE312" s="39"/>
      <c r="AF312" s="39"/>
      <c r="AG312" s="39"/>
      <c r="AH312" s="39"/>
    </row>
    <row r="313" spans="1:34" s="38" customFormat="1" x14ac:dyDescent="0.25">
      <c r="A313" s="52"/>
      <c r="B313" s="58"/>
      <c r="C313" s="58"/>
      <c r="D313" s="59"/>
      <c r="E313" s="59"/>
      <c r="F313" s="59"/>
      <c r="H313" s="39"/>
      <c r="I313" s="39"/>
      <c r="J313" s="39"/>
      <c r="K313" s="39"/>
      <c r="L313" s="39"/>
      <c r="M313" s="39"/>
      <c r="N313" s="39"/>
      <c r="O313" s="39"/>
      <c r="P313" s="39"/>
      <c r="Q313" s="39"/>
      <c r="R313" s="39"/>
      <c r="S313" s="39"/>
      <c r="T313" s="39"/>
      <c r="U313" s="39"/>
      <c r="V313" s="39"/>
      <c r="W313" s="39"/>
      <c r="X313" s="39"/>
      <c r="Y313" s="39"/>
      <c r="Z313" s="39"/>
      <c r="AA313" s="39"/>
      <c r="AB313" s="39"/>
      <c r="AC313" s="39"/>
      <c r="AD313" s="39"/>
      <c r="AE313" s="39"/>
      <c r="AF313" s="39"/>
      <c r="AG313" s="39"/>
      <c r="AH313" s="39"/>
    </row>
    <row r="314" spans="1:34" s="38" customFormat="1" x14ac:dyDescent="0.25">
      <c r="A314" s="52"/>
      <c r="B314" s="58"/>
      <c r="C314" s="58"/>
      <c r="D314" s="59"/>
      <c r="E314" s="59"/>
      <c r="F314" s="59"/>
      <c r="H314" s="39"/>
      <c r="I314" s="39"/>
      <c r="J314" s="39"/>
      <c r="K314" s="39"/>
      <c r="L314" s="39"/>
      <c r="M314" s="39"/>
      <c r="N314" s="39"/>
      <c r="O314" s="39"/>
      <c r="P314" s="39"/>
      <c r="Q314" s="39"/>
      <c r="R314" s="39"/>
      <c r="S314" s="39"/>
      <c r="T314" s="39"/>
      <c r="U314" s="39"/>
      <c r="V314" s="39"/>
      <c r="W314" s="39"/>
      <c r="X314" s="39"/>
      <c r="Y314" s="39"/>
      <c r="Z314" s="39"/>
      <c r="AA314" s="39"/>
      <c r="AB314" s="39"/>
      <c r="AC314" s="39"/>
      <c r="AD314" s="39"/>
      <c r="AE314" s="39"/>
      <c r="AF314" s="39"/>
      <c r="AG314" s="39"/>
      <c r="AH314" s="39"/>
    </row>
    <row r="315" spans="1:34" s="38" customFormat="1" x14ac:dyDescent="0.25">
      <c r="A315" s="52"/>
      <c r="B315" s="58"/>
      <c r="C315" s="58"/>
      <c r="D315" s="59"/>
      <c r="E315" s="59"/>
      <c r="F315" s="59"/>
      <c r="H315" s="39"/>
      <c r="I315" s="39"/>
      <c r="J315" s="39"/>
      <c r="K315" s="39"/>
      <c r="L315" s="39"/>
      <c r="M315" s="39"/>
      <c r="N315" s="39"/>
      <c r="O315" s="39"/>
      <c r="P315" s="39"/>
      <c r="Q315" s="39"/>
      <c r="R315" s="39"/>
      <c r="S315" s="39"/>
      <c r="T315" s="39"/>
      <c r="U315" s="39"/>
      <c r="V315" s="39"/>
      <c r="W315" s="39"/>
      <c r="X315" s="39"/>
      <c r="Y315" s="39"/>
      <c r="Z315" s="39"/>
      <c r="AA315" s="39"/>
      <c r="AB315" s="39"/>
      <c r="AC315" s="39"/>
      <c r="AD315" s="39"/>
      <c r="AE315" s="39"/>
      <c r="AF315" s="39"/>
      <c r="AG315" s="39"/>
      <c r="AH315" s="39"/>
    </row>
    <row r="316" spans="1:34" s="38" customFormat="1" x14ac:dyDescent="0.25">
      <c r="A316" s="52"/>
      <c r="B316" s="58"/>
      <c r="C316" s="58"/>
      <c r="D316" s="59"/>
      <c r="E316" s="59"/>
      <c r="F316" s="59"/>
      <c r="H316" s="39"/>
      <c r="I316" s="39"/>
      <c r="J316" s="39"/>
      <c r="K316" s="39"/>
      <c r="L316" s="39"/>
      <c r="M316" s="39"/>
      <c r="N316" s="39"/>
      <c r="O316" s="39"/>
      <c r="P316" s="39"/>
      <c r="Q316" s="39"/>
      <c r="R316" s="39"/>
      <c r="S316" s="39"/>
      <c r="T316" s="39"/>
      <c r="U316" s="39"/>
      <c r="V316" s="39"/>
      <c r="W316" s="39"/>
      <c r="X316" s="39"/>
      <c r="Y316" s="39"/>
      <c r="Z316" s="39"/>
      <c r="AA316" s="39"/>
      <c r="AB316" s="39"/>
      <c r="AC316" s="39"/>
      <c r="AD316" s="39"/>
      <c r="AE316" s="39"/>
      <c r="AF316" s="39"/>
      <c r="AG316" s="39"/>
      <c r="AH316" s="39"/>
    </row>
    <row r="317" spans="1:34" s="38" customFormat="1" x14ac:dyDescent="0.25">
      <c r="A317" s="52"/>
      <c r="B317" s="58"/>
      <c r="C317" s="58"/>
      <c r="D317" s="59"/>
      <c r="E317" s="59"/>
      <c r="F317" s="59"/>
      <c r="H317" s="39"/>
      <c r="I317" s="39"/>
      <c r="J317" s="39"/>
      <c r="K317" s="39"/>
      <c r="L317" s="39"/>
      <c r="M317" s="39"/>
      <c r="N317" s="39"/>
      <c r="O317" s="39"/>
      <c r="P317" s="39"/>
      <c r="Q317" s="39"/>
      <c r="R317" s="39"/>
      <c r="S317" s="39"/>
      <c r="T317" s="39"/>
      <c r="U317" s="39"/>
      <c r="V317" s="39"/>
      <c r="W317" s="39"/>
      <c r="X317" s="39"/>
      <c r="Y317" s="39"/>
      <c r="Z317" s="39"/>
      <c r="AA317" s="39"/>
      <c r="AB317" s="39"/>
      <c r="AC317" s="39"/>
      <c r="AD317" s="39"/>
      <c r="AE317" s="39"/>
      <c r="AF317" s="39"/>
      <c r="AG317" s="39"/>
      <c r="AH317" s="39"/>
    </row>
    <row r="318" spans="1:34" s="38" customFormat="1" x14ac:dyDescent="0.25">
      <c r="A318" s="52"/>
      <c r="B318" s="58"/>
      <c r="C318" s="58"/>
      <c r="D318" s="59"/>
      <c r="E318" s="59"/>
      <c r="F318" s="59"/>
      <c r="H318" s="39"/>
      <c r="I318" s="39"/>
      <c r="J318" s="39"/>
      <c r="K318" s="39"/>
      <c r="L318" s="39"/>
      <c r="M318" s="39"/>
      <c r="N318" s="39"/>
      <c r="O318" s="39"/>
      <c r="P318" s="39"/>
      <c r="Q318" s="39"/>
      <c r="R318" s="39"/>
      <c r="S318" s="39"/>
      <c r="T318" s="39"/>
      <c r="U318" s="39"/>
      <c r="V318" s="39"/>
      <c r="W318" s="39"/>
      <c r="X318" s="39"/>
      <c r="Y318" s="39"/>
      <c r="Z318" s="39"/>
      <c r="AA318" s="39"/>
      <c r="AB318" s="39"/>
      <c r="AC318" s="39"/>
      <c r="AD318" s="39"/>
      <c r="AE318" s="39"/>
      <c r="AF318" s="39"/>
      <c r="AG318" s="39"/>
      <c r="AH318" s="39"/>
    </row>
    <row r="319" spans="1:34" s="38" customFormat="1" x14ac:dyDescent="0.25">
      <c r="A319" s="52"/>
      <c r="B319" s="58"/>
      <c r="C319" s="58"/>
      <c r="D319" s="59"/>
      <c r="E319" s="59"/>
      <c r="F319" s="59"/>
      <c r="H319" s="39"/>
      <c r="I319" s="39"/>
      <c r="J319" s="39"/>
      <c r="K319" s="39"/>
      <c r="L319" s="39"/>
      <c r="M319" s="39"/>
      <c r="N319" s="39"/>
      <c r="O319" s="39"/>
      <c r="P319" s="39"/>
      <c r="Q319" s="39"/>
      <c r="R319" s="39"/>
      <c r="S319" s="39"/>
      <c r="T319" s="39"/>
      <c r="U319" s="39"/>
      <c r="V319" s="39"/>
      <c r="W319" s="39"/>
      <c r="X319" s="39"/>
      <c r="Y319" s="39"/>
      <c r="Z319" s="39"/>
      <c r="AA319" s="39"/>
      <c r="AB319" s="39"/>
      <c r="AC319" s="39"/>
      <c r="AD319" s="39"/>
      <c r="AE319" s="39"/>
      <c r="AF319" s="39"/>
      <c r="AG319" s="39"/>
      <c r="AH319" s="39"/>
    </row>
    <row r="320" spans="1:34" s="38" customFormat="1" x14ac:dyDescent="0.25">
      <c r="A320" s="52"/>
      <c r="B320" s="58"/>
      <c r="C320" s="58"/>
      <c r="D320" s="59"/>
      <c r="E320" s="39"/>
      <c r="F320" s="39"/>
      <c r="H320" s="39"/>
      <c r="I320" s="39"/>
      <c r="J320" s="39"/>
      <c r="K320" s="39"/>
      <c r="L320" s="39"/>
      <c r="M320" s="39"/>
      <c r="N320" s="39"/>
      <c r="O320" s="39"/>
      <c r="P320" s="39"/>
      <c r="Q320" s="39"/>
      <c r="R320" s="39"/>
      <c r="S320" s="39"/>
      <c r="T320" s="39"/>
      <c r="U320" s="39"/>
      <c r="V320" s="39"/>
      <c r="W320" s="39"/>
      <c r="X320" s="39"/>
      <c r="Y320" s="39"/>
      <c r="Z320" s="39"/>
      <c r="AA320" s="39"/>
      <c r="AB320" s="39"/>
      <c r="AC320" s="39"/>
      <c r="AD320" s="39"/>
      <c r="AE320" s="39"/>
      <c r="AF320" s="39"/>
      <c r="AG320" s="39"/>
      <c r="AH320" s="39"/>
    </row>
    <row r="321" spans="1:34" s="38" customFormat="1" x14ac:dyDescent="0.25">
      <c r="A321" s="52"/>
      <c r="B321" s="58"/>
      <c r="C321" s="58"/>
      <c r="D321" s="59"/>
      <c r="E321" s="39"/>
      <c r="F321" s="39"/>
      <c r="H321" s="39"/>
      <c r="I321" s="39"/>
      <c r="J321" s="39"/>
      <c r="K321" s="39"/>
      <c r="L321" s="39"/>
      <c r="M321" s="39"/>
      <c r="N321" s="39"/>
      <c r="O321" s="39"/>
      <c r="P321" s="39"/>
      <c r="Q321" s="39"/>
      <c r="R321" s="39"/>
      <c r="S321" s="39"/>
      <c r="T321" s="39"/>
      <c r="U321" s="39"/>
      <c r="V321" s="39"/>
      <c r="W321" s="39"/>
      <c r="X321" s="39"/>
      <c r="Y321" s="39"/>
      <c r="Z321" s="39"/>
      <c r="AA321" s="39"/>
      <c r="AB321" s="39"/>
      <c r="AC321" s="39"/>
      <c r="AD321" s="39"/>
      <c r="AE321" s="39"/>
      <c r="AF321" s="39"/>
      <c r="AG321" s="39"/>
      <c r="AH321" s="39"/>
    </row>
    <row r="322" spans="1:34" s="38" customFormat="1" x14ac:dyDescent="0.25">
      <c r="A322" s="52"/>
      <c r="B322" s="58"/>
      <c r="C322" s="58"/>
      <c r="D322" s="59"/>
      <c r="E322" s="39"/>
      <c r="F322" s="39"/>
      <c r="H322" s="39"/>
      <c r="I322" s="39"/>
      <c r="J322" s="39"/>
      <c r="K322" s="39"/>
      <c r="L322" s="39"/>
      <c r="M322" s="39"/>
      <c r="N322" s="39"/>
      <c r="O322" s="39"/>
      <c r="P322" s="39"/>
      <c r="Q322" s="39"/>
      <c r="R322" s="39"/>
      <c r="S322" s="39"/>
      <c r="T322" s="39"/>
      <c r="U322" s="39"/>
      <c r="V322" s="39"/>
      <c r="W322" s="39"/>
      <c r="X322" s="39"/>
      <c r="Y322" s="39"/>
      <c r="Z322" s="39"/>
      <c r="AA322" s="39"/>
      <c r="AB322" s="39"/>
      <c r="AC322" s="39"/>
      <c r="AD322" s="39"/>
      <c r="AE322" s="39"/>
      <c r="AF322" s="39"/>
      <c r="AG322" s="39"/>
      <c r="AH322" s="39"/>
    </row>
    <row r="323" spans="1:34" s="38" customFormat="1" x14ac:dyDescent="0.25">
      <c r="A323" s="52"/>
      <c r="B323" s="58"/>
      <c r="C323" s="58"/>
      <c r="D323" s="59"/>
      <c r="E323" s="39"/>
      <c r="F323" s="39"/>
      <c r="H323" s="39"/>
      <c r="I323" s="39"/>
      <c r="J323" s="39"/>
      <c r="K323" s="39"/>
      <c r="L323" s="39"/>
      <c r="M323" s="39"/>
      <c r="N323" s="39"/>
      <c r="O323" s="39"/>
      <c r="P323" s="39"/>
      <c r="Q323" s="39"/>
      <c r="R323" s="39"/>
      <c r="S323" s="39"/>
      <c r="T323" s="39"/>
      <c r="U323" s="39"/>
      <c r="V323" s="39"/>
      <c r="W323" s="39"/>
      <c r="X323" s="39"/>
      <c r="Y323" s="39"/>
      <c r="Z323" s="39"/>
      <c r="AA323" s="39"/>
      <c r="AB323" s="39"/>
      <c r="AC323" s="39"/>
      <c r="AD323" s="39"/>
      <c r="AE323" s="39"/>
      <c r="AF323" s="39"/>
      <c r="AG323" s="39"/>
      <c r="AH323" s="39"/>
    </row>
    <row r="324" spans="1:34" s="38" customFormat="1" x14ac:dyDescent="0.25">
      <c r="A324" s="52"/>
      <c r="B324" s="58"/>
      <c r="C324" s="58"/>
      <c r="D324" s="59"/>
      <c r="E324" s="39"/>
      <c r="F324" s="39"/>
      <c r="H324" s="39"/>
      <c r="I324" s="39"/>
      <c r="J324" s="39"/>
      <c r="K324" s="39"/>
      <c r="L324" s="39"/>
      <c r="M324" s="39"/>
      <c r="N324" s="39"/>
      <c r="O324" s="39"/>
      <c r="P324" s="39"/>
      <c r="Q324" s="39"/>
      <c r="R324" s="39"/>
      <c r="S324" s="39"/>
      <c r="T324" s="39"/>
      <c r="U324" s="39"/>
      <c r="V324" s="39"/>
      <c r="W324" s="39"/>
      <c r="X324" s="39"/>
      <c r="Y324" s="39"/>
      <c r="Z324" s="39"/>
      <c r="AA324" s="39"/>
      <c r="AB324" s="39"/>
      <c r="AC324" s="39"/>
      <c r="AD324" s="39"/>
      <c r="AE324" s="39"/>
      <c r="AF324" s="39"/>
      <c r="AG324" s="39"/>
      <c r="AH324" s="39"/>
    </row>
    <row r="325" spans="1:34" s="38" customFormat="1" x14ac:dyDescent="0.25">
      <c r="A325" s="52"/>
      <c r="B325" s="58"/>
      <c r="C325" s="58"/>
      <c r="D325" s="59"/>
      <c r="E325" s="39"/>
      <c r="F325" s="39"/>
      <c r="H325" s="39"/>
      <c r="I325" s="39"/>
      <c r="J325" s="39"/>
      <c r="K325" s="39"/>
      <c r="L325" s="39"/>
      <c r="M325" s="39"/>
      <c r="N325" s="39"/>
      <c r="O325" s="39"/>
      <c r="P325" s="39"/>
      <c r="Q325" s="39"/>
      <c r="R325" s="39"/>
      <c r="S325" s="39"/>
      <c r="T325" s="39"/>
      <c r="U325" s="39"/>
      <c r="V325" s="39"/>
      <c r="W325" s="39"/>
      <c r="X325" s="39"/>
      <c r="Y325" s="39"/>
      <c r="Z325" s="39"/>
      <c r="AA325" s="39"/>
      <c r="AB325" s="39"/>
      <c r="AC325" s="39"/>
      <c r="AD325" s="39"/>
      <c r="AE325" s="39"/>
      <c r="AF325" s="39"/>
      <c r="AG325" s="39"/>
      <c r="AH325" s="39"/>
    </row>
    <row r="326" spans="1:34" s="38" customFormat="1" x14ac:dyDescent="0.25">
      <c r="A326" s="52"/>
      <c r="B326" s="58"/>
      <c r="C326" s="58"/>
      <c r="D326" s="59"/>
      <c r="E326" s="39"/>
      <c r="F326" s="39"/>
      <c r="H326" s="39"/>
      <c r="I326" s="39"/>
      <c r="J326" s="39"/>
      <c r="K326" s="39"/>
      <c r="L326" s="39"/>
      <c r="M326" s="39"/>
      <c r="N326" s="39"/>
      <c r="O326" s="39"/>
      <c r="P326" s="39"/>
      <c r="Q326" s="39"/>
      <c r="R326" s="39"/>
      <c r="S326" s="39"/>
      <c r="T326" s="39"/>
      <c r="U326" s="39"/>
      <c r="V326" s="39"/>
      <c r="W326" s="39"/>
      <c r="X326" s="39"/>
      <c r="Y326" s="39"/>
      <c r="Z326" s="39"/>
      <c r="AA326" s="39"/>
      <c r="AB326" s="39"/>
      <c r="AC326" s="39"/>
      <c r="AD326" s="39"/>
      <c r="AE326" s="39"/>
      <c r="AF326" s="39"/>
      <c r="AG326" s="39"/>
      <c r="AH326" s="39"/>
    </row>
    <row r="327" spans="1:34" s="38" customFormat="1" x14ac:dyDescent="0.25">
      <c r="A327" s="52"/>
      <c r="B327" s="58"/>
      <c r="C327" s="58"/>
      <c r="D327" s="59"/>
      <c r="E327" s="39"/>
      <c r="F327" s="39"/>
      <c r="H327" s="39"/>
      <c r="I327" s="39"/>
      <c r="J327" s="39"/>
      <c r="K327" s="39"/>
      <c r="L327" s="39"/>
      <c r="M327" s="39"/>
      <c r="N327" s="39"/>
      <c r="O327" s="39"/>
      <c r="P327" s="39"/>
      <c r="Q327" s="39"/>
      <c r="R327" s="39"/>
      <c r="S327" s="39"/>
      <c r="T327" s="39"/>
      <c r="U327" s="39"/>
      <c r="V327" s="39"/>
      <c r="W327" s="39"/>
      <c r="X327" s="39"/>
      <c r="Y327" s="39"/>
      <c r="Z327" s="39"/>
      <c r="AA327" s="39"/>
      <c r="AB327" s="39"/>
      <c r="AC327" s="39"/>
      <c r="AD327" s="39"/>
      <c r="AE327" s="39"/>
      <c r="AF327" s="39"/>
      <c r="AG327" s="39"/>
      <c r="AH327" s="39"/>
    </row>
    <row r="328" spans="1:34" s="38" customFormat="1" x14ac:dyDescent="0.25">
      <c r="A328" s="52"/>
      <c r="B328" s="58"/>
      <c r="C328" s="58"/>
      <c r="D328" s="59"/>
      <c r="E328" s="39"/>
      <c r="F328" s="39"/>
      <c r="H328" s="39"/>
      <c r="I328" s="39"/>
      <c r="J328" s="39"/>
      <c r="K328" s="39"/>
      <c r="L328" s="39"/>
      <c r="M328" s="39"/>
      <c r="N328" s="39"/>
      <c r="O328" s="39"/>
      <c r="P328" s="39"/>
      <c r="Q328" s="39"/>
      <c r="R328" s="39"/>
      <c r="S328" s="39"/>
      <c r="T328" s="39"/>
      <c r="U328" s="39"/>
      <c r="V328" s="39"/>
      <c r="W328" s="39"/>
      <c r="X328" s="39"/>
      <c r="Y328" s="39"/>
      <c r="Z328" s="39"/>
      <c r="AA328" s="39"/>
      <c r="AB328" s="39"/>
      <c r="AC328" s="39"/>
      <c r="AD328" s="39"/>
      <c r="AE328" s="39"/>
      <c r="AF328" s="39"/>
      <c r="AG328" s="39"/>
      <c r="AH328" s="39"/>
    </row>
    <row r="329" spans="1:34" s="38" customFormat="1" x14ac:dyDescent="0.25">
      <c r="A329" s="52"/>
      <c r="B329" s="58"/>
      <c r="C329" s="58"/>
      <c r="D329" s="59"/>
      <c r="E329" s="39"/>
      <c r="F329" s="39"/>
      <c r="H329" s="39"/>
      <c r="I329" s="39"/>
      <c r="J329" s="39"/>
      <c r="K329" s="39"/>
      <c r="L329" s="39"/>
      <c r="M329" s="39"/>
      <c r="N329" s="39"/>
      <c r="O329" s="39"/>
      <c r="P329" s="39"/>
      <c r="Q329" s="39"/>
      <c r="R329" s="39"/>
      <c r="S329" s="39"/>
      <c r="T329" s="39"/>
      <c r="U329" s="39"/>
      <c r="V329" s="39"/>
      <c r="W329" s="39"/>
      <c r="X329" s="39"/>
      <c r="Y329" s="39"/>
      <c r="Z329" s="39"/>
      <c r="AA329" s="39"/>
      <c r="AB329" s="39"/>
      <c r="AC329" s="39"/>
      <c r="AD329" s="39"/>
      <c r="AE329" s="39"/>
      <c r="AF329" s="39"/>
      <c r="AG329" s="39"/>
      <c r="AH329" s="39"/>
    </row>
    <row r="330" spans="1:34" s="38" customFormat="1" x14ac:dyDescent="0.25">
      <c r="A330" s="52"/>
      <c r="B330" s="58"/>
      <c r="C330" s="58"/>
      <c r="D330" s="59"/>
      <c r="E330" s="39"/>
      <c r="F330" s="39"/>
      <c r="H330" s="39"/>
      <c r="I330" s="39"/>
      <c r="J330" s="39"/>
      <c r="K330" s="39"/>
      <c r="L330" s="39"/>
      <c r="M330" s="39"/>
      <c r="N330" s="39"/>
      <c r="O330" s="39"/>
      <c r="P330" s="39"/>
      <c r="Q330" s="39"/>
      <c r="R330" s="39"/>
      <c r="S330" s="39"/>
      <c r="T330" s="39"/>
      <c r="U330" s="39"/>
      <c r="V330" s="39"/>
      <c r="W330" s="39"/>
      <c r="X330" s="39"/>
      <c r="Y330" s="39"/>
      <c r="Z330" s="39"/>
      <c r="AA330" s="39"/>
      <c r="AB330" s="39"/>
      <c r="AC330" s="39"/>
      <c r="AD330" s="39"/>
      <c r="AE330" s="39"/>
      <c r="AF330" s="39"/>
      <c r="AG330" s="39"/>
      <c r="AH330" s="39"/>
    </row>
    <row r="331" spans="1:34" s="38" customFormat="1" x14ac:dyDescent="0.25">
      <c r="A331" s="52"/>
      <c r="B331" s="58"/>
      <c r="C331" s="58"/>
      <c r="D331" s="59"/>
      <c r="E331" s="39"/>
      <c r="F331" s="39"/>
      <c r="H331" s="39"/>
      <c r="I331" s="39"/>
      <c r="J331" s="39"/>
      <c r="K331" s="39"/>
      <c r="L331" s="39"/>
      <c r="M331" s="39"/>
      <c r="N331" s="39"/>
      <c r="O331" s="39"/>
      <c r="P331" s="39"/>
      <c r="Q331" s="39"/>
      <c r="R331" s="39"/>
      <c r="S331" s="39"/>
      <c r="T331" s="39"/>
      <c r="U331" s="39"/>
      <c r="V331" s="39"/>
      <c r="W331" s="39"/>
      <c r="X331" s="39"/>
      <c r="Y331" s="39"/>
      <c r="Z331" s="39"/>
      <c r="AA331" s="39"/>
      <c r="AB331" s="39"/>
      <c r="AC331" s="39"/>
      <c r="AD331" s="39"/>
      <c r="AE331" s="39"/>
      <c r="AF331" s="39"/>
      <c r="AG331" s="39"/>
      <c r="AH331" s="39"/>
    </row>
    <row r="332" spans="1:34" s="38" customFormat="1" x14ac:dyDescent="0.25">
      <c r="A332" s="52"/>
      <c r="B332" s="58"/>
      <c r="C332" s="58"/>
      <c r="D332" s="59"/>
      <c r="E332" s="39"/>
      <c r="F332" s="39"/>
      <c r="H332" s="39"/>
      <c r="I332" s="39"/>
      <c r="J332" s="39"/>
      <c r="K332" s="39"/>
      <c r="L332" s="39"/>
      <c r="M332" s="39"/>
      <c r="N332" s="39"/>
      <c r="O332" s="39"/>
      <c r="P332" s="39"/>
      <c r="Q332" s="39"/>
      <c r="R332" s="39"/>
      <c r="S332" s="39"/>
      <c r="T332" s="39"/>
      <c r="U332" s="39"/>
      <c r="V332" s="39"/>
      <c r="W332" s="39"/>
      <c r="X332" s="39"/>
      <c r="Y332" s="39"/>
      <c r="Z332" s="39"/>
      <c r="AA332" s="39"/>
      <c r="AB332" s="39"/>
      <c r="AC332" s="39"/>
      <c r="AD332" s="39"/>
      <c r="AE332" s="39"/>
      <c r="AF332" s="39"/>
      <c r="AG332" s="39"/>
      <c r="AH332" s="39"/>
    </row>
    <row r="333" spans="1:34" s="38" customFormat="1" x14ac:dyDescent="0.25">
      <c r="A333" s="52"/>
      <c r="B333" s="58"/>
      <c r="C333" s="58"/>
      <c r="D333" s="59"/>
      <c r="E333" s="39"/>
      <c r="F333" s="39"/>
      <c r="H333" s="39"/>
      <c r="I333" s="39"/>
      <c r="J333" s="39"/>
      <c r="K333" s="39"/>
      <c r="L333" s="39"/>
      <c r="M333" s="39"/>
      <c r="N333" s="39"/>
      <c r="O333" s="39"/>
      <c r="P333" s="39"/>
      <c r="Q333" s="39"/>
      <c r="R333" s="39"/>
      <c r="S333" s="39"/>
      <c r="T333" s="39"/>
      <c r="U333" s="39"/>
      <c r="V333" s="39"/>
      <c r="W333" s="39"/>
      <c r="X333" s="39"/>
      <c r="Y333" s="39"/>
      <c r="Z333" s="39"/>
      <c r="AA333" s="39"/>
      <c r="AB333" s="39"/>
      <c r="AC333" s="39"/>
      <c r="AD333" s="39"/>
      <c r="AE333" s="39"/>
      <c r="AF333" s="39"/>
      <c r="AG333" s="39"/>
      <c r="AH333" s="39"/>
    </row>
    <row r="334" spans="1:34" s="38" customFormat="1" x14ac:dyDescent="0.25">
      <c r="A334" s="52"/>
      <c r="B334" s="58"/>
      <c r="C334" s="58"/>
      <c r="D334" s="59"/>
      <c r="E334" s="39"/>
      <c r="F334" s="39"/>
      <c r="H334" s="39"/>
      <c r="I334" s="39"/>
      <c r="J334" s="39"/>
      <c r="K334" s="39"/>
      <c r="L334" s="39"/>
      <c r="M334" s="39"/>
      <c r="N334" s="39"/>
      <c r="O334" s="39"/>
      <c r="P334" s="39"/>
      <c r="Q334" s="39"/>
      <c r="R334" s="39"/>
      <c r="S334" s="39"/>
      <c r="T334" s="39"/>
      <c r="U334" s="39"/>
      <c r="V334" s="39"/>
      <c r="W334" s="39"/>
      <c r="X334" s="39"/>
      <c r="Y334" s="39"/>
      <c r="Z334" s="39"/>
      <c r="AA334" s="39"/>
      <c r="AB334" s="39"/>
      <c r="AC334" s="39"/>
      <c r="AD334" s="39"/>
      <c r="AE334" s="39"/>
      <c r="AF334" s="39"/>
      <c r="AG334" s="39"/>
      <c r="AH334" s="39"/>
    </row>
    <row r="335" spans="1:34" s="38" customFormat="1" x14ac:dyDescent="0.25">
      <c r="A335" s="52"/>
      <c r="B335" s="58"/>
      <c r="C335" s="58"/>
      <c r="D335" s="59"/>
      <c r="E335" s="59"/>
      <c r="F335" s="59"/>
      <c r="H335" s="39"/>
      <c r="I335" s="39"/>
      <c r="J335" s="39"/>
      <c r="K335" s="39"/>
      <c r="L335" s="39"/>
      <c r="M335" s="39"/>
      <c r="N335" s="39"/>
      <c r="O335" s="39"/>
      <c r="P335" s="39"/>
      <c r="Q335" s="39"/>
      <c r="R335" s="39"/>
      <c r="S335" s="39"/>
      <c r="T335" s="39"/>
      <c r="U335" s="39"/>
      <c r="V335" s="39"/>
      <c r="W335" s="39"/>
      <c r="X335" s="39"/>
      <c r="Y335" s="39"/>
      <c r="Z335" s="39"/>
      <c r="AA335" s="39"/>
      <c r="AB335" s="39"/>
      <c r="AC335" s="39"/>
      <c r="AD335" s="39"/>
      <c r="AE335" s="39"/>
      <c r="AF335" s="39"/>
      <c r="AG335" s="39"/>
      <c r="AH335" s="39"/>
    </row>
    <row r="336" spans="1:34" s="38" customFormat="1" x14ac:dyDescent="0.25">
      <c r="A336" s="52"/>
      <c r="B336" s="58"/>
      <c r="C336" s="58"/>
      <c r="D336" s="59"/>
      <c r="E336" s="59"/>
      <c r="F336" s="59"/>
      <c r="H336" s="39"/>
      <c r="I336" s="39"/>
      <c r="J336" s="39"/>
      <c r="K336" s="39"/>
      <c r="L336" s="39"/>
      <c r="M336" s="39"/>
      <c r="N336" s="39"/>
      <c r="O336" s="39"/>
      <c r="P336" s="39"/>
      <c r="Q336" s="39"/>
      <c r="R336" s="39"/>
      <c r="S336" s="39"/>
      <c r="T336" s="39"/>
      <c r="U336" s="39"/>
      <c r="V336" s="39"/>
      <c r="W336" s="39"/>
      <c r="X336" s="39"/>
      <c r="Y336" s="39"/>
      <c r="Z336" s="39"/>
      <c r="AA336" s="39"/>
      <c r="AB336" s="39"/>
      <c r="AC336" s="39"/>
      <c r="AD336" s="39"/>
      <c r="AE336" s="39"/>
      <c r="AF336" s="39"/>
      <c r="AG336" s="39"/>
      <c r="AH336" s="39"/>
    </row>
    <row r="337" spans="1:34" s="38" customFormat="1" x14ac:dyDescent="0.25">
      <c r="A337" s="52"/>
      <c r="B337" s="58"/>
      <c r="C337" s="58"/>
      <c r="D337" s="59"/>
      <c r="E337" s="59"/>
      <c r="F337" s="59"/>
      <c r="H337" s="39"/>
      <c r="I337" s="39"/>
      <c r="J337" s="39"/>
      <c r="K337" s="39"/>
      <c r="L337" s="39"/>
      <c r="M337" s="39"/>
      <c r="N337" s="39"/>
      <c r="O337" s="39"/>
      <c r="P337" s="39"/>
      <c r="Q337" s="39"/>
      <c r="R337" s="39"/>
      <c r="S337" s="39"/>
      <c r="T337" s="39"/>
      <c r="U337" s="39"/>
      <c r="V337" s="39"/>
      <c r="W337" s="39"/>
      <c r="X337" s="39"/>
      <c r="Y337" s="39"/>
      <c r="Z337" s="39"/>
      <c r="AA337" s="39"/>
      <c r="AB337" s="39"/>
      <c r="AC337" s="39"/>
      <c r="AD337" s="39"/>
      <c r="AE337" s="39"/>
      <c r="AF337" s="39"/>
      <c r="AG337" s="39"/>
      <c r="AH337" s="39"/>
    </row>
    <row r="338" spans="1:34" s="38" customFormat="1" x14ac:dyDescent="0.25">
      <c r="A338" s="52"/>
      <c r="B338" s="58"/>
      <c r="C338" s="58"/>
      <c r="D338" s="59"/>
      <c r="E338" s="59"/>
      <c r="F338" s="59"/>
      <c r="H338" s="39"/>
      <c r="I338" s="39"/>
      <c r="J338" s="39"/>
      <c r="K338" s="39"/>
      <c r="L338" s="39"/>
      <c r="M338" s="39"/>
      <c r="N338" s="39"/>
      <c r="O338" s="39"/>
      <c r="P338" s="39"/>
      <c r="Q338" s="39"/>
      <c r="R338" s="39"/>
      <c r="S338" s="39"/>
      <c r="T338" s="39"/>
      <c r="U338" s="39"/>
      <c r="V338" s="39"/>
      <c r="W338" s="39"/>
      <c r="X338" s="39"/>
      <c r="Y338" s="39"/>
      <c r="Z338" s="39"/>
      <c r="AA338" s="39"/>
      <c r="AB338" s="39"/>
      <c r="AC338" s="39"/>
      <c r="AD338" s="39"/>
      <c r="AE338" s="39"/>
      <c r="AF338" s="39"/>
      <c r="AG338" s="39"/>
      <c r="AH338" s="39"/>
    </row>
    <row r="339" spans="1:34" s="38" customFormat="1" x14ac:dyDescent="0.25">
      <c r="A339" s="52"/>
      <c r="B339" s="58"/>
      <c r="C339" s="58"/>
      <c r="D339" s="59"/>
      <c r="E339" s="59"/>
      <c r="F339" s="59"/>
      <c r="H339" s="39"/>
      <c r="I339" s="39"/>
      <c r="J339" s="39"/>
      <c r="K339" s="39"/>
      <c r="L339" s="39"/>
      <c r="M339" s="39"/>
      <c r="N339" s="39"/>
      <c r="O339" s="39"/>
      <c r="P339" s="39"/>
      <c r="Q339" s="39"/>
      <c r="R339" s="39"/>
      <c r="S339" s="39"/>
      <c r="T339" s="39"/>
      <c r="U339" s="39"/>
      <c r="V339" s="39"/>
      <c r="W339" s="39"/>
      <c r="X339" s="39"/>
      <c r="Y339" s="39"/>
      <c r="Z339" s="39"/>
      <c r="AA339" s="39"/>
      <c r="AB339" s="39"/>
      <c r="AC339" s="39"/>
      <c r="AD339" s="39"/>
      <c r="AE339" s="39"/>
      <c r="AF339" s="39"/>
      <c r="AG339" s="39"/>
      <c r="AH339" s="39"/>
    </row>
    <row r="340" spans="1:34" s="38" customFormat="1" x14ac:dyDescent="0.25">
      <c r="A340" s="52"/>
      <c r="B340" s="58"/>
      <c r="C340" s="58"/>
      <c r="D340" s="59"/>
      <c r="E340" s="59"/>
      <c r="F340" s="59"/>
      <c r="H340" s="39"/>
      <c r="I340" s="39"/>
      <c r="J340" s="39"/>
      <c r="K340" s="39"/>
      <c r="L340" s="39"/>
      <c r="M340" s="39"/>
      <c r="N340" s="39"/>
      <c r="O340" s="39"/>
      <c r="P340" s="39"/>
      <c r="Q340" s="39"/>
      <c r="R340" s="39"/>
      <c r="S340" s="39"/>
      <c r="T340" s="39"/>
      <c r="U340" s="39"/>
      <c r="V340" s="39"/>
      <c r="W340" s="39"/>
      <c r="X340" s="39"/>
      <c r="Y340" s="39"/>
      <c r="Z340" s="39"/>
      <c r="AA340" s="39"/>
      <c r="AB340" s="39"/>
      <c r="AC340" s="39"/>
      <c r="AD340" s="39"/>
      <c r="AE340" s="39"/>
      <c r="AF340" s="39"/>
      <c r="AG340" s="39"/>
      <c r="AH340" s="39"/>
    </row>
    <row r="341" spans="1:34" s="38" customFormat="1" x14ac:dyDescent="0.25">
      <c r="A341" s="52"/>
      <c r="B341" s="58"/>
      <c r="C341" s="58"/>
      <c r="D341" s="59"/>
      <c r="E341" s="59"/>
      <c r="F341" s="59"/>
      <c r="H341" s="39"/>
      <c r="I341" s="39"/>
      <c r="J341" s="39"/>
      <c r="K341" s="39"/>
      <c r="L341" s="39"/>
      <c r="M341" s="39"/>
      <c r="N341" s="39"/>
      <c r="O341" s="39"/>
      <c r="P341" s="39"/>
      <c r="Q341" s="39"/>
      <c r="R341" s="39"/>
      <c r="S341" s="39"/>
      <c r="T341" s="39"/>
      <c r="U341" s="39"/>
      <c r="V341" s="39"/>
      <c r="W341" s="39"/>
      <c r="X341" s="39"/>
      <c r="Y341" s="39"/>
      <c r="Z341" s="39"/>
      <c r="AA341" s="39"/>
      <c r="AB341" s="39"/>
      <c r="AC341" s="39"/>
      <c r="AD341" s="39"/>
      <c r="AE341" s="39"/>
      <c r="AF341" s="39"/>
      <c r="AG341" s="39"/>
      <c r="AH341" s="39"/>
    </row>
    <row r="342" spans="1:34" s="38" customFormat="1" x14ac:dyDescent="0.25">
      <c r="A342" s="52"/>
      <c r="B342" s="58"/>
      <c r="C342" s="58"/>
      <c r="D342" s="59"/>
      <c r="E342" s="59"/>
      <c r="F342" s="59"/>
      <c r="H342" s="39"/>
      <c r="I342" s="39"/>
      <c r="J342" s="39"/>
      <c r="K342" s="39"/>
      <c r="L342" s="39"/>
      <c r="M342" s="39"/>
      <c r="N342" s="39"/>
      <c r="O342" s="39"/>
      <c r="P342" s="39"/>
      <c r="Q342" s="39"/>
      <c r="R342" s="39"/>
      <c r="S342" s="39"/>
      <c r="T342" s="39"/>
      <c r="U342" s="39"/>
      <c r="V342" s="39"/>
      <c r="W342" s="39"/>
      <c r="X342" s="39"/>
      <c r="Y342" s="39"/>
      <c r="Z342" s="39"/>
      <c r="AA342" s="39"/>
      <c r="AB342" s="39"/>
      <c r="AC342" s="39"/>
      <c r="AD342" s="39"/>
      <c r="AE342" s="39"/>
      <c r="AF342" s="39"/>
      <c r="AG342" s="39"/>
      <c r="AH342" s="39"/>
    </row>
    <row r="343" spans="1:34" s="38" customFormat="1" x14ac:dyDescent="0.25">
      <c r="A343" s="52"/>
      <c r="B343" s="58"/>
      <c r="C343" s="58"/>
      <c r="D343" s="59"/>
      <c r="E343" s="59"/>
      <c r="F343" s="59"/>
      <c r="H343" s="39"/>
      <c r="I343" s="39"/>
      <c r="J343" s="39"/>
      <c r="K343" s="39"/>
      <c r="L343" s="39"/>
      <c r="M343" s="39"/>
      <c r="N343" s="39"/>
      <c r="O343" s="39"/>
      <c r="P343" s="39"/>
      <c r="Q343" s="39"/>
      <c r="R343" s="39"/>
      <c r="S343" s="39"/>
      <c r="T343" s="39"/>
      <c r="U343" s="39"/>
      <c r="V343" s="39"/>
      <c r="W343" s="39"/>
      <c r="X343" s="39"/>
      <c r="Y343" s="39"/>
      <c r="Z343" s="39"/>
      <c r="AA343" s="39"/>
      <c r="AB343" s="39"/>
      <c r="AC343" s="39"/>
      <c r="AD343" s="39"/>
      <c r="AE343" s="39"/>
      <c r="AF343" s="39"/>
      <c r="AG343" s="39"/>
      <c r="AH343" s="39"/>
    </row>
    <row r="344" spans="1:34" s="38" customFormat="1" x14ac:dyDescent="0.25">
      <c r="A344" s="52"/>
      <c r="B344" s="58"/>
      <c r="C344" s="58"/>
      <c r="D344" s="59"/>
      <c r="E344" s="59"/>
      <c r="F344" s="59"/>
      <c r="H344" s="39"/>
      <c r="I344" s="39"/>
      <c r="J344" s="39"/>
      <c r="K344" s="39"/>
      <c r="L344" s="39"/>
      <c r="M344" s="39"/>
      <c r="N344" s="39"/>
      <c r="O344" s="39"/>
      <c r="P344" s="39"/>
      <c r="Q344" s="39"/>
      <c r="R344" s="39"/>
      <c r="S344" s="39"/>
      <c r="T344" s="39"/>
      <c r="U344" s="39"/>
      <c r="V344" s="39"/>
      <c r="W344" s="39"/>
      <c r="X344" s="39"/>
      <c r="Y344" s="39"/>
      <c r="Z344" s="39"/>
      <c r="AA344" s="39"/>
      <c r="AB344" s="39"/>
      <c r="AC344" s="39"/>
      <c r="AD344" s="39"/>
      <c r="AE344" s="39"/>
      <c r="AF344" s="39"/>
      <c r="AG344" s="39"/>
      <c r="AH344" s="39"/>
    </row>
    <row r="345" spans="1:34" s="38" customFormat="1" x14ac:dyDescent="0.25">
      <c r="A345" s="52"/>
      <c r="B345" s="58"/>
      <c r="C345" s="58"/>
      <c r="D345" s="59"/>
      <c r="E345" s="39"/>
      <c r="F345" s="39"/>
      <c r="H345" s="39"/>
      <c r="I345" s="39"/>
      <c r="J345" s="39"/>
      <c r="K345" s="39"/>
      <c r="L345" s="39"/>
      <c r="M345" s="39"/>
      <c r="N345" s="39"/>
      <c r="O345" s="39"/>
      <c r="P345" s="39"/>
      <c r="Q345" s="39"/>
      <c r="R345" s="39"/>
      <c r="S345" s="39"/>
      <c r="T345" s="39"/>
      <c r="U345" s="39"/>
      <c r="V345" s="39"/>
      <c r="W345" s="39"/>
      <c r="X345" s="39"/>
      <c r="Y345" s="39"/>
      <c r="Z345" s="39"/>
      <c r="AA345" s="39"/>
      <c r="AB345" s="39"/>
      <c r="AC345" s="39"/>
      <c r="AD345" s="39"/>
      <c r="AE345" s="39"/>
      <c r="AF345" s="39"/>
      <c r="AG345" s="39"/>
      <c r="AH345" s="39"/>
    </row>
    <row r="346" spans="1:34" s="38" customFormat="1" x14ac:dyDescent="0.25">
      <c r="A346" s="52"/>
      <c r="B346" s="58"/>
      <c r="C346" s="58"/>
      <c r="D346" s="59"/>
      <c r="E346" s="39"/>
      <c r="F346" s="39"/>
      <c r="H346" s="39"/>
      <c r="I346" s="39"/>
      <c r="J346" s="39"/>
      <c r="K346" s="39"/>
      <c r="L346" s="39"/>
      <c r="M346" s="39"/>
      <c r="N346" s="39"/>
      <c r="O346" s="39"/>
      <c r="P346" s="39"/>
      <c r="Q346" s="39"/>
      <c r="R346" s="39"/>
      <c r="S346" s="39"/>
      <c r="T346" s="39"/>
      <c r="U346" s="39"/>
      <c r="V346" s="39"/>
      <c r="W346" s="39"/>
      <c r="X346" s="39"/>
      <c r="Y346" s="39"/>
      <c r="Z346" s="39"/>
      <c r="AA346" s="39"/>
      <c r="AB346" s="39"/>
      <c r="AC346" s="39"/>
      <c r="AD346" s="39"/>
      <c r="AE346" s="39"/>
      <c r="AF346" s="39"/>
      <c r="AG346" s="39"/>
      <c r="AH346" s="39"/>
    </row>
    <row r="347" spans="1:34" s="38" customFormat="1" x14ac:dyDescent="0.25">
      <c r="A347" s="52"/>
      <c r="B347" s="58"/>
      <c r="C347" s="58"/>
      <c r="D347" s="59"/>
      <c r="E347" s="39"/>
      <c r="F347" s="39"/>
      <c r="H347" s="39"/>
      <c r="I347" s="39"/>
      <c r="J347" s="39"/>
      <c r="K347" s="39"/>
      <c r="L347" s="39"/>
      <c r="M347" s="39"/>
      <c r="N347" s="39"/>
      <c r="O347" s="39"/>
      <c r="P347" s="39"/>
      <c r="Q347" s="39"/>
      <c r="R347" s="39"/>
      <c r="S347" s="39"/>
      <c r="T347" s="39"/>
      <c r="U347" s="39"/>
      <c r="V347" s="39"/>
      <c r="W347" s="39"/>
      <c r="X347" s="39"/>
      <c r="Y347" s="39"/>
      <c r="Z347" s="39"/>
      <c r="AA347" s="39"/>
      <c r="AB347" s="39"/>
      <c r="AC347" s="39"/>
      <c r="AD347" s="39"/>
      <c r="AE347" s="39"/>
      <c r="AF347" s="39"/>
      <c r="AG347" s="39"/>
      <c r="AH347" s="39"/>
    </row>
    <row r="348" spans="1:34" s="38" customFormat="1" x14ac:dyDescent="0.25">
      <c r="A348" s="52"/>
      <c r="B348" s="58"/>
      <c r="C348" s="58"/>
      <c r="D348" s="59"/>
      <c r="E348" s="39"/>
      <c r="F348" s="39"/>
      <c r="H348" s="39"/>
      <c r="I348" s="39"/>
      <c r="J348" s="39"/>
      <c r="K348" s="39"/>
      <c r="L348" s="39"/>
      <c r="M348" s="39"/>
      <c r="N348" s="39"/>
      <c r="O348" s="39"/>
      <c r="P348" s="39"/>
      <c r="Q348" s="39"/>
      <c r="R348" s="39"/>
      <c r="S348" s="39"/>
      <c r="T348" s="39"/>
      <c r="U348" s="39"/>
      <c r="V348" s="39"/>
      <c r="W348" s="39"/>
      <c r="X348" s="39"/>
      <c r="Y348" s="39"/>
      <c r="Z348" s="39"/>
      <c r="AA348" s="39"/>
      <c r="AB348" s="39"/>
      <c r="AC348" s="39"/>
      <c r="AD348" s="39"/>
      <c r="AE348" s="39"/>
      <c r="AF348" s="39"/>
      <c r="AG348" s="39"/>
      <c r="AH348" s="39"/>
    </row>
    <row r="349" spans="1:34" s="38" customFormat="1" x14ac:dyDescent="0.25">
      <c r="A349" s="52"/>
      <c r="B349" s="58"/>
      <c r="C349" s="58"/>
      <c r="D349" s="59"/>
      <c r="E349" s="39"/>
      <c r="F349" s="39"/>
      <c r="H349" s="39"/>
      <c r="I349" s="39"/>
      <c r="J349" s="39"/>
      <c r="K349" s="39"/>
      <c r="L349" s="39"/>
      <c r="M349" s="39"/>
      <c r="N349" s="39"/>
      <c r="O349" s="39"/>
      <c r="P349" s="39"/>
      <c r="Q349" s="39"/>
      <c r="R349" s="39"/>
      <c r="S349" s="39"/>
      <c r="T349" s="39"/>
      <c r="U349" s="39"/>
      <c r="V349" s="39"/>
      <c r="W349" s="39"/>
      <c r="X349" s="39"/>
      <c r="Y349" s="39"/>
      <c r="Z349" s="39"/>
      <c r="AA349" s="39"/>
      <c r="AB349" s="39"/>
      <c r="AC349" s="39"/>
      <c r="AD349" s="39"/>
      <c r="AE349" s="39"/>
      <c r="AF349" s="39"/>
      <c r="AG349" s="39"/>
      <c r="AH349" s="39"/>
    </row>
    <row r="350" spans="1:34" s="38" customFormat="1" x14ac:dyDescent="0.25">
      <c r="A350" s="52"/>
      <c r="B350" s="58"/>
      <c r="C350" s="58"/>
      <c r="D350" s="59"/>
      <c r="E350" s="39"/>
      <c r="F350" s="39"/>
      <c r="H350" s="39"/>
      <c r="I350" s="39"/>
      <c r="J350" s="39"/>
      <c r="K350" s="39"/>
      <c r="L350" s="39"/>
      <c r="M350" s="39"/>
      <c r="N350" s="39"/>
      <c r="O350" s="39"/>
      <c r="P350" s="39"/>
      <c r="Q350" s="39"/>
      <c r="R350" s="39"/>
      <c r="S350" s="39"/>
      <c r="T350" s="39"/>
      <c r="U350" s="39"/>
      <c r="V350" s="39"/>
      <c r="W350" s="39"/>
      <c r="X350" s="39"/>
      <c r="Y350" s="39"/>
      <c r="Z350" s="39"/>
      <c r="AA350" s="39"/>
      <c r="AB350" s="39"/>
      <c r="AC350" s="39"/>
      <c r="AD350" s="39"/>
      <c r="AE350" s="39"/>
      <c r="AF350" s="39"/>
      <c r="AG350" s="39"/>
      <c r="AH350" s="39"/>
    </row>
    <row r="351" spans="1:34" s="38" customFormat="1" x14ac:dyDescent="0.25">
      <c r="A351" s="52"/>
      <c r="B351" s="58"/>
      <c r="C351" s="58"/>
      <c r="D351" s="59"/>
      <c r="E351" s="39"/>
      <c r="F351" s="39"/>
      <c r="H351" s="39"/>
      <c r="I351" s="39"/>
      <c r="J351" s="39"/>
      <c r="K351" s="39"/>
      <c r="L351" s="39"/>
      <c r="M351" s="39"/>
      <c r="N351" s="39"/>
      <c r="O351" s="39"/>
      <c r="P351" s="39"/>
      <c r="Q351" s="39"/>
      <c r="R351" s="39"/>
      <c r="S351" s="39"/>
      <c r="T351" s="39"/>
      <c r="U351" s="39"/>
      <c r="V351" s="39"/>
      <c r="W351" s="39"/>
      <c r="X351" s="39"/>
      <c r="Y351" s="39"/>
      <c r="Z351" s="39"/>
      <c r="AA351" s="39"/>
      <c r="AB351" s="39"/>
      <c r="AC351" s="39"/>
      <c r="AD351" s="39"/>
      <c r="AE351" s="39"/>
      <c r="AF351" s="39"/>
      <c r="AG351" s="39"/>
      <c r="AH351" s="39"/>
    </row>
    <row r="352" spans="1:34" s="38" customFormat="1" x14ac:dyDescent="0.25">
      <c r="A352" s="52"/>
      <c r="B352" s="58"/>
      <c r="C352" s="58"/>
      <c r="D352" s="59"/>
      <c r="E352" s="39"/>
      <c r="F352" s="39"/>
      <c r="H352" s="39"/>
      <c r="I352" s="39"/>
      <c r="J352" s="39"/>
      <c r="K352" s="39"/>
      <c r="L352" s="39"/>
      <c r="M352" s="39"/>
      <c r="N352" s="39"/>
      <c r="O352" s="39"/>
      <c r="P352" s="39"/>
      <c r="Q352" s="39"/>
      <c r="R352" s="39"/>
      <c r="S352" s="39"/>
      <c r="T352" s="39"/>
      <c r="U352" s="39"/>
      <c r="V352" s="39"/>
      <c r="W352" s="39"/>
      <c r="X352" s="39"/>
      <c r="Y352" s="39"/>
      <c r="Z352" s="39"/>
      <c r="AA352" s="39"/>
      <c r="AB352" s="39"/>
      <c r="AC352" s="39"/>
      <c r="AD352" s="39"/>
      <c r="AE352" s="39"/>
      <c r="AF352" s="39"/>
      <c r="AG352" s="39"/>
      <c r="AH352" s="39"/>
    </row>
    <row r="353" spans="1:34" s="38" customFormat="1" x14ac:dyDescent="0.25">
      <c r="A353" s="52"/>
      <c r="B353" s="58"/>
      <c r="C353" s="58"/>
      <c r="D353" s="59"/>
      <c r="E353" s="39"/>
      <c r="F353" s="39"/>
      <c r="H353" s="39"/>
      <c r="I353" s="39"/>
      <c r="J353" s="39"/>
      <c r="K353" s="39"/>
      <c r="L353" s="39"/>
      <c r="M353" s="39"/>
      <c r="N353" s="39"/>
      <c r="O353" s="39"/>
      <c r="P353" s="39"/>
      <c r="Q353" s="39"/>
      <c r="R353" s="39"/>
      <c r="S353" s="39"/>
      <c r="T353" s="39"/>
      <c r="U353" s="39"/>
      <c r="V353" s="39"/>
      <c r="W353" s="39"/>
      <c r="X353" s="39"/>
      <c r="Y353" s="39"/>
      <c r="Z353" s="39"/>
      <c r="AA353" s="39"/>
      <c r="AB353" s="39"/>
      <c r="AC353" s="39"/>
      <c r="AD353" s="39"/>
      <c r="AE353" s="39"/>
      <c r="AF353" s="39"/>
      <c r="AG353" s="39"/>
      <c r="AH353" s="39"/>
    </row>
    <row r="354" spans="1:34" s="38" customFormat="1" x14ac:dyDescent="0.25">
      <c r="A354" s="52"/>
      <c r="B354" s="58"/>
      <c r="C354" s="58"/>
      <c r="D354" s="59"/>
      <c r="E354" s="39"/>
      <c r="F354" s="39"/>
      <c r="H354" s="39"/>
      <c r="I354" s="39"/>
      <c r="J354" s="39"/>
      <c r="K354" s="39"/>
      <c r="L354" s="39"/>
      <c r="M354" s="39"/>
      <c r="N354" s="39"/>
      <c r="O354" s="39"/>
      <c r="P354" s="39"/>
      <c r="Q354" s="39"/>
      <c r="R354" s="39"/>
      <c r="S354" s="39"/>
      <c r="T354" s="39"/>
      <c r="U354" s="39"/>
      <c r="V354" s="39"/>
      <c r="W354" s="39"/>
      <c r="X354" s="39"/>
      <c r="Y354" s="39"/>
      <c r="Z354" s="39"/>
      <c r="AA354" s="39"/>
      <c r="AB354" s="39"/>
      <c r="AC354" s="39"/>
      <c r="AD354" s="39"/>
      <c r="AE354" s="39"/>
      <c r="AF354" s="39"/>
      <c r="AG354" s="39"/>
      <c r="AH354" s="39"/>
    </row>
    <row r="355" spans="1:34" s="38" customFormat="1" x14ac:dyDescent="0.25">
      <c r="A355" s="52"/>
      <c r="B355" s="58"/>
      <c r="C355" s="58"/>
      <c r="D355" s="59"/>
      <c r="E355" s="39"/>
      <c r="F355" s="39"/>
      <c r="H355" s="39"/>
      <c r="I355" s="39"/>
      <c r="J355" s="39"/>
      <c r="K355" s="39"/>
      <c r="L355" s="39"/>
      <c r="M355" s="39"/>
      <c r="N355" s="39"/>
      <c r="O355" s="39"/>
      <c r="P355" s="39"/>
      <c r="Q355" s="39"/>
      <c r="R355" s="39"/>
      <c r="S355" s="39"/>
      <c r="T355" s="39"/>
      <c r="U355" s="39"/>
      <c r="V355" s="39"/>
      <c r="W355" s="39"/>
      <c r="X355" s="39"/>
      <c r="Y355" s="39"/>
      <c r="Z355" s="39"/>
      <c r="AA355" s="39"/>
      <c r="AB355" s="39"/>
      <c r="AC355" s="39"/>
      <c r="AD355" s="39"/>
      <c r="AE355" s="39"/>
      <c r="AF355" s="39"/>
      <c r="AG355" s="39"/>
      <c r="AH355" s="39"/>
    </row>
    <row r="356" spans="1:34" s="38" customFormat="1" x14ac:dyDescent="0.25">
      <c r="A356" s="52"/>
      <c r="B356" s="58"/>
      <c r="C356" s="58"/>
      <c r="D356" s="59"/>
      <c r="E356" s="39"/>
      <c r="F356" s="39"/>
      <c r="H356" s="39"/>
      <c r="I356" s="39"/>
      <c r="J356" s="39"/>
      <c r="K356" s="39"/>
      <c r="L356" s="39"/>
      <c r="M356" s="39"/>
      <c r="N356" s="39"/>
      <c r="O356" s="39"/>
      <c r="P356" s="39"/>
      <c r="Q356" s="39"/>
      <c r="R356" s="39"/>
      <c r="S356" s="39"/>
      <c r="T356" s="39"/>
      <c r="U356" s="39"/>
      <c r="V356" s="39"/>
      <c r="W356" s="39"/>
      <c r="X356" s="39"/>
      <c r="Y356" s="39"/>
      <c r="Z356" s="39"/>
      <c r="AA356" s="39"/>
      <c r="AB356" s="39"/>
      <c r="AC356" s="39"/>
      <c r="AD356" s="39"/>
      <c r="AE356" s="39"/>
      <c r="AF356" s="39"/>
      <c r="AG356" s="39"/>
      <c r="AH356" s="39"/>
    </row>
    <row r="357" spans="1:34" s="38" customFormat="1" x14ac:dyDescent="0.25">
      <c r="A357" s="52"/>
      <c r="B357" s="58"/>
      <c r="C357" s="58"/>
      <c r="D357" s="59"/>
      <c r="E357" s="39"/>
      <c r="F357" s="39"/>
      <c r="H357" s="39"/>
      <c r="I357" s="39"/>
      <c r="J357" s="39"/>
      <c r="K357" s="39"/>
      <c r="L357" s="39"/>
      <c r="M357" s="39"/>
      <c r="N357" s="39"/>
      <c r="O357" s="39"/>
      <c r="P357" s="39"/>
      <c r="Q357" s="39"/>
      <c r="R357" s="39"/>
      <c r="S357" s="39"/>
      <c r="T357" s="39"/>
      <c r="U357" s="39"/>
      <c r="V357" s="39"/>
      <c r="W357" s="39"/>
      <c r="X357" s="39"/>
      <c r="Y357" s="39"/>
      <c r="Z357" s="39"/>
      <c r="AA357" s="39"/>
      <c r="AB357" s="39"/>
      <c r="AC357" s="39"/>
      <c r="AD357" s="39"/>
      <c r="AE357" s="39"/>
      <c r="AF357" s="39"/>
      <c r="AG357" s="39"/>
      <c r="AH357" s="39"/>
    </row>
    <row r="358" spans="1:34" s="38" customFormat="1" x14ac:dyDescent="0.25">
      <c r="A358" s="52"/>
      <c r="B358" s="58"/>
      <c r="C358" s="58"/>
      <c r="D358" s="59"/>
      <c r="E358" s="39"/>
      <c r="F358" s="39"/>
      <c r="H358" s="39"/>
      <c r="I358" s="39"/>
      <c r="J358" s="39"/>
      <c r="K358" s="39"/>
      <c r="L358" s="39"/>
      <c r="M358" s="39"/>
      <c r="N358" s="39"/>
      <c r="O358" s="39"/>
      <c r="P358" s="39"/>
      <c r="Q358" s="39"/>
      <c r="R358" s="39"/>
      <c r="S358" s="39"/>
      <c r="T358" s="39"/>
      <c r="U358" s="39"/>
      <c r="V358" s="39"/>
      <c r="W358" s="39"/>
      <c r="X358" s="39"/>
      <c r="Y358" s="39"/>
      <c r="Z358" s="39"/>
      <c r="AA358" s="39"/>
      <c r="AB358" s="39"/>
      <c r="AC358" s="39"/>
      <c r="AD358" s="39"/>
      <c r="AE358" s="39"/>
      <c r="AF358" s="39"/>
      <c r="AG358" s="39"/>
      <c r="AH358" s="39"/>
    </row>
    <row r="359" spans="1:34" s="38" customFormat="1" x14ac:dyDescent="0.25">
      <c r="A359" s="52"/>
      <c r="B359" s="58"/>
      <c r="C359" s="58"/>
      <c r="D359" s="59"/>
      <c r="E359" s="39"/>
      <c r="F359" s="39"/>
      <c r="H359" s="39"/>
      <c r="I359" s="39"/>
      <c r="J359" s="39"/>
      <c r="K359" s="39"/>
      <c r="L359" s="39"/>
      <c r="M359" s="39"/>
      <c r="N359" s="39"/>
      <c r="O359" s="39"/>
      <c r="P359" s="39"/>
      <c r="Q359" s="39"/>
      <c r="R359" s="39"/>
      <c r="S359" s="39"/>
      <c r="T359" s="39"/>
      <c r="U359" s="39"/>
      <c r="V359" s="39"/>
      <c r="W359" s="39"/>
      <c r="X359" s="39"/>
      <c r="Y359" s="39"/>
      <c r="Z359" s="39"/>
      <c r="AA359" s="39"/>
      <c r="AB359" s="39"/>
      <c r="AC359" s="39"/>
      <c r="AD359" s="39"/>
      <c r="AE359" s="39"/>
      <c r="AF359" s="39"/>
      <c r="AG359" s="39"/>
      <c r="AH359" s="39"/>
    </row>
    <row r="360" spans="1:34" s="38" customFormat="1" x14ac:dyDescent="0.25">
      <c r="A360" s="52"/>
      <c r="B360" s="58"/>
      <c r="C360" s="58"/>
      <c r="D360" s="59"/>
      <c r="E360" s="59"/>
      <c r="F360" s="59"/>
      <c r="H360" s="39"/>
      <c r="I360" s="39"/>
      <c r="J360" s="39"/>
      <c r="K360" s="39"/>
      <c r="L360" s="39"/>
      <c r="M360" s="39"/>
      <c r="N360" s="39"/>
      <c r="O360" s="39"/>
      <c r="P360" s="39"/>
      <c r="Q360" s="39"/>
      <c r="R360" s="39"/>
      <c r="S360" s="39"/>
      <c r="T360" s="39"/>
      <c r="U360" s="39"/>
      <c r="V360" s="39"/>
      <c r="W360" s="39"/>
      <c r="X360" s="39"/>
      <c r="Y360" s="39"/>
      <c r="Z360" s="39"/>
      <c r="AA360" s="39"/>
      <c r="AB360" s="39"/>
      <c r="AC360" s="39"/>
      <c r="AD360" s="39"/>
      <c r="AE360" s="39"/>
      <c r="AF360" s="39"/>
      <c r="AG360" s="39"/>
      <c r="AH360" s="39"/>
    </row>
    <row r="361" spans="1:34" s="38" customFormat="1" x14ac:dyDescent="0.25">
      <c r="A361" s="52"/>
      <c r="B361" s="58"/>
      <c r="C361" s="58"/>
      <c r="D361" s="59"/>
      <c r="E361" s="59"/>
      <c r="F361" s="59"/>
      <c r="H361" s="39"/>
      <c r="I361" s="39"/>
      <c r="J361" s="39"/>
      <c r="K361" s="39"/>
      <c r="L361" s="39"/>
      <c r="M361" s="39"/>
      <c r="N361" s="39"/>
      <c r="O361" s="39"/>
      <c r="P361" s="39"/>
      <c r="Q361" s="39"/>
      <c r="R361" s="39"/>
      <c r="S361" s="39"/>
      <c r="T361" s="39"/>
      <c r="U361" s="39"/>
      <c r="V361" s="39"/>
      <c r="W361" s="39"/>
      <c r="X361" s="39"/>
      <c r="Y361" s="39"/>
      <c r="Z361" s="39"/>
      <c r="AA361" s="39"/>
      <c r="AB361" s="39"/>
      <c r="AC361" s="39"/>
      <c r="AD361" s="39"/>
      <c r="AE361" s="39"/>
      <c r="AF361" s="39"/>
      <c r="AG361" s="39"/>
      <c r="AH361" s="39"/>
    </row>
    <row r="362" spans="1:34" s="38" customFormat="1" x14ac:dyDescent="0.25">
      <c r="A362" s="52"/>
      <c r="B362" s="58"/>
      <c r="C362" s="58"/>
      <c r="D362" s="59"/>
      <c r="E362" s="59"/>
      <c r="F362" s="59"/>
      <c r="H362" s="39"/>
      <c r="I362" s="39"/>
      <c r="J362" s="39"/>
      <c r="K362" s="39"/>
      <c r="L362" s="39"/>
      <c r="M362" s="39"/>
      <c r="N362" s="39"/>
      <c r="O362" s="39"/>
      <c r="P362" s="39"/>
      <c r="Q362" s="39"/>
      <c r="R362" s="39"/>
      <c r="S362" s="39"/>
      <c r="T362" s="39"/>
      <c r="U362" s="39"/>
      <c r="V362" s="39"/>
      <c r="W362" s="39"/>
      <c r="X362" s="39"/>
      <c r="Y362" s="39"/>
      <c r="Z362" s="39"/>
      <c r="AA362" s="39"/>
      <c r="AB362" s="39"/>
      <c r="AC362" s="39"/>
      <c r="AD362" s="39"/>
      <c r="AE362" s="39"/>
      <c r="AF362" s="39"/>
      <c r="AG362" s="39"/>
      <c r="AH362" s="39"/>
    </row>
    <row r="363" spans="1:34" s="38" customFormat="1" x14ac:dyDescent="0.25">
      <c r="A363" s="52"/>
      <c r="B363" s="58"/>
      <c r="C363" s="58"/>
      <c r="D363" s="59"/>
      <c r="E363" s="59"/>
      <c r="F363" s="59"/>
      <c r="H363" s="39"/>
      <c r="I363" s="39"/>
      <c r="J363" s="39"/>
      <c r="K363" s="39"/>
      <c r="L363" s="39"/>
      <c r="M363" s="39"/>
      <c r="N363" s="39"/>
      <c r="O363" s="39"/>
      <c r="P363" s="39"/>
      <c r="Q363" s="39"/>
      <c r="R363" s="39"/>
      <c r="S363" s="39"/>
      <c r="T363" s="39"/>
      <c r="U363" s="39"/>
      <c r="V363" s="39"/>
      <c r="W363" s="39"/>
      <c r="X363" s="39"/>
      <c r="Y363" s="39"/>
      <c r="Z363" s="39"/>
      <c r="AA363" s="39"/>
      <c r="AB363" s="39"/>
      <c r="AC363" s="39"/>
      <c r="AD363" s="39"/>
      <c r="AE363" s="39"/>
      <c r="AF363" s="39"/>
      <c r="AG363" s="39"/>
      <c r="AH363" s="39"/>
    </row>
    <row r="364" spans="1:34" s="38" customFormat="1" x14ac:dyDescent="0.25">
      <c r="A364" s="52"/>
      <c r="B364" s="58"/>
      <c r="C364" s="58"/>
      <c r="D364" s="59"/>
      <c r="E364" s="59"/>
      <c r="F364" s="59"/>
      <c r="H364" s="39"/>
      <c r="I364" s="39"/>
      <c r="J364" s="39"/>
      <c r="K364" s="39"/>
      <c r="L364" s="39"/>
      <c r="M364" s="39"/>
      <c r="N364" s="39"/>
      <c r="O364" s="39"/>
      <c r="P364" s="39"/>
      <c r="Q364" s="39"/>
      <c r="R364" s="39"/>
      <c r="S364" s="39"/>
      <c r="T364" s="39"/>
      <c r="U364" s="39"/>
      <c r="V364" s="39"/>
      <c r="W364" s="39"/>
      <c r="X364" s="39"/>
      <c r="Y364" s="39"/>
      <c r="Z364" s="39"/>
      <c r="AA364" s="39"/>
      <c r="AB364" s="39"/>
      <c r="AC364" s="39"/>
      <c r="AD364" s="39"/>
      <c r="AE364" s="39"/>
      <c r="AF364" s="39"/>
      <c r="AG364" s="39"/>
      <c r="AH364" s="39"/>
    </row>
    <row r="365" spans="1:34" s="38" customFormat="1" x14ac:dyDescent="0.25">
      <c r="A365" s="52"/>
      <c r="B365" s="58"/>
      <c r="C365" s="58"/>
      <c r="D365" s="59"/>
      <c r="E365" s="59"/>
      <c r="F365" s="59"/>
      <c r="H365" s="39"/>
      <c r="I365" s="39"/>
      <c r="J365" s="39"/>
      <c r="K365" s="39"/>
      <c r="L365" s="39"/>
      <c r="M365" s="39"/>
      <c r="N365" s="39"/>
      <c r="O365" s="39"/>
      <c r="P365" s="39"/>
      <c r="Q365" s="39"/>
      <c r="R365" s="39"/>
      <c r="S365" s="39"/>
      <c r="T365" s="39"/>
      <c r="U365" s="39"/>
      <c r="V365" s="39"/>
      <c r="W365" s="39"/>
      <c r="X365" s="39"/>
      <c r="Y365" s="39"/>
      <c r="Z365" s="39"/>
      <c r="AA365" s="39"/>
      <c r="AB365" s="39"/>
      <c r="AC365" s="39"/>
      <c r="AD365" s="39"/>
      <c r="AE365" s="39"/>
      <c r="AF365" s="39"/>
      <c r="AG365" s="39"/>
      <c r="AH365" s="39"/>
    </row>
    <row r="366" spans="1:34" s="38" customFormat="1" x14ac:dyDescent="0.25">
      <c r="A366" s="52"/>
      <c r="B366" s="58"/>
      <c r="C366" s="58"/>
      <c r="D366" s="59"/>
      <c r="E366" s="59"/>
      <c r="F366" s="59"/>
      <c r="H366" s="39"/>
      <c r="I366" s="39"/>
      <c r="J366" s="39"/>
      <c r="K366" s="39"/>
      <c r="L366" s="39"/>
      <c r="M366" s="39"/>
      <c r="N366" s="39"/>
      <c r="O366" s="39"/>
      <c r="P366" s="39"/>
      <c r="Q366" s="39"/>
      <c r="R366" s="39"/>
      <c r="S366" s="39"/>
      <c r="T366" s="39"/>
      <c r="U366" s="39"/>
      <c r="V366" s="39"/>
      <c r="W366" s="39"/>
      <c r="X366" s="39"/>
      <c r="Y366" s="39"/>
      <c r="Z366" s="39"/>
      <c r="AA366" s="39"/>
      <c r="AB366" s="39"/>
      <c r="AC366" s="39"/>
      <c r="AD366" s="39"/>
      <c r="AE366" s="39"/>
      <c r="AF366" s="39"/>
      <c r="AG366" s="39"/>
      <c r="AH366" s="39"/>
    </row>
    <row r="367" spans="1:34" s="38" customFormat="1" x14ac:dyDescent="0.25">
      <c r="A367" s="52"/>
      <c r="B367" s="58"/>
      <c r="C367" s="58"/>
      <c r="D367" s="59"/>
      <c r="E367" s="59"/>
      <c r="F367" s="59"/>
      <c r="H367" s="39"/>
      <c r="I367" s="39"/>
      <c r="J367" s="39"/>
      <c r="K367" s="39"/>
      <c r="L367" s="39"/>
      <c r="M367" s="39"/>
      <c r="N367" s="39"/>
      <c r="O367" s="39"/>
      <c r="P367" s="39"/>
      <c r="Q367" s="39"/>
      <c r="R367" s="39"/>
      <c r="S367" s="39"/>
      <c r="T367" s="39"/>
      <c r="U367" s="39"/>
      <c r="V367" s="39"/>
      <c r="W367" s="39"/>
      <c r="X367" s="39"/>
      <c r="Y367" s="39"/>
      <c r="Z367" s="39"/>
      <c r="AA367" s="39"/>
      <c r="AB367" s="39"/>
      <c r="AC367" s="39"/>
      <c r="AD367" s="39"/>
      <c r="AE367" s="39"/>
      <c r="AF367" s="39"/>
      <c r="AG367" s="39"/>
      <c r="AH367" s="39"/>
    </row>
    <row r="368" spans="1:34" s="38" customFormat="1" x14ac:dyDescent="0.25">
      <c r="A368" s="52"/>
      <c r="B368" s="58"/>
      <c r="C368" s="58"/>
      <c r="D368" s="59"/>
      <c r="E368" s="59"/>
      <c r="F368" s="59"/>
      <c r="H368" s="39"/>
      <c r="I368" s="39"/>
      <c r="J368" s="39"/>
      <c r="K368" s="39"/>
      <c r="L368" s="39"/>
      <c r="M368" s="39"/>
      <c r="N368" s="39"/>
      <c r="O368" s="39"/>
      <c r="P368" s="39"/>
      <c r="Q368" s="39"/>
      <c r="R368" s="39"/>
      <c r="S368" s="39"/>
      <c r="T368" s="39"/>
      <c r="U368" s="39"/>
      <c r="V368" s="39"/>
      <c r="W368" s="39"/>
      <c r="X368" s="39"/>
      <c r="Y368" s="39"/>
      <c r="Z368" s="39"/>
      <c r="AA368" s="39"/>
      <c r="AB368" s="39"/>
      <c r="AC368" s="39"/>
      <c r="AD368" s="39"/>
      <c r="AE368" s="39"/>
      <c r="AF368" s="39"/>
      <c r="AG368" s="39"/>
      <c r="AH368" s="39"/>
    </row>
    <row r="369" spans="1:34" s="38" customFormat="1" x14ac:dyDescent="0.25">
      <c r="A369" s="52"/>
      <c r="B369" s="58"/>
      <c r="C369" s="58"/>
      <c r="D369" s="59"/>
      <c r="E369" s="59"/>
      <c r="F369" s="59"/>
      <c r="H369" s="39"/>
      <c r="I369" s="39"/>
      <c r="J369" s="39"/>
      <c r="K369" s="39"/>
      <c r="L369" s="39"/>
      <c r="M369" s="39"/>
      <c r="N369" s="39"/>
      <c r="O369" s="39"/>
      <c r="P369" s="39"/>
      <c r="Q369" s="39"/>
      <c r="R369" s="39"/>
      <c r="S369" s="39"/>
      <c r="T369" s="39"/>
      <c r="U369" s="39"/>
      <c r="V369" s="39"/>
      <c r="W369" s="39"/>
      <c r="X369" s="39"/>
      <c r="Y369" s="39"/>
      <c r="Z369" s="39"/>
      <c r="AA369" s="39"/>
      <c r="AB369" s="39"/>
      <c r="AC369" s="39"/>
      <c r="AD369" s="39"/>
      <c r="AE369" s="39"/>
      <c r="AF369" s="39"/>
      <c r="AG369" s="39"/>
      <c r="AH369" s="39"/>
    </row>
    <row r="370" spans="1:34" s="38" customFormat="1" x14ac:dyDescent="0.25">
      <c r="A370" s="39"/>
      <c r="B370" s="58"/>
      <c r="C370" s="58"/>
      <c r="D370" s="59"/>
      <c r="E370" s="39"/>
      <c r="F370" s="39"/>
      <c r="H370" s="39"/>
      <c r="I370" s="39"/>
      <c r="J370" s="39"/>
      <c r="K370" s="39"/>
      <c r="L370" s="39"/>
      <c r="M370" s="39"/>
      <c r="N370" s="39"/>
      <c r="O370" s="39"/>
      <c r="P370" s="39"/>
      <c r="Q370" s="39"/>
      <c r="R370" s="39"/>
      <c r="S370" s="39"/>
      <c r="T370" s="39"/>
      <c r="U370" s="39"/>
      <c r="V370" s="39"/>
      <c r="W370" s="39"/>
      <c r="X370" s="39"/>
      <c r="Y370" s="39"/>
      <c r="Z370" s="39"/>
      <c r="AA370" s="39"/>
      <c r="AB370" s="39"/>
      <c r="AC370" s="39"/>
      <c r="AD370" s="39"/>
      <c r="AE370" s="39"/>
      <c r="AF370" s="39"/>
      <c r="AG370" s="39"/>
      <c r="AH370" s="39"/>
    </row>
    <row r="371" spans="1:34" s="38" customFormat="1" x14ac:dyDescent="0.25">
      <c r="A371" s="39"/>
      <c r="B371" s="58"/>
      <c r="C371" s="58"/>
      <c r="D371" s="59"/>
      <c r="E371" s="39"/>
      <c r="F371" s="39"/>
      <c r="H371" s="39"/>
      <c r="I371" s="39"/>
      <c r="J371" s="39"/>
      <c r="K371" s="39"/>
      <c r="L371" s="39"/>
      <c r="M371" s="39"/>
      <c r="N371" s="39"/>
      <c r="O371" s="39"/>
      <c r="P371" s="39"/>
      <c r="Q371" s="39"/>
      <c r="R371" s="39"/>
      <c r="S371" s="39"/>
      <c r="T371" s="39"/>
      <c r="U371" s="39"/>
      <c r="V371" s="39"/>
      <c r="W371" s="39"/>
      <c r="X371" s="39"/>
      <c r="Y371" s="39"/>
      <c r="Z371" s="39"/>
      <c r="AA371" s="39"/>
      <c r="AB371" s="39"/>
      <c r="AC371" s="39"/>
      <c r="AD371" s="39"/>
      <c r="AE371" s="39"/>
      <c r="AF371" s="39"/>
      <c r="AG371" s="39"/>
      <c r="AH371" s="39"/>
    </row>
    <row r="372" spans="1:34" s="38" customFormat="1" x14ac:dyDescent="0.25">
      <c r="A372" s="39"/>
      <c r="B372" s="58"/>
      <c r="C372" s="58"/>
      <c r="D372" s="59"/>
      <c r="E372" s="39"/>
      <c r="F372" s="39"/>
      <c r="H372" s="39"/>
      <c r="I372" s="39"/>
      <c r="J372" s="39"/>
      <c r="K372" s="39"/>
      <c r="L372" s="39"/>
      <c r="M372" s="39"/>
      <c r="N372" s="39"/>
      <c r="O372" s="39"/>
      <c r="P372" s="39"/>
      <c r="Q372" s="39"/>
      <c r="R372" s="39"/>
      <c r="S372" s="39"/>
      <c r="T372" s="39"/>
      <c r="U372" s="39"/>
      <c r="V372" s="39"/>
      <c r="W372" s="39"/>
      <c r="X372" s="39"/>
      <c r="Y372" s="39"/>
      <c r="Z372" s="39"/>
      <c r="AA372" s="39"/>
      <c r="AB372" s="39"/>
      <c r="AC372" s="39"/>
      <c r="AD372" s="39"/>
      <c r="AE372" s="39"/>
      <c r="AF372" s="39"/>
      <c r="AG372" s="39"/>
      <c r="AH372" s="39"/>
    </row>
    <row r="373" spans="1:34" s="38" customFormat="1" x14ac:dyDescent="0.25">
      <c r="A373" s="39"/>
      <c r="B373" s="58"/>
      <c r="C373" s="58"/>
      <c r="D373" s="59"/>
      <c r="E373" s="39"/>
      <c r="F373" s="39"/>
      <c r="H373" s="39"/>
      <c r="I373" s="39"/>
      <c r="J373" s="39"/>
      <c r="K373" s="39"/>
      <c r="L373" s="39"/>
      <c r="M373" s="39"/>
      <c r="N373" s="39"/>
      <c r="O373" s="39"/>
      <c r="P373" s="39"/>
      <c r="Q373" s="39"/>
      <c r="R373" s="39"/>
      <c r="S373" s="39"/>
      <c r="T373" s="39"/>
      <c r="U373" s="39"/>
      <c r="V373" s="39"/>
      <c r="W373" s="39"/>
      <c r="X373" s="39"/>
      <c r="Y373" s="39"/>
      <c r="Z373" s="39"/>
      <c r="AA373" s="39"/>
      <c r="AB373" s="39"/>
      <c r="AC373" s="39"/>
      <c r="AD373" s="39"/>
      <c r="AE373" s="39"/>
      <c r="AF373" s="39"/>
      <c r="AG373" s="39"/>
      <c r="AH373" s="39"/>
    </row>
    <row r="374" spans="1:34" s="38" customFormat="1" x14ac:dyDescent="0.25">
      <c r="A374" s="39"/>
      <c r="B374" s="58"/>
      <c r="C374" s="58"/>
      <c r="D374" s="59"/>
      <c r="E374" s="39"/>
      <c r="F374" s="39"/>
      <c r="H374" s="39"/>
      <c r="I374" s="39"/>
      <c r="J374" s="39"/>
      <c r="K374" s="39"/>
      <c r="L374" s="39"/>
      <c r="M374" s="39"/>
      <c r="N374" s="39"/>
      <c r="O374" s="39"/>
      <c r="P374" s="39"/>
      <c r="Q374" s="39"/>
      <c r="R374" s="39"/>
      <c r="S374" s="39"/>
      <c r="T374" s="39"/>
      <c r="U374" s="39"/>
      <c r="V374" s="39"/>
      <c r="W374" s="39"/>
      <c r="X374" s="39"/>
      <c r="Y374" s="39"/>
      <c r="Z374" s="39"/>
      <c r="AA374" s="39"/>
      <c r="AB374" s="39"/>
      <c r="AC374" s="39"/>
      <c r="AD374" s="39"/>
      <c r="AE374" s="39"/>
      <c r="AF374" s="39"/>
      <c r="AG374" s="39"/>
      <c r="AH374" s="39"/>
    </row>
    <row r="375" spans="1:34" s="38" customFormat="1" x14ac:dyDescent="0.25">
      <c r="A375" s="39"/>
      <c r="B375" s="58"/>
      <c r="C375" s="58"/>
      <c r="D375" s="59"/>
      <c r="E375" s="39"/>
      <c r="F375" s="39"/>
      <c r="H375" s="39"/>
      <c r="I375" s="39"/>
      <c r="J375" s="39"/>
      <c r="K375" s="39"/>
      <c r="L375" s="39"/>
      <c r="M375" s="39"/>
      <c r="N375" s="39"/>
      <c r="O375" s="39"/>
      <c r="P375" s="39"/>
      <c r="Q375" s="39"/>
      <c r="R375" s="39"/>
      <c r="S375" s="39"/>
      <c r="T375" s="39"/>
      <c r="U375" s="39"/>
      <c r="V375" s="39"/>
      <c r="W375" s="39"/>
      <c r="X375" s="39"/>
      <c r="Y375" s="39"/>
      <c r="Z375" s="39"/>
      <c r="AA375" s="39"/>
      <c r="AB375" s="39"/>
      <c r="AC375" s="39"/>
      <c r="AD375" s="39"/>
      <c r="AE375" s="39"/>
      <c r="AF375" s="39"/>
      <c r="AG375" s="39"/>
      <c r="AH375" s="39"/>
    </row>
    <row r="376" spans="1:34" s="38" customFormat="1" x14ac:dyDescent="0.25">
      <c r="A376" s="39"/>
      <c r="B376" s="58"/>
      <c r="C376" s="58"/>
      <c r="D376" s="59"/>
      <c r="E376" s="39"/>
      <c r="F376" s="39"/>
      <c r="H376" s="39"/>
      <c r="I376" s="39"/>
      <c r="J376" s="39"/>
      <c r="K376" s="39"/>
      <c r="L376" s="39"/>
      <c r="M376" s="39"/>
      <c r="N376" s="39"/>
      <c r="O376" s="39"/>
      <c r="P376" s="39"/>
      <c r="Q376" s="39"/>
      <c r="R376" s="39"/>
      <c r="S376" s="39"/>
      <c r="T376" s="39"/>
      <c r="U376" s="39"/>
      <c r="V376" s="39"/>
      <c r="W376" s="39"/>
      <c r="X376" s="39"/>
      <c r="Y376" s="39"/>
      <c r="Z376" s="39"/>
      <c r="AA376" s="39"/>
      <c r="AB376" s="39"/>
      <c r="AC376" s="39"/>
      <c r="AD376" s="39"/>
      <c r="AE376" s="39"/>
      <c r="AF376" s="39"/>
      <c r="AG376" s="39"/>
      <c r="AH376" s="39"/>
    </row>
    <row r="377" spans="1:34" s="38" customFormat="1" x14ac:dyDescent="0.25">
      <c r="A377" s="39"/>
      <c r="B377" s="58"/>
      <c r="C377" s="58"/>
      <c r="D377" s="59"/>
      <c r="E377" s="39"/>
      <c r="F377" s="39"/>
      <c r="H377" s="39"/>
      <c r="I377" s="39"/>
      <c r="J377" s="39"/>
      <c r="K377" s="39"/>
      <c r="L377" s="39"/>
      <c r="M377" s="39"/>
      <c r="N377" s="39"/>
      <c r="O377" s="39"/>
      <c r="P377" s="39"/>
      <c r="Q377" s="39"/>
      <c r="R377" s="39"/>
      <c r="S377" s="39"/>
      <c r="T377" s="39"/>
      <c r="U377" s="39"/>
      <c r="V377" s="39"/>
      <c r="W377" s="39"/>
      <c r="X377" s="39"/>
      <c r="Y377" s="39"/>
      <c r="Z377" s="39"/>
      <c r="AA377" s="39"/>
      <c r="AB377" s="39"/>
      <c r="AC377" s="39"/>
      <c r="AD377" s="39"/>
      <c r="AE377" s="39"/>
      <c r="AF377" s="39"/>
      <c r="AG377" s="39"/>
      <c r="AH377" s="39"/>
    </row>
    <row r="378" spans="1:34" s="38" customFormat="1" x14ac:dyDescent="0.25">
      <c r="A378" s="39"/>
      <c r="B378" s="58"/>
      <c r="C378" s="58"/>
      <c r="D378" s="59"/>
      <c r="E378" s="39"/>
      <c r="F378" s="39"/>
      <c r="H378" s="39"/>
      <c r="I378" s="39"/>
      <c r="J378" s="39"/>
      <c r="K378" s="39"/>
      <c r="L378" s="39"/>
      <c r="M378" s="39"/>
      <c r="N378" s="39"/>
      <c r="O378" s="39"/>
      <c r="P378" s="39"/>
      <c r="Q378" s="39"/>
      <c r="R378" s="39"/>
      <c r="S378" s="39"/>
      <c r="T378" s="39"/>
      <c r="U378" s="39"/>
      <c r="V378" s="39"/>
      <c r="W378" s="39"/>
      <c r="X378" s="39"/>
      <c r="Y378" s="39"/>
      <c r="Z378" s="39"/>
      <c r="AA378" s="39"/>
      <c r="AB378" s="39"/>
      <c r="AC378" s="39"/>
      <c r="AD378" s="39"/>
      <c r="AE378" s="39"/>
      <c r="AF378" s="39"/>
      <c r="AG378" s="39"/>
      <c r="AH378" s="39"/>
    </row>
    <row r="379" spans="1:34" s="38" customFormat="1" x14ac:dyDescent="0.25">
      <c r="A379" s="39"/>
      <c r="B379" s="58"/>
      <c r="C379" s="58"/>
      <c r="D379" s="59"/>
      <c r="E379" s="39"/>
      <c r="F379" s="39"/>
      <c r="H379" s="39"/>
      <c r="I379" s="39"/>
      <c r="J379" s="39"/>
      <c r="K379" s="39"/>
      <c r="L379" s="39"/>
      <c r="M379" s="39"/>
      <c r="N379" s="39"/>
      <c r="O379" s="39"/>
      <c r="P379" s="39"/>
      <c r="Q379" s="39"/>
      <c r="R379" s="39"/>
      <c r="S379" s="39"/>
      <c r="T379" s="39"/>
      <c r="U379" s="39"/>
      <c r="V379" s="39"/>
      <c r="W379" s="39"/>
      <c r="X379" s="39"/>
      <c r="Y379" s="39"/>
      <c r="Z379" s="39"/>
      <c r="AA379" s="39"/>
      <c r="AB379" s="39"/>
      <c r="AC379" s="39"/>
      <c r="AD379" s="39"/>
      <c r="AE379" s="39"/>
      <c r="AF379" s="39"/>
      <c r="AG379" s="39"/>
      <c r="AH379" s="39"/>
    </row>
    <row r="380" spans="1:34" s="38" customFormat="1" x14ac:dyDescent="0.25">
      <c r="A380" s="39"/>
      <c r="B380" s="58"/>
      <c r="C380" s="58"/>
      <c r="D380" s="59"/>
      <c r="E380" s="39"/>
      <c r="F380" s="39"/>
      <c r="H380" s="39"/>
      <c r="I380" s="39"/>
      <c r="J380" s="39"/>
      <c r="K380" s="39"/>
      <c r="L380" s="39"/>
      <c r="M380" s="39"/>
      <c r="N380" s="39"/>
      <c r="O380" s="39"/>
      <c r="P380" s="39"/>
      <c r="Q380" s="39"/>
      <c r="R380" s="39"/>
      <c r="S380" s="39"/>
      <c r="T380" s="39"/>
      <c r="U380" s="39"/>
      <c r="V380" s="39"/>
      <c r="W380" s="39"/>
      <c r="X380" s="39"/>
      <c r="Y380" s="39"/>
      <c r="Z380" s="39"/>
      <c r="AA380" s="39"/>
      <c r="AB380" s="39"/>
      <c r="AC380" s="39"/>
      <c r="AD380" s="39"/>
      <c r="AE380" s="39"/>
      <c r="AF380" s="39"/>
      <c r="AG380" s="39"/>
      <c r="AH380" s="39"/>
    </row>
    <row r="381" spans="1:34" s="38" customFormat="1" x14ac:dyDescent="0.25">
      <c r="A381" s="39"/>
      <c r="B381" s="58"/>
      <c r="C381" s="58"/>
      <c r="D381" s="59"/>
      <c r="E381" s="39"/>
      <c r="F381" s="39"/>
      <c r="H381" s="39"/>
      <c r="I381" s="39"/>
      <c r="J381" s="39"/>
      <c r="K381" s="39"/>
      <c r="L381" s="39"/>
      <c r="M381" s="39"/>
      <c r="N381" s="39"/>
      <c r="O381" s="39"/>
      <c r="P381" s="39"/>
      <c r="Q381" s="39"/>
      <c r="R381" s="39"/>
      <c r="S381" s="39"/>
      <c r="T381" s="39"/>
      <c r="U381" s="39"/>
      <c r="V381" s="39"/>
      <c r="W381" s="39"/>
      <c r="X381" s="39"/>
      <c r="Y381" s="39"/>
      <c r="Z381" s="39"/>
      <c r="AA381" s="39"/>
      <c r="AB381" s="39"/>
      <c r="AC381" s="39"/>
      <c r="AD381" s="39"/>
      <c r="AE381" s="39"/>
      <c r="AF381" s="39"/>
      <c r="AG381" s="39"/>
      <c r="AH381" s="39"/>
    </row>
    <row r="382" spans="1:34" s="38" customFormat="1" x14ac:dyDescent="0.25">
      <c r="A382" s="39"/>
      <c r="B382" s="58"/>
      <c r="C382" s="58"/>
      <c r="D382" s="59"/>
      <c r="E382" s="39"/>
      <c r="F382" s="39"/>
      <c r="H382" s="39"/>
      <c r="I382" s="39"/>
      <c r="J382" s="39"/>
      <c r="K382" s="39"/>
      <c r="L382" s="39"/>
      <c r="M382" s="39"/>
      <c r="N382" s="39"/>
      <c r="O382" s="39"/>
      <c r="P382" s="39"/>
      <c r="Q382" s="39"/>
      <c r="R382" s="39"/>
      <c r="S382" s="39"/>
      <c r="T382" s="39"/>
      <c r="U382" s="39"/>
      <c r="V382" s="39"/>
      <c r="W382" s="39"/>
      <c r="X382" s="39"/>
      <c r="Y382" s="39"/>
      <c r="Z382" s="39"/>
      <c r="AA382" s="39"/>
      <c r="AB382" s="39"/>
      <c r="AC382" s="39"/>
      <c r="AD382" s="39"/>
      <c r="AE382" s="39"/>
      <c r="AF382" s="39"/>
      <c r="AG382" s="39"/>
      <c r="AH382" s="39"/>
    </row>
    <row r="383" spans="1:34" s="38" customFormat="1" x14ac:dyDescent="0.25">
      <c r="A383" s="39"/>
      <c r="B383" s="58"/>
      <c r="C383" s="58"/>
      <c r="D383" s="59"/>
      <c r="E383" s="39"/>
      <c r="F383" s="39"/>
      <c r="H383" s="39"/>
      <c r="I383" s="39"/>
      <c r="J383" s="39"/>
      <c r="K383" s="39"/>
      <c r="L383" s="39"/>
      <c r="M383" s="39"/>
      <c r="N383" s="39"/>
      <c r="O383" s="39"/>
      <c r="P383" s="39"/>
      <c r="Q383" s="39"/>
      <c r="R383" s="39"/>
      <c r="S383" s="39"/>
      <c r="T383" s="39"/>
      <c r="U383" s="39"/>
      <c r="V383" s="39"/>
      <c r="W383" s="39"/>
      <c r="X383" s="39"/>
      <c r="Y383" s="39"/>
      <c r="Z383" s="39"/>
      <c r="AA383" s="39"/>
      <c r="AB383" s="39"/>
      <c r="AC383" s="39"/>
      <c r="AD383" s="39"/>
      <c r="AE383" s="39"/>
      <c r="AF383" s="39"/>
      <c r="AG383" s="39"/>
      <c r="AH383" s="39"/>
    </row>
    <row r="384" spans="1:34" s="38" customFormat="1" x14ac:dyDescent="0.25">
      <c r="A384" s="39"/>
      <c r="B384" s="58"/>
      <c r="C384" s="58"/>
      <c r="D384" s="59"/>
      <c r="E384" s="39"/>
      <c r="F384" s="39"/>
      <c r="H384" s="39"/>
      <c r="I384" s="39"/>
      <c r="J384" s="39"/>
      <c r="K384" s="39"/>
      <c r="L384" s="39"/>
      <c r="M384" s="39"/>
      <c r="N384" s="39"/>
      <c r="O384" s="39"/>
      <c r="P384" s="39"/>
      <c r="Q384" s="39"/>
      <c r="R384" s="39"/>
      <c r="S384" s="39"/>
      <c r="T384" s="39"/>
      <c r="U384" s="39"/>
      <c r="V384" s="39"/>
      <c r="W384" s="39"/>
      <c r="X384" s="39"/>
      <c r="Y384" s="39"/>
      <c r="Z384" s="39"/>
      <c r="AA384" s="39"/>
      <c r="AB384" s="39"/>
      <c r="AC384" s="39"/>
      <c r="AD384" s="39"/>
      <c r="AE384" s="39"/>
      <c r="AF384" s="39"/>
      <c r="AG384" s="39"/>
      <c r="AH384" s="39"/>
    </row>
    <row r="385" spans="1:34" s="38" customFormat="1" x14ac:dyDescent="0.25">
      <c r="A385" s="39"/>
      <c r="B385" s="58"/>
      <c r="C385" s="58"/>
      <c r="D385" s="59"/>
      <c r="E385" s="59"/>
      <c r="F385" s="59"/>
      <c r="H385" s="39"/>
      <c r="I385" s="39"/>
      <c r="J385" s="39"/>
      <c r="K385" s="39"/>
      <c r="L385" s="39"/>
      <c r="M385" s="39"/>
      <c r="N385" s="39"/>
      <c r="O385" s="39"/>
      <c r="P385" s="39"/>
      <c r="Q385" s="39"/>
      <c r="R385" s="39"/>
      <c r="S385" s="39"/>
      <c r="T385" s="39"/>
      <c r="U385" s="39"/>
      <c r="V385" s="39"/>
      <c r="W385" s="39"/>
      <c r="X385" s="39"/>
      <c r="Y385" s="39"/>
      <c r="Z385" s="39"/>
      <c r="AA385" s="39"/>
      <c r="AB385" s="39"/>
      <c r="AC385" s="39"/>
      <c r="AD385" s="39"/>
      <c r="AE385" s="39"/>
      <c r="AF385" s="39"/>
      <c r="AG385" s="39"/>
      <c r="AH385" s="39"/>
    </row>
    <row r="386" spans="1:34" s="38" customFormat="1" x14ac:dyDescent="0.25">
      <c r="A386" s="39"/>
      <c r="B386" s="58"/>
      <c r="C386" s="58"/>
      <c r="D386" s="59"/>
      <c r="E386" s="59"/>
      <c r="F386" s="59"/>
      <c r="H386" s="39"/>
      <c r="I386" s="39"/>
      <c r="J386" s="39"/>
      <c r="K386" s="39"/>
      <c r="L386" s="39"/>
      <c r="M386" s="39"/>
      <c r="N386" s="39"/>
      <c r="O386" s="39"/>
      <c r="P386" s="39"/>
      <c r="Q386" s="39"/>
      <c r="R386" s="39"/>
      <c r="S386" s="39"/>
      <c r="T386" s="39"/>
      <c r="U386" s="39"/>
      <c r="V386" s="39"/>
      <c r="W386" s="39"/>
      <c r="X386" s="39"/>
      <c r="Y386" s="39"/>
      <c r="Z386" s="39"/>
      <c r="AA386" s="39"/>
      <c r="AB386" s="39"/>
      <c r="AC386" s="39"/>
      <c r="AD386" s="39"/>
      <c r="AE386" s="39"/>
      <c r="AF386" s="39"/>
      <c r="AG386" s="39"/>
      <c r="AH386" s="39"/>
    </row>
    <row r="387" spans="1:34" s="38" customFormat="1" x14ac:dyDescent="0.25">
      <c r="A387" s="39"/>
      <c r="B387" s="58"/>
      <c r="C387" s="58"/>
      <c r="D387" s="59"/>
      <c r="E387" s="59"/>
      <c r="F387" s="59"/>
      <c r="H387" s="39"/>
      <c r="I387" s="39"/>
      <c r="J387" s="39"/>
      <c r="K387" s="39"/>
      <c r="L387" s="39"/>
      <c r="M387" s="39"/>
      <c r="N387" s="39"/>
      <c r="O387" s="39"/>
      <c r="P387" s="39"/>
      <c r="Q387" s="39"/>
      <c r="R387" s="39"/>
      <c r="S387" s="39"/>
      <c r="T387" s="39"/>
      <c r="U387" s="39"/>
      <c r="V387" s="39"/>
      <c r="W387" s="39"/>
      <c r="X387" s="39"/>
      <c r="Y387" s="39"/>
      <c r="Z387" s="39"/>
      <c r="AA387" s="39"/>
      <c r="AB387" s="39"/>
      <c r="AC387" s="39"/>
      <c r="AD387" s="39"/>
      <c r="AE387" s="39"/>
      <c r="AF387" s="39"/>
      <c r="AG387" s="39"/>
      <c r="AH387" s="39"/>
    </row>
    <row r="388" spans="1:34" s="38" customFormat="1" x14ac:dyDescent="0.25">
      <c r="A388" s="39"/>
      <c r="B388" s="58"/>
      <c r="C388" s="58"/>
      <c r="D388" s="59"/>
      <c r="E388" s="59"/>
      <c r="F388" s="59"/>
      <c r="H388" s="39"/>
      <c r="I388" s="39"/>
      <c r="J388" s="39"/>
      <c r="K388" s="39"/>
      <c r="L388" s="39"/>
      <c r="M388" s="39"/>
      <c r="N388" s="39"/>
      <c r="O388" s="39"/>
      <c r="P388" s="39"/>
      <c r="Q388" s="39"/>
      <c r="R388" s="39"/>
      <c r="S388" s="39"/>
      <c r="T388" s="39"/>
      <c r="U388" s="39"/>
      <c r="V388" s="39"/>
      <c r="W388" s="39"/>
      <c r="X388" s="39"/>
      <c r="Y388" s="39"/>
      <c r="Z388" s="39"/>
      <c r="AA388" s="39"/>
      <c r="AB388" s="39"/>
      <c r="AC388" s="39"/>
      <c r="AD388" s="39"/>
      <c r="AE388" s="39"/>
      <c r="AF388" s="39"/>
      <c r="AG388" s="39"/>
      <c r="AH388" s="39"/>
    </row>
    <row r="389" spans="1:34" s="38" customFormat="1" x14ac:dyDescent="0.25">
      <c r="A389" s="39"/>
      <c r="B389" s="58"/>
      <c r="C389" s="58"/>
      <c r="D389" s="59"/>
      <c r="E389" s="59"/>
      <c r="F389" s="59"/>
      <c r="H389" s="39"/>
      <c r="I389" s="39"/>
      <c r="J389" s="39"/>
      <c r="K389" s="39"/>
      <c r="L389" s="39"/>
      <c r="M389" s="39"/>
      <c r="N389" s="39"/>
      <c r="O389" s="39"/>
      <c r="P389" s="39"/>
      <c r="Q389" s="39"/>
      <c r="R389" s="39"/>
      <c r="S389" s="39"/>
      <c r="T389" s="39"/>
      <c r="U389" s="39"/>
      <c r="V389" s="39"/>
      <c r="W389" s="39"/>
      <c r="X389" s="39"/>
      <c r="Y389" s="39"/>
      <c r="Z389" s="39"/>
      <c r="AA389" s="39"/>
      <c r="AB389" s="39"/>
      <c r="AC389" s="39"/>
      <c r="AD389" s="39"/>
      <c r="AE389" s="39"/>
      <c r="AF389" s="39"/>
      <c r="AG389" s="39"/>
      <c r="AH389" s="39"/>
    </row>
    <row r="390" spans="1:34" s="38" customFormat="1" x14ac:dyDescent="0.25">
      <c r="A390" s="39"/>
      <c r="B390" s="58"/>
      <c r="C390" s="58"/>
      <c r="D390" s="59"/>
      <c r="E390" s="59"/>
      <c r="F390" s="59"/>
      <c r="H390" s="39"/>
      <c r="I390" s="39"/>
      <c r="J390" s="39"/>
      <c r="K390" s="39"/>
      <c r="L390" s="39"/>
      <c r="M390" s="39"/>
      <c r="N390" s="39"/>
      <c r="O390" s="39"/>
      <c r="P390" s="39"/>
      <c r="Q390" s="39"/>
      <c r="R390" s="39"/>
      <c r="S390" s="39"/>
      <c r="T390" s="39"/>
      <c r="U390" s="39"/>
      <c r="V390" s="39"/>
      <c r="W390" s="39"/>
      <c r="X390" s="39"/>
      <c r="Y390" s="39"/>
      <c r="Z390" s="39"/>
      <c r="AA390" s="39"/>
      <c r="AB390" s="39"/>
      <c r="AC390" s="39"/>
      <c r="AD390" s="39"/>
      <c r="AE390" s="39"/>
      <c r="AF390" s="39"/>
      <c r="AG390" s="39"/>
      <c r="AH390" s="39"/>
    </row>
    <row r="391" spans="1:34" s="38" customFormat="1" x14ac:dyDescent="0.25">
      <c r="A391" s="39"/>
      <c r="B391" s="58"/>
      <c r="C391" s="58"/>
      <c r="D391" s="59"/>
      <c r="E391" s="59"/>
      <c r="F391" s="59"/>
      <c r="H391" s="39"/>
      <c r="I391" s="39"/>
      <c r="J391" s="39"/>
      <c r="K391" s="39"/>
      <c r="L391" s="39"/>
      <c r="M391" s="39"/>
      <c r="N391" s="39"/>
      <c r="O391" s="39"/>
      <c r="P391" s="39"/>
      <c r="Q391" s="39"/>
      <c r="R391" s="39"/>
      <c r="S391" s="39"/>
      <c r="T391" s="39"/>
      <c r="U391" s="39"/>
      <c r="V391" s="39"/>
      <c r="W391" s="39"/>
      <c r="X391" s="39"/>
      <c r="Y391" s="39"/>
      <c r="Z391" s="39"/>
      <c r="AA391" s="39"/>
      <c r="AB391" s="39"/>
      <c r="AC391" s="39"/>
      <c r="AD391" s="39"/>
      <c r="AE391" s="39"/>
      <c r="AF391" s="39"/>
      <c r="AG391" s="39"/>
      <c r="AH391" s="39"/>
    </row>
    <row r="392" spans="1:34" s="38" customFormat="1" x14ac:dyDescent="0.25">
      <c r="A392" s="39"/>
      <c r="B392" s="58"/>
      <c r="C392" s="58"/>
      <c r="D392" s="59"/>
      <c r="E392" s="59"/>
      <c r="F392" s="59"/>
      <c r="H392" s="39"/>
      <c r="I392" s="39"/>
      <c r="J392" s="39"/>
      <c r="K392" s="39"/>
      <c r="L392" s="39"/>
      <c r="M392" s="39"/>
      <c r="N392" s="39"/>
      <c r="O392" s="39"/>
      <c r="P392" s="39"/>
      <c r="Q392" s="39"/>
      <c r="R392" s="39"/>
      <c r="S392" s="39"/>
      <c r="T392" s="39"/>
      <c r="U392" s="39"/>
      <c r="V392" s="39"/>
      <c r="W392" s="39"/>
      <c r="X392" s="39"/>
      <c r="Y392" s="39"/>
      <c r="Z392" s="39"/>
      <c r="AA392" s="39"/>
      <c r="AB392" s="39"/>
      <c r="AC392" s="39"/>
      <c r="AD392" s="39"/>
      <c r="AE392" s="39"/>
      <c r="AF392" s="39"/>
      <c r="AG392" s="39"/>
      <c r="AH392" s="39"/>
    </row>
    <row r="393" spans="1:34" s="38" customFormat="1" x14ac:dyDescent="0.25">
      <c r="A393" s="39"/>
      <c r="B393" s="58"/>
      <c r="C393" s="58"/>
      <c r="D393" s="59"/>
      <c r="E393" s="59"/>
      <c r="F393" s="59"/>
      <c r="H393" s="39"/>
      <c r="I393" s="39"/>
      <c r="J393" s="39"/>
      <c r="K393" s="39"/>
      <c r="L393" s="39"/>
      <c r="M393" s="39"/>
      <c r="N393" s="39"/>
      <c r="O393" s="39"/>
      <c r="P393" s="39"/>
      <c r="Q393" s="39"/>
      <c r="R393" s="39"/>
      <c r="S393" s="39"/>
      <c r="T393" s="39"/>
      <c r="U393" s="39"/>
      <c r="V393" s="39"/>
      <c r="W393" s="39"/>
      <c r="X393" s="39"/>
      <c r="Y393" s="39"/>
      <c r="Z393" s="39"/>
      <c r="AA393" s="39"/>
      <c r="AB393" s="39"/>
      <c r="AC393" s="39"/>
      <c r="AD393" s="39"/>
      <c r="AE393" s="39"/>
      <c r="AF393" s="39"/>
      <c r="AG393" s="39"/>
      <c r="AH393" s="39"/>
    </row>
    <row r="394" spans="1:34" s="38" customFormat="1" x14ac:dyDescent="0.25">
      <c r="A394" s="39"/>
      <c r="B394" s="58"/>
      <c r="C394" s="58"/>
      <c r="D394" s="59"/>
      <c r="E394" s="59"/>
      <c r="F394" s="59"/>
      <c r="H394" s="39"/>
      <c r="I394" s="39"/>
      <c r="J394" s="39"/>
      <c r="K394" s="39"/>
      <c r="L394" s="39"/>
      <c r="M394" s="39"/>
      <c r="N394" s="39"/>
      <c r="O394" s="39"/>
      <c r="P394" s="39"/>
      <c r="Q394" s="39"/>
      <c r="R394" s="39"/>
      <c r="S394" s="39"/>
      <c r="T394" s="39"/>
      <c r="U394" s="39"/>
      <c r="V394" s="39"/>
      <c r="W394" s="39"/>
      <c r="X394" s="39"/>
      <c r="Y394" s="39"/>
      <c r="Z394" s="39"/>
      <c r="AA394" s="39"/>
      <c r="AB394" s="39"/>
      <c r="AC394" s="39"/>
      <c r="AD394" s="39"/>
      <c r="AE394" s="39"/>
      <c r="AF394" s="39"/>
      <c r="AG394" s="39"/>
      <c r="AH394" s="39"/>
    </row>
    <row r="395" spans="1:34" s="38" customFormat="1" x14ac:dyDescent="0.25">
      <c r="A395" s="39"/>
      <c r="B395" s="58"/>
      <c r="C395" s="58"/>
      <c r="D395" s="59"/>
      <c r="E395" s="39"/>
      <c r="F395" s="39"/>
      <c r="H395" s="39"/>
      <c r="I395" s="39"/>
      <c r="J395" s="39"/>
      <c r="K395" s="39"/>
      <c r="L395" s="39"/>
      <c r="M395" s="39"/>
      <c r="N395" s="39"/>
      <c r="O395" s="39"/>
      <c r="P395" s="39"/>
      <c r="Q395" s="39"/>
      <c r="R395" s="39"/>
      <c r="S395" s="39"/>
      <c r="T395" s="39"/>
      <c r="U395" s="39"/>
      <c r="V395" s="39"/>
      <c r="W395" s="39"/>
      <c r="X395" s="39"/>
      <c r="Y395" s="39"/>
      <c r="Z395" s="39"/>
      <c r="AA395" s="39"/>
      <c r="AB395" s="39"/>
      <c r="AC395" s="39"/>
      <c r="AD395" s="39"/>
      <c r="AE395" s="39"/>
      <c r="AF395" s="39"/>
      <c r="AG395" s="39"/>
      <c r="AH395" s="39"/>
    </row>
    <row r="396" spans="1:34" s="38" customFormat="1" x14ac:dyDescent="0.25">
      <c r="A396" s="39"/>
      <c r="B396" s="58"/>
      <c r="C396" s="58"/>
      <c r="D396" s="59"/>
      <c r="E396" s="39"/>
      <c r="F396" s="39"/>
      <c r="H396" s="39"/>
      <c r="I396" s="39"/>
      <c r="J396" s="39"/>
      <c r="K396" s="39"/>
      <c r="L396" s="39"/>
      <c r="M396" s="39"/>
      <c r="N396" s="39"/>
      <c r="O396" s="39"/>
      <c r="P396" s="39"/>
      <c r="Q396" s="39"/>
      <c r="R396" s="39"/>
      <c r="S396" s="39"/>
      <c r="T396" s="39"/>
      <c r="U396" s="39"/>
      <c r="V396" s="39"/>
      <c r="W396" s="39"/>
      <c r="X396" s="39"/>
      <c r="Y396" s="39"/>
      <c r="Z396" s="39"/>
      <c r="AA396" s="39"/>
      <c r="AB396" s="39"/>
      <c r="AC396" s="39"/>
      <c r="AD396" s="39"/>
      <c r="AE396" s="39"/>
      <c r="AF396" s="39"/>
      <c r="AG396" s="39"/>
      <c r="AH396" s="39"/>
    </row>
    <row r="397" spans="1:34" s="38" customFormat="1" x14ac:dyDescent="0.25">
      <c r="A397" s="39"/>
      <c r="B397" s="58"/>
      <c r="C397" s="58"/>
      <c r="D397" s="59"/>
      <c r="E397" s="39"/>
      <c r="F397" s="39"/>
      <c r="H397" s="39"/>
      <c r="I397" s="39"/>
      <c r="J397" s="39"/>
      <c r="K397" s="39"/>
      <c r="L397" s="39"/>
      <c r="M397" s="39"/>
      <c r="N397" s="39"/>
      <c r="O397" s="39"/>
      <c r="P397" s="39"/>
      <c r="Q397" s="39"/>
      <c r="R397" s="39"/>
      <c r="S397" s="39"/>
      <c r="T397" s="39"/>
      <c r="U397" s="39"/>
      <c r="V397" s="39"/>
      <c r="W397" s="39"/>
      <c r="X397" s="39"/>
      <c r="Y397" s="39"/>
      <c r="Z397" s="39"/>
      <c r="AA397" s="39"/>
      <c r="AB397" s="39"/>
      <c r="AC397" s="39"/>
      <c r="AD397" s="39"/>
      <c r="AE397" s="39"/>
      <c r="AF397" s="39"/>
      <c r="AG397" s="39"/>
      <c r="AH397" s="39"/>
    </row>
    <row r="398" spans="1:34" s="38" customFormat="1" x14ac:dyDescent="0.25">
      <c r="A398" s="39"/>
      <c r="B398" s="58"/>
      <c r="C398" s="58"/>
      <c r="D398" s="59"/>
      <c r="E398" s="39"/>
      <c r="F398" s="39"/>
      <c r="H398" s="39"/>
      <c r="I398" s="39"/>
      <c r="J398" s="39"/>
      <c r="K398" s="39"/>
      <c r="L398" s="39"/>
      <c r="M398" s="39"/>
      <c r="N398" s="39"/>
      <c r="O398" s="39"/>
      <c r="P398" s="39"/>
      <c r="Q398" s="39"/>
      <c r="R398" s="39"/>
      <c r="S398" s="39"/>
      <c r="T398" s="39"/>
      <c r="U398" s="39"/>
      <c r="V398" s="39"/>
      <c r="W398" s="39"/>
      <c r="X398" s="39"/>
      <c r="Y398" s="39"/>
      <c r="Z398" s="39"/>
      <c r="AA398" s="39"/>
      <c r="AB398" s="39"/>
      <c r="AC398" s="39"/>
      <c r="AD398" s="39"/>
      <c r="AE398" s="39"/>
      <c r="AF398" s="39"/>
      <c r="AG398" s="39"/>
      <c r="AH398" s="39"/>
    </row>
    <row r="399" spans="1:34" s="38" customFormat="1" x14ac:dyDescent="0.25">
      <c r="A399" s="39"/>
      <c r="B399" s="58"/>
      <c r="C399" s="58"/>
      <c r="D399" s="59"/>
      <c r="E399" s="39"/>
      <c r="F399" s="39"/>
      <c r="H399" s="39"/>
      <c r="I399" s="39"/>
      <c r="J399" s="39"/>
      <c r="K399" s="39"/>
      <c r="L399" s="39"/>
      <c r="M399" s="39"/>
      <c r="N399" s="39"/>
      <c r="O399" s="39"/>
      <c r="P399" s="39"/>
      <c r="Q399" s="39"/>
      <c r="R399" s="39"/>
      <c r="S399" s="39"/>
      <c r="T399" s="39"/>
      <c r="U399" s="39"/>
      <c r="V399" s="39"/>
      <c r="W399" s="39"/>
      <c r="X399" s="39"/>
      <c r="Y399" s="39"/>
      <c r="Z399" s="39"/>
      <c r="AA399" s="39"/>
      <c r="AB399" s="39"/>
      <c r="AC399" s="39"/>
      <c r="AD399" s="39"/>
      <c r="AE399" s="39"/>
      <c r="AF399" s="39"/>
      <c r="AG399" s="39"/>
      <c r="AH399" s="39"/>
    </row>
    <row r="400" spans="1:34" s="38" customFormat="1" x14ac:dyDescent="0.25">
      <c r="A400" s="39"/>
      <c r="B400" s="58"/>
      <c r="C400" s="58"/>
      <c r="D400" s="59"/>
      <c r="E400" s="39"/>
      <c r="F400" s="39"/>
      <c r="H400" s="39"/>
      <c r="I400" s="39"/>
      <c r="J400" s="39"/>
      <c r="K400" s="39"/>
      <c r="L400" s="39"/>
      <c r="M400" s="39"/>
      <c r="N400" s="39"/>
      <c r="O400" s="39"/>
      <c r="P400" s="39"/>
      <c r="Q400" s="39"/>
      <c r="R400" s="39"/>
      <c r="S400" s="39"/>
      <c r="T400" s="39"/>
      <c r="U400" s="39"/>
      <c r="V400" s="39"/>
      <c r="W400" s="39"/>
      <c r="X400" s="39"/>
      <c r="Y400" s="39"/>
      <c r="Z400" s="39"/>
      <c r="AA400" s="39"/>
      <c r="AB400" s="39"/>
      <c r="AC400" s="39"/>
      <c r="AD400" s="39"/>
      <c r="AE400" s="39"/>
      <c r="AF400" s="39"/>
      <c r="AG400" s="39"/>
      <c r="AH400" s="39"/>
    </row>
    <row r="401" spans="1:34" s="38" customFormat="1" x14ac:dyDescent="0.25">
      <c r="A401" s="39"/>
      <c r="B401" s="58"/>
      <c r="C401" s="58"/>
      <c r="D401" s="59"/>
      <c r="E401" s="39"/>
      <c r="F401" s="39"/>
      <c r="H401" s="39"/>
      <c r="I401" s="39"/>
      <c r="J401" s="39"/>
      <c r="K401" s="39"/>
      <c r="L401" s="39"/>
      <c r="M401" s="39"/>
      <c r="N401" s="39"/>
      <c r="O401" s="39"/>
      <c r="P401" s="39"/>
      <c r="Q401" s="39"/>
      <c r="R401" s="39"/>
      <c r="S401" s="39"/>
      <c r="T401" s="39"/>
      <c r="U401" s="39"/>
      <c r="V401" s="39"/>
      <c r="W401" s="39"/>
      <c r="X401" s="39"/>
      <c r="Y401" s="39"/>
      <c r="Z401" s="39"/>
      <c r="AA401" s="39"/>
      <c r="AB401" s="39"/>
      <c r="AC401" s="39"/>
      <c r="AD401" s="39"/>
      <c r="AE401" s="39"/>
      <c r="AF401" s="39"/>
      <c r="AG401" s="39"/>
      <c r="AH401" s="39"/>
    </row>
    <row r="402" spans="1:34" s="38" customFormat="1" x14ac:dyDescent="0.25">
      <c r="A402" s="39"/>
      <c r="B402" s="58"/>
      <c r="C402" s="58"/>
      <c r="D402" s="59"/>
      <c r="E402" s="39"/>
      <c r="F402" s="39"/>
      <c r="H402" s="39"/>
      <c r="I402" s="39"/>
      <c r="J402" s="39"/>
      <c r="K402" s="39"/>
      <c r="L402" s="39"/>
      <c r="M402" s="39"/>
      <c r="N402" s="39"/>
      <c r="O402" s="39"/>
      <c r="P402" s="39"/>
      <c r="Q402" s="39"/>
      <c r="R402" s="39"/>
      <c r="S402" s="39"/>
      <c r="T402" s="39"/>
      <c r="U402" s="39"/>
      <c r="V402" s="39"/>
      <c r="W402" s="39"/>
      <c r="X402" s="39"/>
      <c r="Y402" s="39"/>
      <c r="Z402" s="39"/>
      <c r="AA402" s="39"/>
      <c r="AB402" s="39"/>
      <c r="AC402" s="39"/>
      <c r="AD402" s="39"/>
      <c r="AE402" s="39"/>
      <c r="AF402" s="39"/>
      <c r="AG402" s="39"/>
      <c r="AH402" s="39"/>
    </row>
    <row r="403" spans="1:34" s="38" customFormat="1" x14ac:dyDescent="0.25">
      <c r="A403" s="39"/>
      <c r="B403" s="58"/>
      <c r="C403" s="58"/>
      <c r="D403" s="59"/>
      <c r="E403" s="39"/>
      <c r="F403" s="39"/>
      <c r="H403" s="39"/>
      <c r="I403" s="39"/>
      <c r="J403" s="39"/>
      <c r="K403" s="39"/>
      <c r="L403" s="39"/>
      <c r="M403" s="39"/>
      <c r="N403" s="39"/>
      <c r="O403" s="39"/>
      <c r="P403" s="39"/>
      <c r="Q403" s="39"/>
      <c r="R403" s="39"/>
      <c r="S403" s="39"/>
      <c r="T403" s="39"/>
      <c r="U403" s="39"/>
      <c r="V403" s="39"/>
      <c r="W403" s="39"/>
      <c r="X403" s="39"/>
      <c r="Y403" s="39"/>
      <c r="Z403" s="39"/>
      <c r="AA403" s="39"/>
      <c r="AB403" s="39"/>
      <c r="AC403" s="39"/>
      <c r="AD403" s="39"/>
      <c r="AE403" s="39"/>
      <c r="AF403" s="39"/>
      <c r="AG403" s="39"/>
      <c r="AH403" s="39"/>
    </row>
    <row r="404" spans="1:34" s="38" customFormat="1" x14ac:dyDescent="0.25">
      <c r="A404" s="39"/>
      <c r="B404" s="58"/>
      <c r="C404" s="58"/>
      <c r="D404" s="59"/>
      <c r="E404" s="39"/>
      <c r="F404" s="39"/>
      <c r="H404" s="39"/>
      <c r="I404" s="39"/>
      <c r="J404" s="39"/>
      <c r="K404" s="39"/>
      <c r="L404" s="39"/>
      <c r="M404" s="39"/>
      <c r="N404" s="39"/>
      <c r="O404" s="39"/>
      <c r="P404" s="39"/>
      <c r="Q404" s="39"/>
      <c r="R404" s="39"/>
      <c r="S404" s="39"/>
      <c r="T404" s="39"/>
      <c r="U404" s="39"/>
      <c r="V404" s="39"/>
      <c r="W404" s="39"/>
      <c r="X404" s="39"/>
      <c r="Y404" s="39"/>
      <c r="Z404" s="39"/>
      <c r="AA404" s="39"/>
      <c r="AB404" s="39"/>
      <c r="AC404" s="39"/>
      <c r="AD404" s="39"/>
      <c r="AE404" s="39"/>
      <c r="AF404" s="39"/>
      <c r="AG404" s="39"/>
      <c r="AH404" s="39"/>
    </row>
    <row r="405" spans="1:34" s="38" customFormat="1" x14ac:dyDescent="0.25">
      <c r="A405" s="39"/>
      <c r="B405" s="58"/>
      <c r="C405" s="58"/>
      <c r="D405" s="59"/>
      <c r="E405" s="39"/>
      <c r="F405" s="39"/>
      <c r="H405" s="39"/>
      <c r="I405" s="39"/>
      <c r="J405" s="39"/>
      <c r="K405" s="39"/>
      <c r="L405" s="39"/>
      <c r="M405" s="39"/>
      <c r="N405" s="39"/>
      <c r="O405" s="39"/>
      <c r="P405" s="39"/>
      <c r="Q405" s="39"/>
      <c r="R405" s="39"/>
      <c r="S405" s="39"/>
      <c r="T405" s="39"/>
      <c r="U405" s="39"/>
      <c r="V405" s="39"/>
      <c r="W405" s="39"/>
      <c r="X405" s="39"/>
      <c r="Y405" s="39"/>
      <c r="Z405" s="39"/>
      <c r="AA405" s="39"/>
      <c r="AB405" s="39"/>
      <c r="AC405" s="39"/>
      <c r="AD405" s="39"/>
      <c r="AE405" s="39"/>
      <c r="AF405" s="39"/>
      <c r="AG405" s="39"/>
      <c r="AH405" s="39"/>
    </row>
    <row r="406" spans="1:34" s="38" customFormat="1" x14ac:dyDescent="0.25">
      <c r="A406" s="39"/>
      <c r="B406" s="58"/>
      <c r="C406" s="58"/>
      <c r="D406" s="59"/>
      <c r="E406" s="39"/>
      <c r="F406" s="39"/>
      <c r="H406" s="39"/>
      <c r="I406" s="39"/>
      <c r="J406" s="39"/>
      <c r="K406" s="39"/>
      <c r="L406" s="39"/>
      <c r="M406" s="39"/>
      <c r="N406" s="39"/>
      <c r="O406" s="39"/>
      <c r="P406" s="39"/>
      <c r="Q406" s="39"/>
      <c r="R406" s="39"/>
      <c r="S406" s="39"/>
      <c r="T406" s="39"/>
      <c r="U406" s="39"/>
      <c r="V406" s="39"/>
      <c r="W406" s="39"/>
      <c r="X406" s="39"/>
      <c r="Y406" s="39"/>
      <c r="Z406" s="39"/>
      <c r="AA406" s="39"/>
      <c r="AB406" s="39"/>
      <c r="AC406" s="39"/>
      <c r="AD406" s="39"/>
      <c r="AE406" s="39"/>
      <c r="AF406" s="39"/>
      <c r="AG406" s="39"/>
      <c r="AH406" s="39"/>
    </row>
    <row r="407" spans="1:34" s="38" customFormat="1" x14ac:dyDescent="0.25">
      <c r="A407" s="39"/>
      <c r="B407" s="58"/>
      <c r="C407" s="58"/>
      <c r="D407" s="59"/>
      <c r="E407" s="39"/>
      <c r="F407" s="39"/>
      <c r="H407" s="39"/>
      <c r="I407" s="39"/>
      <c r="J407" s="39"/>
      <c r="K407" s="39"/>
      <c r="L407" s="39"/>
      <c r="M407" s="39"/>
      <c r="N407" s="39"/>
      <c r="O407" s="39"/>
      <c r="P407" s="39"/>
      <c r="Q407" s="39"/>
      <c r="R407" s="39"/>
      <c r="S407" s="39"/>
      <c r="T407" s="39"/>
      <c r="U407" s="39"/>
      <c r="V407" s="39"/>
      <c r="W407" s="39"/>
      <c r="X407" s="39"/>
      <c r="Y407" s="39"/>
      <c r="Z407" s="39"/>
      <c r="AA407" s="39"/>
      <c r="AB407" s="39"/>
      <c r="AC407" s="39"/>
      <c r="AD407" s="39"/>
      <c r="AE407" s="39"/>
      <c r="AF407" s="39"/>
      <c r="AG407" s="39"/>
      <c r="AH407" s="39"/>
    </row>
    <row r="408" spans="1:34" s="38" customFormat="1" x14ac:dyDescent="0.25">
      <c r="A408" s="39"/>
      <c r="B408" s="58"/>
      <c r="C408" s="58"/>
      <c r="D408" s="59"/>
      <c r="E408" s="39"/>
      <c r="F408" s="39"/>
      <c r="H408" s="39"/>
      <c r="I408" s="39"/>
      <c r="J408" s="39"/>
      <c r="K408" s="39"/>
      <c r="L408" s="39"/>
      <c r="M408" s="39"/>
      <c r="N408" s="39"/>
      <c r="O408" s="39"/>
      <c r="P408" s="39"/>
      <c r="Q408" s="39"/>
      <c r="R408" s="39"/>
      <c r="S408" s="39"/>
      <c r="T408" s="39"/>
      <c r="U408" s="39"/>
      <c r="V408" s="39"/>
      <c r="W408" s="39"/>
      <c r="X408" s="39"/>
      <c r="Y408" s="39"/>
      <c r="Z408" s="39"/>
      <c r="AA408" s="39"/>
      <c r="AB408" s="39"/>
      <c r="AC408" s="39"/>
      <c r="AD408" s="39"/>
      <c r="AE408" s="39"/>
      <c r="AF408" s="39"/>
      <c r="AG408" s="39"/>
      <c r="AH408" s="39"/>
    </row>
    <row r="409" spans="1:34" s="38" customFormat="1" x14ac:dyDescent="0.25">
      <c r="A409" s="39"/>
      <c r="B409" s="58"/>
      <c r="C409" s="58"/>
      <c r="D409" s="59"/>
      <c r="E409" s="39"/>
      <c r="F409" s="39"/>
      <c r="H409" s="39"/>
      <c r="I409" s="39"/>
      <c r="J409" s="39"/>
      <c r="K409" s="39"/>
      <c r="L409" s="39"/>
      <c r="M409" s="39"/>
      <c r="N409" s="39"/>
      <c r="O409" s="39"/>
      <c r="P409" s="39"/>
      <c r="Q409" s="39"/>
      <c r="R409" s="39"/>
      <c r="S409" s="39"/>
      <c r="T409" s="39"/>
      <c r="U409" s="39"/>
      <c r="V409" s="39"/>
      <c r="W409" s="39"/>
      <c r="X409" s="39"/>
      <c r="Y409" s="39"/>
      <c r="Z409" s="39"/>
      <c r="AA409" s="39"/>
      <c r="AB409" s="39"/>
      <c r="AC409" s="39"/>
      <c r="AD409" s="39"/>
      <c r="AE409" s="39"/>
      <c r="AF409" s="39"/>
      <c r="AG409" s="39"/>
      <c r="AH409" s="39"/>
    </row>
    <row r="410" spans="1:34" s="38" customFormat="1" x14ac:dyDescent="0.25">
      <c r="A410" s="39"/>
      <c r="B410" s="58"/>
      <c r="C410" s="58"/>
      <c r="D410" s="59"/>
      <c r="E410" s="59"/>
      <c r="F410" s="59"/>
      <c r="H410" s="39"/>
      <c r="I410" s="39"/>
      <c r="J410" s="39"/>
      <c r="K410" s="39"/>
      <c r="L410" s="39"/>
      <c r="M410" s="39"/>
      <c r="N410" s="39"/>
      <c r="O410" s="39"/>
      <c r="P410" s="39"/>
      <c r="Q410" s="39"/>
      <c r="R410" s="39"/>
      <c r="S410" s="39"/>
      <c r="T410" s="39"/>
      <c r="U410" s="39"/>
      <c r="V410" s="39"/>
      <c r="W410" s="39"/>
      <c r="X410" s="39"/>
      <c r="Y410" s="39"/>
      <c r="Z410" s="39"/>
      <c r="AA410" s="39"/>
      <c r="AB410" s="39"/>
      <c r="AC410" s="39"/>
      <c r="AD410" s="39"/>
      <c r="AE410" s="39"/>
      <c r="AF410" s="39"/>
      <c r="AG410" s="39"/>
      <c r="AH410" s="39"/>
    </row>
    <row r="411" spans="1:34" s="38" customFormat="1" x14ac:dyDescent="0.25">
      <c r="A411" s="39"/>
      <c r="B411" s="58"/>
      <c r="C411" s="58"/>
      <c r="D411" s="59"/>
      <c r="E411" s="59"/>
      <c r="F411" s="59"/>
      <c r="H411" s="39"/>
      <c r="I411" s="39"/>
      <c r="J411" s="39"/>
      <c r="K411" s="39"/>
      <c r="L411" s="39"/>
      <c r="M411" s="39"/>
      <c r="N411" s="39"/>
      <c r="O411" s="39"/>
      <c r="P411" s="39"/>
      <c r="Q411" s="39"/>
      <c r="R411" s="39"/>
      <c r="S411" s="39"/>
      <c r="T411" s="39"/>
      <c r="U411" s="39"/>
      <c r="V411" s="39"/>
      <c r="W411" s="39"/>
      <c r="X411" s="39"/>
      <c r="Y411" s="39"/>
      <c r="Z411" s="39"/>
      <c r="AA411" s="39"/>
      <c r="AB411" s="39"/>
      <c r="AC411" s="39"/>
      <c r="AD411" s="39"/>
      <c r="AE411" s="39"/>
      <c r="AF411" s="39"/>
      <c r="AG411" s="39"/>
      <c r="AH411" s="39"/>
    </row>
    <row r="412" spans="1:34" s="38" customFormat="1" x14ac:dyDescent="0.25">
      <c r="A412" s="39"/>
      <c r="B412" s="58"/>
      <c r="C412" s="58"/>
      <c r="D412" s="59"/>
      <c r="E412" s="59"/>
      <c r="F412" s="59"/>
      <c r="H412" s="39"/>
      <c r="I412" s="39"/>
      <c r="J412" s="39"/>
      <c r="K412" s="39"/>
      <c r="L412" s="39"/>
      <c r="M412" s="39"/>
      <c r="N412" s="39"/>
      <c r="O412" s="39"/>
      <c r="P412" s="39"/>
      <c r="Q412" s="39"/>
      <c r="R412" s="39"/>
      <c r="S412" s="39"/>
      <c r="T412" s="39"/>
      <c r="U412" s="39"/>
      <c r="V412" s="39"/>
      <c r="W412" s="39"/>
      <c r="X412" s="39"/>
      <c r="Y412" s="39"/>
      <c r="Z412" s="39"/>
      <c r="AA412" s="39"/>
      <c r="AB412" s="39"/>
      <c r="AC412" s="39"/>
      <c r="AD412" s="39"/>
      <c r="AE412" s="39"/>
      <c r="AF412" s="39"/>
      <c r="AG412" s="39"/>
      <c r="AH412" s="39"/>
    </row>
    <row r="413" spans="1:34" s="38" customFormat="1" x14ac:dyDescent="0.25">
      <c r="A413" s="39"/>
      <c r="B413" s="58"/>
      <c r="C413" s="58"/>
      <c r="D413" s="59"/>
      <c r="E413" s="59"/>
      <c r="F413" s="59"/>
      <c r="H413" s="39"/>
      <c r="I413" s="39"/>
      <c r="J413" s="39"/>
      <c r="K413" s="39"/>
      <c r="L413" s="39"/>
      <c r="M413" s="39"/>
      <c r="N413" s="39"/>
      <c r="O413" s="39"/>
      <c r="P413" s="39"/>
      <c r="Q413" s="39"/>
      <c r="R413" s="39"/>
      <c r="S413" s="39"/>
      <c r="T413" s="39"/>
      <c r="U413" s="39"/>
      <c r="V413" s="39"/>
      <c r="W413" s="39"/>
      <c r="X413" s="39"/>
      <c r="Y413" s="39"/>
      <c r="Z413" s="39"/>
      <c r="AA413" s="39"/>
      <c r="AB413" s="39"/>
      <c r="AC413" s="39"/>
      <c r="AD413" s="39"/>
      <c r="AE413" s="39"/>
      <c r="AF413" s="39"/>
      <c r="AG413" s="39"/>
      <c r="AH413" s="39"/>
    </row>
    <row r="414" spans="1:34" s="38" customFormat="1" x14ac:dyDescent="0.25">
      <c r="A414" s="39"/>
      <c r="B414" s="58"/>
      <c r="C414" s="58"/>
      <c r="D414" s="59"/>
      <c r="E414" s="59"/>
      <c r="F414" s="59"/>
      <c r="H414" s="39"/>
      <c r="I414" s="39"/>
      <c r="J414" s="39"/>
      <c r="K414" s="39"/>
      <c r="L414" s="39"/>
      <c r="M414" s="39"/>
      <c r="N414" s="39"/>
      <c r="O414" s="39"/>
      <c r="P414" s="39"/>
      <c r="Q414" s="39"/>
      <c r="R414" s="39"/>
      <c r="S414" s="39"/>
      <c r="T414" s="39"/>
      <c r="U414" s="39"/>
      <c r="V414" s="39"/>
      <c r="W414" s="39"/>
      <c r="X414" s="39"/>
      <c r="Y414" s="39"/>
      <c r="Z414" s="39"/>
      <c r="AA414" s="39"/>
      <c r="AB414" s="39"/>
      <c r="AC414" s="39"/>
      <c r="AD414" s="39"/>
      <c r="AE414" s="39"/>
      <c r="AF414" s="39"/>
      <c r="AG414" s="39"/>
      <c r="AH414" s="39"/>
    </row>
    <row r="415" spans="1:34" s="38" customFormat="1" x14ac:dyDescent="0.25">
      <c r="A415" s="39"/>
      <c r="B415" s="58"/>
      <c r="C415" s="58"/>
      <c r="D415" s="59"/>
      <c r="E415" s="59"/>
      <c r="F415" s="59"/>
      <c r="H415" s="39"/>
      <c r="I415" s="39"/>
      <c r="J415" s="39"/>
      <c r="K415" s="39"/>
      <c r="L415" s="39"/>
      <c r="M415" s="39"/>
      <c r="N415" s="39"/>
      <c r="O415" s="39"/>
      <c r="P415" s="39"/>
      <c r="Q415" s="39"/>
      <c r="R415" s="39"/>
      <c r="S415" s="39"/>
      <c r="T415" s="39"/>
      <c r="U415" s="39"/>
      <c r="V415" s="39"/>
      <c r="W415" s="39"/>
      <c r="X415" s="39"/>
      <c r="Y415" s="39"/>
      <c r="Z415" s="39"/>
      <c r="AA415" s="39"/>
      <c r="AB415" s="39"/>
      <c r="AC415" s="39"/>
      <c r="AD415" s="39"/>
      <c r="AE415" s="39"/>
      <c r="AF415" s="39"/>
      <c r="AG415" s="39"/>
      <c r="AH415" s="39"/>
    </row>
    <row r="416" spans="1:34" s="38" customFormat="1" x14ac:dyDescent="0.25">
      <c r="A416" s="39"/>
      <c r="B416" s="58"/>
      <c r="C416" s="58"/>
      <c r="D416" s="59"/>
      <c r="E416" s="59"/>
      <c r="F416" s="59"/>
      <c r="H416" s="39"/>
      <c r="I416" s="39"/>
      <c r="J416" s="39"/>
      <c r="K416" s="39"/>
      <c r="L416" s="39"/>
      <c r="M416" s="39"/>
      <c r="N416" s="39"/>
      <c r="O416" s="39"/>
      <c r="P416" s="39"/>
      <c r="Q416" s="39"/>
      <c r="R416" s="39"/>
      <c r="S416" s="39"/>
      <c r="T416" s="39"/>
      <c r="U416" s="39"/>
      <c r="V416" s="39"/>
      <c r="W416" s="39"/>
      <c r="X416" s="39"/>
      <c r="Y416" s="39"/>
      <c r="Z416" s="39"/>
      <c r="AA416" s="39"/>
      <c r="AB416" s="39"/>
      <c r="AC416" s="39"/>
      <c r="AD416" s="39"/>
      <c r="AE416" s="39"/>
      <c r="AF416" s="39"/>
      <c r="AG416" s="39"/>
      <c r="AH416" s="39"/>
    </row>
    <row r="417" spans="1:34" s="38" customFormat="1" x14ac:dyDescent="0.25">
      <c r="A417" s="39"/>
      <c r="B417" s="58"/>
      <c r="C417" s="58"/>
      <c r="D417" s="59"/>
      <c r="E417" s="59"/>
      <c r="F417" s="59"/>
      <c r="H417" s="39"/>
      <c r="I417" s="39"/>
      <c r="J417" s="39"/>
      <c r="K417" s="39"/>
      <c r="L417" s="39"/>
      <c r="M417" s="39"/>
      <c r="N417" s="39"/>
      <c r="O417" s="39"/>
      <c r="P417" s="39"/>
      <c r="Q417" s="39"/>
      <c r="R417" s="39"/>
      <c r="S417" s="39"/>
      <c r="T417" s="39"/>
      <c r="U417" s="39"/>
      <c r="V417" s="39"/>
      <c r="W417" s="39"/>
      <c r="X417" s="39"/>
      <c r="Y417" s="39"/>
      <c r="Z417" s="39"/>
      <c r="AA417" s="39"/>
      <c r="AB417" s="39"/>
      <c r="AC417" s="39"/>
      <c r="AD417" s="39"/>
      <c r="AE417" s="39"/>
      <c r="AF417" s="39"/>
      <c r="AG417" s="39"/>
      <c r="AH417" s="39"/>
    </row>
    <row r="418" spans="1:34" s="38" customFormat="1" x14ac:dyDescent="0.25">
      <c r="A418" s="39"/>
      <c r="B418" s="58"/>
      <c r="C418" s="58"/>
      <c r="D418" s="59"/>
      <c r="E418" s="59"/>
      <c r="F418" s="59"/>
      <c r="H418" s="39"/>
      <c r="I418" s="39"/>
      <c r="J418" s="39"/>
      <c r="K418" s="39"/>
      <c r="L418" s="39"/>
      <c r="M418" s="39"/>
      <c r="N418" s="39"/>
      <c r="O418" s="39"/>
      <c r="P418" s="39"/>
      <c r="Q418" s="39"/>
      <c r="R418" s="39"/>
      <c r="S418" s="39"/>
      <c r="T418" s="39"/>
      <c r="U418" s="39"/>
      <c r="V418" s="39"/>
      <c r="W418" s="39"/>
      <c r="X418" s="39"/>
      <c r="Y418" s="39"/>
      <c r="Z418" s="39"/>
      <c r="AA418" s="39"/>
      <c r="AB418" s="39"/>
      <c r="AC418" s="39"/>
      <c r="AD418" s="39"/>
      <c r="AE418" s="39"/>
      <c r="AF418" s="39"/>
      <c r="AG418" s="39"/>
      <c r="AH418" s="39"/>
    </row>
    <row r="419" spans="1:34" s="38" customFormat="1" x14ac:dyDescent="0.25">
      <c r="A419" s="39"/>
      <c r="B419" s="58"/>
      <c r="C419" s="58"/>
      <c r="D419" s="59"/>
      <c r="E419" s="59"/>
      <c r="F419" s="59"/>
      <c r="H419" s="39"/>
      <c r="I419" s="39"/>
      <c r="J419" s="39"/>
      <c r="K419" s="39"/>
      <c r="L419" s="39"/>
      <c r="M419" s="39"/>
      <c r="N419" s="39"/>
      <c r="O419" s="39"/>
      <c r="P419" s="39"/>
      <c r="Q419" s="39"/>
      <c r="R419" s="39"/>
      <c r="S419" s="39"/>
      <c r="T419" s="39"/>
      <c r="U419" s="39"/>
      <c r="V419" s="39"/>
      <c r="W419" s="39"/>
      <c r="X419" s="39"/>
      <c r="Y419" s="39"/>
      <c r="Z419" s="39"/>
      <c r="AA419" s="39"/>
      <c r="AB419" s="39"/>
      <c r="AC419" s="39"/>
      <c r="AD419" s="39"/>
      <c r="AE419" s="39"/>
      <c r="AF419" s="39"/>
      <c r="AG419" s="39"/>
      <c r="AH419" s="39"/>
    </row>
    <row r="420" spans="1:34" s="38" customFormat="1" x14ac:dyDescent="0.25">
      <c r="A420" s="39"/>
      <c r="B420" s="58"/>
      <c r="C420" s="58"/>
      <c r="D420" s="59"/>
      <c r="E420" s="39"/>
      <c r="F420" s="39"/>
      <c r="H420" s="39"/>
      <c r="I420" s="39"/>
      <c r="J420" s="39"/>
      <c r="K420" s="39"/>
      <c r="L420" s="39"/>
      <c r="M420" s="39"/>
      <c r="N420" s="39"/>
      <c r="O420" s="39"/>
      <c r="P420" s="39"/>
      <c r="Q420" s="39"/>
      <c r="R420" s="39"/>
      <c r="S420" s="39"/>
      <c r="T420" s="39"/>
      <c r="U420" s="39"/>
      <c r="V420" s="39"/>
      <c r="W420" s="39"/>
      <c r="X420" s="39"/>
      <c r="Y420" s="39"/>
      <c r="Z420" s="39"/>
      <c r="AA420" s="39"/>
      <c r="AB420" s="39"/>
      <c r="AC420" s="39"/>
      <c r="AD420" s="39"/>
      <c r="AE420" s="39"/>
      <c r="AF420" s="39"/>
      <c r="AG420" s="39"/>
      <c r="AH420" s="39"/>
    </row>
    <row r="421" spans="1:34" s="38" customFormat="1" x14ac:dyDescent="0.25">
      <c r="A421" s="39"/>
      <c r="B421" s="58"/>
      <c r="C421" s="58"/>
      <c r="D421" s="59"/>
      <c r="E421" s="39"/>
      <c r="F421" s="39"/>
      <c r="H421" s="39"/>
      <c r="I421" s="39"/>
      <c r="J421" s="39"/>
      <c r="K421" s="39"/>
      <c r="L421" s="39"/>
      <c r="M421" s="39"/>
      <c r="N421" s="39"/>
      <c r="O421" s="39"/>
      <c r="P421" s="39"/>
      <c r="Q421" s="39"/>
      <c r="R421" s="39"/>
      <c r="S421" s="39"/>
      <c r="T421" s="39"/>
      <c r="U421" s="39"/>
      <c r="V421" s="39"/>
      <c r="W421" s="39"/>
      <c r="X421" s="39"/>
      <c r="Y421" s="39"/>
      <c r="Z421" s="39"/>
      <c r="AA421" s="39"/>
      <c r="AB421" s="39"/>
      <c r="AC421" s="39"/>
      <c r="AD421" s="39"/>
      <c r="AE421" s="39"/>
      <c r="AF421" s="39"/>
      <c r="AG421" s="39"/>
      <c r="AH421" s="39"/>
    </row>
    <row r="422" spans="1:34" s="38" customFormat="1" x14ac:dyDescent="0.25">
      <c r="A422" s="39"/>
      <c r="B422" s="58"/>
      <c r="C422" s="58"/>
      <c r="D422" s="59"/>
      <c r="E422" s="39"/>
      <c r="F422" s="39"/>
      <c r="H422" s="39"/>
      <c r="I422" s="39"/>
      <c r="J422" s="39"/>
      <c r="K422" s="39"/>
      <c r="L422" s="39"/>
      <c r="M422" s="39"/>
      <c r="N422" s="39"/>
      <c r="O422" s="39"/>
      <c r="P422" s="39"/>
      <c r="Q422" s="39"/>
      <c r="R422" s="39"/>
      <c r="S422" s="39"/>
      <c r="T422" s="39"/>
      <c r="U422" s="39"/>
      <c r="V422" s="39"/>
      <c r="W422" s="39"/>
      <c r="X422" s="39"/>
      <c r="Y422" s="39"/>
      <c r="Z422" s="39"/>
      <c r="AA422" s="39"/>
      <c r="AB422" s="39"/>
      <c r="AC422" s="39"/>
      <c r="AD422" s="39"/>
      <c r="AE422" s="39"/>
      <c r="AF422" s="39"/>
      <c r="AG422" s="39"/>
      <c r="AH422" s="39"/>
    </row>
    <row r="423" spans="1:34" s="38" customFormat="1" x14ac:dyDescent="0.25">
      <c r="A423" s="39"/>
      <c r="B423" s="58"/>
      <c r="C423" s="58"/>
      <c r="D423" s="59"/>
      <c r="E423" s="39"/>
      <c r="F423" s="39"/>
      <c r="H423" s="39"/>
      <c r="I423" s="39"/>
      <c r="J423" s="39"/>
      <c r="K423" s="39"/>
      <c r="L423" s="39"/>
      <c r="M423" s="39"/>
      <c r="N423" s="39"/>
      <c r="O423" s="39"/>
      <c r="P423" s="39"/>
      <c r="Q423" s="39"/>
      <c r="R423" s="39"/>
      <c r="S423" s="39"/>
      <c r="T423" s="39"/>
      <c r="U423" s="39"/>
      <c r="V423" s="39"/>
      <c r="W423" s="39"/>
      <c r="X423" s="39"/>
      <c r="Y423" s="39"/>
      <c r="Z423" s="39"/>
      <c r="AA423" s="39"/>
      <c r="AB423" s="39"/>
      <c r="AC423" s="39"/>
      <c r="AD423" s="39"/>
      <c r="AE423" s="39"/>
      <c r="AF423" s="39"/>
      <c r="AG423" s="39"/>
      <c r="AH423" s="39"/>
    </row>
    <row r="424" spans="1:34" s="38" customFormat="1" x14ac:dyDescent="0.25">
      <c r="A424" s="39"/>
      <c r="B424" s="58"/>
      <c r="C424" s="58"/>
      <c r="D424" s="59"/>
      <c r="E424" s="39"/>
      <c r="F424" s="39"/>
      <c r="H424" s="39"/>
      <c r="I424" s="39"/>
      <c r="J424" s="39"/>
      <c r="K424" s="39"/>
      <c r="L424" s="39"/>
      <c r="M424" s="39"/>
      <c r="N424" s="39"/>
      <c r="O424" s="39"/>
      <c r="P424" s="39"/>
      <c r="Q424" s="39"/>
      <c r="R424" s="39"/>
      <c r="S424" s="39"/>
      <c r="T424" s="39"/>
      <c r="U424" s="39"/>
      <c r="V424" s="39"/>
      <c r="W424" s="39"/>
      <c r="X424" s="39"/>
      <c r="Y424" s="39"/>
      <c r="Z424" s="39"/>
      <c r="AA424" s="39"/>
      <c r="AB424" s="39"/>
      <c r="AC424" s="39"/>
      <c r="AD424" s="39"/>
      <c r="AE424" s="39"/>
      <c r="AF424" s="39"/>
      <c r="AG424" s="39"/>
      <c r="AH424" s="39"/>
    </row>
    <row r="425" spans="1:34" s="38" customFormat="1" x14ac:dyDescent="0.25">
      <c r="A425" s="39"/>
      <c r="B425" s="58"/>
      <c r="C425" s="58"/>
      <c r="D425" s="59"/>
      <c r="E425" s="39"/>
      <c r="F425" s="39"/>
      <c r="H425" s="39"/>
      <c r="I425" s="39"/>
      <c r="J425" s="39"/>
      <c r="K425" s="39"/>
      <c r="L425" s="39"/>
      <c r="M425" s="39"/>
      <c r="N425" s="39"/>
      <c r="O425" s="39"/>
      <c r="P425" s="39"/>
      <c r="Q425" s="39"/>
      <c r="R425" s="39"/>
      <c r="S425" s="39"/>
      <c r="T425" s="39"/>
      <c r="U425" s="39"/>
      <c r="V425" s="39"/>
      <c r="W425" s="39"/>
      <c r="X425" s="39"/>
      <c r="Y425" s="39"/>
      <c r="Z425" s="39"/>
      <c r="AA425" s="39"/>
      <c r="AB425" s="39"/>
      <c r="AC425" s="39"/>
      <c r="AD425" s="39"/>
      <c r="AE425" s="39"/>
      <c r="AF425" s="39"/>
      <c r="AG425" s="39"/>
      <c r="AH425" s="39"/>
    </row>
    <row r="426" spans="1:34" s="38" customFormat="1" x14ac:dyDescent="0.25">
      <c r="A426" s="39"/>
      <c r="B426" s="58"/>
      <c r="C426" s="58"/>
      <c r="D426" s="59"/>
      <c r="E426" s="39"/>
      <c r="F426" s="39"/>
      <c r="H426" s="39"/>
      <c r="I426" s="39"/>
      <c r="J426" s="39"/>
      <c r="K426" s="39"/>
      <c r="L426" s="39"/>
      <c r="M426" s="39"/>
      <c r="N426" s="39"/>
      <c r="O426" s="39"/>
      <c r="P426" s="39"/>
      <c r="Q426" s="39"/>
      <c r="R426" s="39"/>
      <c r="S426" s="39"/>
      <c r="T426" s="39"/>
      <c r="U426" s="39"/>
      <c r="V426" s="39"/>
      <c r="W426" s="39"/>
      <c r="X426" s="39"/>
      <c r="Y426" s="39"/>
      <c r="Z426" s="39"/>
      <c r="AA426" s="39"/>
      <c r="AB426" s="39"/>
      <c r="AC426" s="39"/>
      <c r="AD426" s="39"/>
      <c r="AE426" s="39"/>
      <c r="AF426" s="39"/>
      <c r="AG426" s="39"/>
      <c r="AH426" s="39"/>
    </row>
    <row r="427" spans="1:34" s="38" customFormat="1" x14ac:dyDescent="0.25">
      <c r="A427" s="39"/>
      <c r="B427" s="58"/>
      <c r="C427" s="58"/>
      <c r="D427" s="59"/>
      <c r="E427" s="39"/>
      <c r="F427" s="39"/>
      <c r="H427" s="39"/>
      <c r="I427" s="39"/>
      <c r="J427" s="39"/>
      <c r="K427" s="39"/>
      <c r="L427" s="39"/>
      <c r="M427" s="39"/>
      <c r="N427" s="39"/>
      <c r="O427" s="39"/>
      <c r="P427" s="39"/>
      <c r="Q427" s="39"/>
      <c r="R427" s="39"/>
      <c r="S427" s="39"/>
      <c r="T427" s="39"/>
      <c r="U427" s="39"/>
      <c r="V427" s="39"/>
      <c r="W427" s="39"/>
      <c r="X427" s="39"/>
      <c r="Y427" s="39"/>
      <c r="Z427" s="39"/>
      <c r="AA427" s="39"/>
      <c r="AB427" s="39"/>
      <c r="AC427" s="39"/>
      <c r="AD427" s="39"/>
      <c r="AE427" s="39"/>
      <c r="AF427" s="39"/>
      <c r="AG427" s="39"/>
      <c r="AH427" s="39"/>
    </row>
    <row r="428" spans="1:34" s="38" customFormat="1" x14ac:dyDescent="0.25">
      <c r="A428" s="39"/>
      <c r="B428" s="58"/>
      <c r="C428" s="58"/>
      <c r="D428" s="59"/>
      <c r="E428" s="39"/>
      <c r="F428" s="39"/>
      <c r="H428" s="39"/>
      <c r="I428" s="39"/>
      <c r="J428" s="39"/>
      <c r="K428" s="39"/>
      <c r="L428" s="39"/>
      <c r="M428" s="39"/>
      <c r="N428" s="39"/>
      <c r="O428" s="39"/>
      <c r="P428" s="39"/>
      <c r="Q428" s="39"/>
      <c r="R428" s="39"/>
      <c r="S428" s="39"/>
      <c r="T428" s="39"/>
      <c r="U428" s="39"/>
      <c r="V428" s="39"/>
      <c r="W428" s="39"/>
      <c r="X428" s="39"/>
      <c r="Y428" s="39"/>
      <c r="Z428" s="39"/>
      <c r="AA428" s="39"/>
      <c r="AB428" s="39"/>
      <c r="AC428" s="39"/>
      <c r="AD428" s="39"/>
      <c r="AE428" s="39"/>
      <c r="AF428" s="39"/>
      <c r="AG428" s="39"/>
      <c r="AH428" s="39"/>
    </row>
    <row r="429" spans="1:34" s="38" customFormat="1" x14ac:dyDescent="0.25">
      <c r="A429" s="39"/>
      <c r="B429" s="58"/>
      <c r="C429" s="58"/>
      <c r="D429" s="59"/>
      <c r="E429" s="39"/>
      <c r="F429" s="39"/>
      <c r="H429" s="39"/>
      <c r="I429" s="39"/>
      <c r="J429" s="39"/>
      <c r="K429" s="39"/>
      <c r="L429" s="39"/>
      <c r="M429" s="39"/>
      <c r="N429" s="39"/>
      <c r="O429" s="39"/>
      <c r="P429" s="39"/>
      <c r="Q429" s="39"/>
      <c r="R429" s="39"/>
      <c r="S429" s="39"/>
      <c r="T429" s="39"/>
      <c r="U429" s="39"/>
      <c r="V429" s="39"/>
      <c r="W429" s="39"/>
      <c r="X429" s="39"/>
      <c r="Y429" s="39"/>
      <c r="Z429" s="39"/>
      <c r="AA429" s="39"/>
      <c r="AB429" s="39"/>
      <c r="AC429" s="39"/>
      <c r="AD429" s="39"/>
      <c r="AE429" s="39"/>
      <c r="AF429" s="39"/>
      <c r="AG429" s="39"/>
      <c r="AH429" s="39"/>
    </row>
    <row r="430" spans="1:34" s="38" customFormat="1" x14ac:dyDescent="0.25">
      <c r="A430" s="39"/>
      <c r="B430" s="58"/>
      <c r="C430" s="58"/>
      <c r="D430" s="59"/>
      <c r="E430" s="39"/>
      <c r="F430" s="39"/>
      <c r="H430" s="39"/>
      <c r="I430" s="39"/>
      <c r="J430" s="39"/>
      <c r="K430" s="39"/>
      <c r="L430" s="39"/>
      <c r="M430" s="39"/>
      <c r="N430" s="39"/>
      <c r="O430" s="39"/>
      <c r="P430" s="39"/>
      <c r="Q430" s="39"/>
      <c r="R430" s="39"/>
      <c r="S430" s="39"/>
      <c r="T430" s="39"/>
      <c r="U430" s="39"/>
      <c r="V430" s="39"/>
      <c r="W430" s="39"/>
      <c r="X430" s="39"/>
      <c r="Y430" s="39"/>
      <c r="Z430" s="39"/>
      <c r="AA430" s="39"/>
      <c r="AB430" s="39"/>
      <c r="AC430" s="39"/>
      <c r="AD430" s="39"/>
      <c r="AE430" s="39"/>
      <c r="AF430" s="39"/>
      <c r="AG430" s="39"/>
      <c r="AH430" s="39"/>
    </row>
    <row r="431" spans="1:34" s="38" customFormat="1" x14ac:dyDescent="0.25">
      <c r="A431" s="39"/>
      <c r="B431" s="58"/>
      <c r="C431" s="58"/>
      <c r="D431" s="59"/>
      <c r="E431" s="39"/>
      <c r="F431" s="39"/>
      <c r="H431" s="39"/>
      <c r="I431" s="39"/>
      <c r="J431" s="39"/>
      <c r="K431" s="39"/>
      <c r="L431" s="39"/>
      <c r="M431" s="39"/>
      <c r="N431" s="39"/>
      <c r="O431" s="39"/>
      <c r="P431" s="39"/>
      <c r="Q431" s="39"/>
      <c r="R431" s="39"/>
      <c r="S431" s="39"/>
      <c r="T431" s="39"/>
      <c r="U431" s="39"/>
      <c r="V431" s="39"/>
      <c r="W431" s="39"/>
      <c r="X431" s="39"/>
      <c r="Y431" s="39"/>
      <c r="Z431" s="39"/>
      <c r="AA431" s="39"/>
      <c r="AB431" s="39"/>
      <c r="AC431" s="39"/>
      <c r="AD431" s="39"/>
      <c r="AE431" s="39"/>
      <c r="AF431" s="39"/>
      <c r="AG431" s="39"/>
      <c r="AH431" s="39"/>
    </row>
    <row r="432" spans="1:34" s="38" customFormat="1" x14ac:dyDescent="0.25">
      <c r="A432" s="39"/>
      <c r="B432" s="58"/>
      <c r="C432" s="58"/>
      <c r="D432" s="59"/>
      <c r="E432" s="39"/>
      <c r="F432" s="39"/>
      <c r="H432" s="39"/>
      <c r="I432" s="39"/>
      <c r="J432" s="39"/>
      <c r="K432" s="39"/>
      <c r="L432" s="39"/>
      <c r="M432" s="39"/>
      <c r="N432" s="39"/>
      <c r="O432" s="39"/>
      <c r="P432" s="39"/>
      <c r="Q432" s="39"/>
      <c r="R432" s="39"/>
      <c r="S432" s="39"/>
      <c r="T432" s="39"/>
      <c r="U432" s="39"/>
      <c r="V432" s="39"/>
      <c r="W432" s="39"/>
      <c r="X432" s="39"/>
      <c r="Y432" s="39"/>
      <c r="Z432" s="39"/>
      <c r="AA432" s="39"/>
      <c r="AB432" s="39"/>
      <c r="AC432" s="39"/>
      <c r="AD432" s="39"/>
      <c r="AE432" s="39"/>
      <c r="AF432" s="39"/>
      <c r="AG432" s="39"/>
      <c r="AH432" s="39"/>
    </row>
    <row r="433" spans="1:34" s="38" customFormat="1" x14ac:dyDescent="0.25">
      <c r="A433" s="39"/>
      <c r="B433" s="58"/>
      <c r="C433" s="58"/>
      <c r="D433" s="59"/>
      <c r="E433" s="39"/>
      <c r="F433" s="39"/>
      <c r="H433" s="39"/>
      <c r="I433" s="39"/>
      <c r="J433" s="39"/>
      <c r="K433" s="39"/>
      <c r="L433" s="39"/>
      <c r="M433" s="39"/>
      <c r="N433" s="39"/>
      <c r="O433" s="39"/>
      <c r="P433" s="39"/>
      <c r="Q433" s="39"/>
      <c r="R433" s="39"/>
      <c r="S433" s="39"/>
      <c r="T433" s="39"/>
      <c r="U433" s="39"/>
      <c r="V433" s="39"/>
      <c r="W433" s="39"/>
      <c r="X433" s="39"/>
      <c r="Y433" s="39"/>
      <c r="Z433" s="39"/>
      <c r="AA433" s="39"/>
      <c r="AB433" s="39"/>
      <c r="AC433" s="39"/>
      <c r="AD433" s="39"/>
      <c r="AE433" s="39"/>
      <c r="AF433" s="39"/>
      <c r="AG433" s="39"/>
      <c r="AH433" s="39"/>
    </row>
    <row r="434" spans="1:34" s="38" customFormat="1" x14ac:dyDescent="0.25">
      <c r="A434" s="39"/>
      <c r="B434" s="58"/>
      <c r="C434" s="58"/>
      <c r="D434" s="59"/>
      <c r="E434" s="39"/>
      <c r="F434" s="39"/>
      <c r="H434" s="39"/>
      <c r="I434" s="39"/>
      <c r="J434" s="39"/>
      <c r="K434" s="39"/>
      <c r="L434" s="39"/>
      <c r="M434" s="39"/>
      <c r="N434" s="39"/>
      <c r="O434" s="39"/>
      <c r="P434" s="39"/>
      <c r="Q434" s="39"/>
      <c r="R434" s="39"/>
      <c r="S434" s="39"/>
      <c r="T434" s="39"/>
      <c r="U434" s="39"/>
      <c r="V434" s="39"/>
      <c r="W434" s="39"/>
      <c r="X434" s="39"/>
      <c r="Y434" s="39"/>
      <c r="Z434" s="39"/>
      <c r="AA434" s="39"/>
      <c r="AB434" s="39"/>
      <c r="AC434" s="39"/>
      <c r="AD434" s="39"/>
      <c r="AE434" s="39"/>
      <c r="AF434" s="39"/>
      <c r="AG434" s="39"/>
      <c r="AH434" s="39"/>
    </row>
    <row r="435" spans="1:34" s="38" customFormat="1" x14ac:dyDescent="0.25">
      <c r="A435" s="39"/>
      <c r="B435" s="58"/>
      <c r="C435" s="58"/>
      <c r="D435" s="59"/>
      <c r="E435" s="59"/>
      <c r="F435" s="59"/>
      <c r="H435" s="39"/>
      <c r="I435" s="39"/>
      <c r="J435" s="39"/>
      <c r="K435" s="39"/>
      <c r="L435" s="39"/>
      <c r="M435" s="39"/>
      <c r="N435" s="39"/>
      <c r="O435" s="39"/>
      <c r="P435" s="39"/>
      <c r="Q435" s="39"/>
      <c r="R435" s="39"/>
      <c r="S435" s="39"/>
      <c r="T435" s="39"/>
      <c r="U435" s="39"/>
      <c r="V435" s="39"/>
      <c r="W435" s="39"/>
      <c r="X435" s="39"/>
      <c r="Y435" s="39"/>
      <c r="Z435" s="39"/>
      <c r="AA435" s="39"/>
      <c r="AB435" s="39"/>
      <c r="AC435" s="39"/>
      <c r="AD435" s="39"/>
      <c r="AE435" s="39"/>
      <c r="AF435" s="39"/>
      <c r="AG435" s="39"/>
      <c r="AH435" s="39"/>
    </row>
    <row r="436" spans="1:34" s="38" customFormat="1" x14ac:dyDescent="0.25">
      <c r="A436" s="39"/>
      <c r="B436" s="58"/>
      <c r="C436" s="58"/>
      <c r="D436" s="59"/>
      <c r="E436" s="59"/>
      <c r="F436" s="59"/>
      <c r="H436" s="39"/>
      <c r="I436" s="39"/>
      <c r="J436" s="39"/>
      <c r="K436" s="39"/>
      <c r="L436" s="39"/>
      <c r="M436" s="39"/>
      <c r="N436" s="39"/>
      <c r="O436" s="39"/>
      <c r="P436" s="39"/>
      <c r="Q436" s="39"/>
      <c r="R436" s="39"/>
      <c r="S436" s="39"/>
      <c r="T436" s="39"/>
      <c r="U436" s="39"/>
      <c r="V436" s="39"/>
      <c r="W436" s="39"/>
      <c r="X436" s="39"/>
      <c r="Y436" s="39"/>
      <c r="Z436" s="39"/>
      <c r="AA436" s="39"/>
      <c r="AB436" s="39"/>
      <c r="AC436" s="39"/>
      <c r="AD436" s="39"/>
      <c r="AE436" s="39"/>
      <c r="AF436" s="39"/>
      <c r="AG436" s="39"/>
      <c r="AH436" s="39"/>
    </row>
    <row r="437" spans="1:34" s="38" customFormat="1" x14ac:dyDescent="0.25">
      <c r="A437" s="39"/>
      <c r="B437" s="58"/>
      <c r="C437" s="58"/>
      <c r="D437" s="59"/>
      <c r="E437" s="59"/>
      <c r="F437" s="59"/>
      <c r="H437" s="39"/>
      <c r="I437" s="39"/>
      <c r="J437" s="39"/>
      <c r="K437" s="39"/>
      <c r="L437" s="39"/>
      <c r="M437" s="39"/>
      <c r="N437" s="39"/>
      <c r="O437" s="39"/>
      <c r="P437" s="39"/>
      <c r="Q437" s="39"/>
      <c r="R437" s="39"/>
      <c r="S437" s="39"/>
      <c r="T437" s="39"/>
      <c r="U437" s="39"/>
      <c r="V437" s="39"/>
      <c r="W437" s="39"/>
      <c r="X437" s="39"/>
      <c r="Y437" s="39"/>
      <c r="Z437" s="39"/>
      <c r="AA437" s="39"/>
      <c r="AB437" s="39"/>
      <c r="AC437" s="39"/>
      <c r="AD437" s="39"/>
      <c r="AE437" s="39"/>
      <c r="AF437" s="39"/>
      <c r="AG437" s="39"/>
      <c r="AH437" s="39"/>
    </row>
    <row r="438" spans="1:34" s="38" customFormat="1" x14ac:dyDescent="0.25">
      <c r="A438" s="39"/>
      <c r="B438" s="58"/>
      <c r="C438" s="58"/>
      <c r="D438" s="59"/>
      <c r="E438" s="59"/>
      <c r="F438" s="59"/>
      <c r="H438" s="39"/>
      <c r="I438" s="39"/>
      <c r="J438" s="39"/>
      <c r="K438" s="39"/>
      <c r="L438" s="39"/>
      <c r="M438" s="39"/>
      <c r="N438" s="39"/>
      <c r="O438" s="39"/>
      <c r="P438" s="39"/>
      <c r="Q438" s="39"/>
      <c r="R438" s="39"/>
      <c r="S438" s="39"/>
      <c r="T438" s="39"/>
      <c r="U438" s="39"/>
      <c r="V438" s="39"/>
      <c r="W438" s="39"/>
      <c r="X438" s="39"/>
      <c r="Y438" s="39"/>
      <c r="Z438" s="39"/>
      <c r="AA438" s="39"/>
      <c r="AB438" s="39"/>
      <c r="AC438" s="39"/>
      <c r="AD438" s="39"/>
      <c r="AE438" s="39"/>
      <c r="AF438" s="39"/>
      <c r="AG438" s="39"/>
      <c r="AH438" s="39"/>
    </row>
    <row r="439" spans="1:34" s="38" customFormat="1" x14ac:dyDescent="0.25">
      <c r="A439" s="39"/>
      <c r="B439" s="58"/>
      <c r="C439" s="58"/>
      <c r="D439" s="59"/>
      <c r="E439" s="59"/>
      <c r="F439" s="59"/>
      <c r="H439" s="39"/>
      <c r="I439" s="39"/>
      <c r="J439" s="39"/>
      <c r="K439" s="39"/>
      <c r="L439" s="39"/>
      <c r="M439" s="39"/>
      <c r="N439" s="39"/>
      <c r="O439" s="39"/>
      <c r="P439" s="39"/>
      <c r="Q439" s="39"/>
      <c r="R439" s="39"/>
      <c r="S439" s="39"/>
      <c r="T439" s="39"/>
      <c r="U439" s="39"/>
      <c r="V439" s="39"/>
      <c r="W439" s="39"/>
      <c r="X439" s="39"/>
      <c r="Y439" s="39"/>
      <c r="Z439" s="39"/>
      <c r="AA439" s="39"/>
      <c r="AB439" s="39"/>
      <c r="AC439" s="39"/>
      <c r="AD439" s="39"/>
      <c r="AE439" s="39"/>
      <c r="AF439" s="39"/>
      <c r="AG439" s="39"/>
      <c r="AH439" s="39"/>
    </row>
    <row r="440" spans="1:34" s="38" customFormat="1" x14ac:dyDescent="0.25">
      <c r="A440" s="39"/>
      <c r="B440" s="58"/>
      <c r="C440" s="58"/>
      <c r="D440" s="59"/>
      <c r="E440" s="59"/>
      <c r="F440" s="59"/>
      <c r="H440" s="39"/>
      <c r="I440" s="39"/>
      <c r="J440" s="39"/>
      <c r="K440" s="39"/>
      <c r="L440" s="39"/>
      <c r="M440" s="39"/>
      <c r="N440" s="39"/>
      <c r="O440" s="39"/>
      <c r="P440" s="39"/>
      <c r="Q440" s="39"/>
      <c r="R440" s="39"/>
      <c r="S440" s="39"/>
      <c r="T440" s="39"/>
      <c r="U440" s="39"/>
      <c r="V440" s="39"/>
      <c r="W440" s="39"/>
      <c r="X440" s="39"/>
      <c r="Y440" s="39"/>
      <c r="Z440" s="39"/>
      <c r="AA440" s="39"/>
      <c r="AB440" s="39"/>
      <c r="AC440" s="39"/>
      <c r="AD440" s="39"/>
      <c r="AE440" s="39"/>
      <c r="AF440" s="39"/>
      <c r="AG440" s="39"/>
      <c r="AH440" s="39"/>
    </row>
    <row r="441" spans="1:34" s="38" customFormat="1" x14ac:dyDescent="0.25">
      <c r="A441" s="39"/>
      <c r="B441" s="58"/>
      <c r="C441" s="58"/>
      <c r="D441" s="59"/>
      <c r="E441" s="59"/>
      <c r="F441" s="59"/>
      <c r="H441" s="39"/>
      <c r="I441" s="39"/>
      <c r="J441" s="39"/>
      <c r="K441" s="39"/>
      <c r="L441" s="39"/>
      <c r="M441" s="39"/>
      <c r="N441" s="39"/>
      <c r="O441" s="39"/>
      <c r="P441" s="39"/>
      <c r="Q441" s="39"/>
      <c r="R441" s="39"/>
      <c r="S441" s="39"/>
      <c r="T441" s="39"/>
      <c r="U441" s="39"/>
      <c r="V441" s="39"/>
      <c r="W441" s="39"/>
      <c r="X441" s="39"/>
      <c r="Y441" s="39"/>
      <c r="Z441" s="39"/>
      <c r="AA441" s="39"/>
      <c r="AB441" s="39"/>
      <c r="AC441" s="39"/>
      <c r="AD441" s="39"/>
      <c r="AE441" s="39"/>
      <c r="AF441" s="39"/>
      <c r="AG441" s="39"/>
      <c r="AH441" s="39"/>
    </row>
    <row r="442" spans="1:34" s="38" customFormat="1" x14ac:dyDescent="0.25">
      <c r="A442" s="39"/>
      <c r="B442" s="58"/>
      <c r="C442" s="58"/>
      <c r="D442" s="59"/>
      <c r="E442" s="59"/>
      <c r="F442" s="59"/>
      <c r="H442" s="39"/>
      <c r="I442" s="39"/>
      <c r="J442" s="39"/>
      <c r="K442" s="39"/>
      <c r="L442" s="39"/>
      <c r="M442" s="39"/>
      <c r="N442" s="39"/>
      <c r="O442" s="39"/>
      <c r="P442" s="39"/>
      <c r="Q442" s="39"/>
      <c r="R442" s="39"/>
      <c r="S442" s="39"/>
      <c r="T442" s="39"/>
      <c r="U442" s="39"/>
      <c r="V442" s="39"/>
      <c r="W442" s="39"/>
      <c r="X442" s="39"/>
      <c r="Y442" s="39"/>
      <c r="Z442" s="39"/>
      <c r="AA442" s="39"/>
      <c r="AB442" s="39"/>
      <c r="AC442" s="39"/>
      <c r="AD442" s="39"/>
      <c r="AE442" s="39"/>
      <c r="AF442" s="39"/>
      <c r="AG442" s="39"/>
      <c r="AH442" s="39"/>
    </row>
    <row r="443" spans="1:34" s="38" customFormat="1" x14ac:dyDescent="0.25">
      <c r="A443" s="39"/>
      <c r="B443" s="58"/>
      <c r="C443" s="58"/>
      <c r="D443" s="59"/>
      <c r="E443" s="59"/>
      <c r="F443" s="59"/>
      <c r="H443" s="39"/>
      <c r="I443" s="39"/>
      <c r="J443" s="39"/>
      <c r="K443" s="39"/>
      <c r="L443" s="39"/>
      <c r="M443" s="39"/>
      <c r="N443" s="39"/>
      <c r="O443" s="39"/>
      <c r="P443" s="39"/>
      <c r="Q443" s="39"/>
      <c r="R443" s="39"/>
      <c r="S443" s="39"/>
      <c r="T443" s="39"/>
      <c r="U443" s="39"/>
      <c r="V443" s="39"/>
      <c r="W443" s="39"/>
      <c r="X443" s="39"/>
      <c r="Y443" s="39"/>
      <c r="Z443" s="39"/>
      <c r="AA443" s="39"/>
      <c r="AB443" s="39"/>
      <c r="AC443" s="39"/>
      <c r="AD443" s="39"/>
      <c r="AE443" s="39"/>
      <c r="AF443" s="39"/>
      <c r="AG443" s="39"/>
      <c r="AH443" s="39"/>
    </row>
    <row r="444" spans="1:34" s="38" customFormat="1" x14ac:dyDescent="0.25">
      <c r="A444" s="39"/>
      <c r="B444" s="58"/>
      <c r="C444" s="58"/>
      <c r="D444" s="59"/>
      <c r="E444" s="59"/>
      <c r="F444" s="59"/>
      <c r="H444" s="39"/>
      <c r="I444" s="39"/>
      <c r="J444" s="39"/>
      <c r="K444" s="39"/>
      <c r="L444" s="39"/>
      <c r="M444" s="39"/>
      <c r="N444" s="39"/>
      <c r="O444" s="39"/>
      <c r="P444" s="39"/>
      <c r="Q444" s="39"/>
      <c r="R444" s="39"/>
      <c r="S444" s="39"/>
      <c r="T444" s="39"/>
      <c r="U444" s="39"/>
      <c r="V444" s="39"/>
      <c r="W444" s="39"/>
      <c r="X444" s="39"/>
      <c r="Y444" s="39"/>
      <c r="Z444" s="39"/>
      <c r="AA444" s="39"/>
      <c r="AB444" s="39"/>
      <c r="AC444" s="39"/>
      <c r="AD444" s="39"/>
      <c r="AE444" s="39"/>
      <c r="AF444" s="39"/>
      <c r="AG444" s="39"/>
      <c r="AH444" s="39"/>
    </row>
    <row r="445" spans="1:34" s="38" customFormat="1" x14ac:dyDescent="0.25">
      <c r="A445" s="39"/>
      <c r="B445" s="58"/>
      <c r="C445" s="58"/>
      <c r="D445" s="59"/>
      <c r="E445" s="39"/>
      <c r="F445" s="39"/>
      <c r="H445" s="39"/>
      <c r="I445" s="39"/>
      <c r="J445" s="39"/>
      <c r="K445" s="39"/>
      <c r="L445" s="39"/>
      <c r="M445" s="39"/>
      <c r="N445" s="39"/>
      <c r="O445" s="39"/>
      <c r="P445" s="39"/>
      <c r="Q445" s="39"/>
      <c r="R445" s="39"/>
      <c r="S445" s="39"/>
      <c r="T445" s="39"/>
      <c r="U445" s="39"/>
      <c r="V445" s="39"/>
      <c r="W445" s="39"/>
      <c r="X445" s="39"/>
      <c r="Y445" s="39"/>
      <c r="Z445" s="39"/>
      <c r="AA445" s="39"/>
      <c r="AB445" s="39"/>
      <c r="AC445" s="39"/>
      <c r="AD445" s="39"/>
      <c r="AE445" s="39"/>
      <c r="AF445" s="39"/>
      <c r="AG445" s="39"/>
      <c r="AH445" s="39"/>
    </row>
    <row r="446" spans="1:34" s="38" customFormat="1" x14ac:dyDescent="0.25">
      <c r="A446" s="39"/>
      <c r="B446" s="58"/>
      <c r="C446" s="58"/>
      <c r="D446" s="59"/>
      <c r="E446" s="39"/>
      <c r="F446" s="39"/>
      <c r="H446" s="39"/>
      <c r="I446" s="39"/>
      <c r="J446" s="39"/>
      <c r="K446" s="39"/>
      <c r="L446" s="39"/>
      <c r="M446" s="39"/>
      <c r="N446" s="39"/>
      <c r="O446" s="39"/>
      <c r="P446" s="39"/>
      <c r="Q446" s="39"/>
      <c r="R446" s="39"/>
      <c r="S446" s="39"/>
      <c r="T446" s="39"/>
      <c r="U446" s="39"/>
      <c r="V446" s="39"/>
      <c r="W446" s="39"/>
      <c r="X446" s="39"/>
      <c r="Y446" s="39"/>
      <c r="Z446" s="39"/>
      <c r="AA446" s="39"/>
      <c r="AB446" s="39"/>
      <c r="AC446" s="39"/>
      <c r="AD446" s="39"/>
      <c r="AE446" s="39"/>
      <c r="AF446" s="39"/>
      <c r="AG446" s="39"/>
      <c r="AH446" s="39"/>
    </row>
    <row r="447" spans="1:34" s="38" customFormat="1" x14ac:dyDescent="0.25">
      <c r="A447" s="39"/>
      <c r="B447" s="58"/>
      <c r="C447" s="58"/>
      <c r="D447" s="59"/>
      <c r="E447" s="39"/>
      <c r="F447" s="39"/>
      <c r="H447" s="39"/>
      <c r="I447" s="39"/>
      <c r="J447" s="39"/>
      <c r="K447" s="39"/>
      <c r="L447" s="39"/>
      <c r="M447" s="39"/>
      <c r="N447" s="39"/>
      <c r="O447" s="39"/>
      <c r="P447" s="39"/>
      <c r="Q447" s="39"/>
      <c r="R447" s="39"/>
      <c r="S447" s="39"/>
      <c r="T447" s="39"/>
      <c r="U447" s="39"/>
      <c r="V447" s="39"/>
      <c r="W447" s="39"/>
      <c r="X447" s="39"/>
      <c r="Y447" s="39"/>
      <c r="Z447" s="39"/>
      <c r="AA447" s="39"/>
      <c r="AB447" s="39"/>
      <c r="AC447" s="39"/>
      <c r="AD447" s="39"/>
      <c r="AE447" s="39"/>
      <c r="AF447" s="39"/>
      <c r="AG447" s="39"/>
      <c r="AH447" s="39"/>
    </row>
    <row r="448" spans="1:34" s="38" customFormat="1" x14ac:dyDescent="0.25">
      <c r="A448" s="39"/>
      <c r="B448" s="58"/>
      <c r="C448" s="58"/>
      <c r="D448" s="59"/>
      <c r="E448" s="39"/>
      <c r="F448" s="39"/>
      <c r="H448" s="39"/>
      <c r="I448" s="39"/>
      <c r="J448" s="39"/>
      <c r="K448" s="39"/>
      <c r="L448" s="39"/>
      <c r="M448" s="39"/>
      <c r="N448" s="39"/>
      <c r="O448" s="39"/>
      <c r="P448" s="39"/>
      <c r="Q448" s="39"/>
      <c r="R448" s="39"/>
      <c r="S448" s="39"/>
      <c r="T448" s="39"/>
      <c r="U448" s="39"/>
      <c r="V448" s="39"/>
      <c r="W448" s="39"/>
      <c r="X448" s="39"/>
      <c r="Y448" s="39"/>
      <c r="Z448" s="39"/>
      <c r="AA448" s="39"/>
      <c r="AB448" s="39"/>
      <c r="AC448" s="39"/>
      <c r="AD448" s="39"/>
      <c r="AE448" s="39"/>
      <c r="AF448" s="39"/>
      <c r="AG448" s="39"/>
      <c r="AH448" s="39"/>
    </row>
    <row r="449" spans="1:34" s="38" customFormat="1" x14ac:dyDescent="0.25">
      <c r="A449" s="39"/>
      <c r="B449" s="58"/>
      <c r="C449" s="58"/>
      <c r="D449" s="59"/>
      <c r="E449" s="39"/>
      <c r="F449" s="39"/>
      <c r="H449" s="39"/>
      <c r="I449" s="39"/>
      <c r="J449" s="39"/>
      <c r="K449" s="39"/>
      <c r="L449" s="39"/>
      <c r="M449" s="39"/>
      <c r="N449" s="39"/>
      <c r="O449" s="39"/>
      <c r="P449" s="39"/>
      <c r="Q449" s="39"/>
      <c r="R449" s="39"/>
      <c r="S449" s="39"/>
      <c r="T449" s="39"/>
      <c r="U449" s="39"/>
      <c r="V449" s="39"/>
      <c r="W449" s="39"/>
      <c r="X449" s="39"/>
      <c r="Y449" s="39"/>
      <c r="Z449" s="39"/>
      <c r="AA449" s="39"/>
      <c r="AB449" s="39"/>
      <c r="AC449" s="39"/>
      <c r="AD449" s="39"/>
      <c r="AE449" s="39"/>
      <c r="AF449" s="39"/>
      <c r="AG449" s="39"/>
      <c r="AH449" s="39"/>
    </row>
    <row r="450" spans="1:34" s="38" customFormat="1" x14ac:dyDescent="0.25">
      <c r="A450" s="39"/>
      <c r="B450" s="58"/>
      <c r="C450" s="58"/>
      <c r="D450" s="59"/>
      <c r="E450" s="39"/>
      <c r="F450" s="39"/>
      <c r="H450" s="39"/>
      <c r="I450" s="39"/>
      <c r="J450" s="39"/>
      <c r="K450" s="39"/>
      <c r="L450" s="39"/>
      <c r="M450" s="39"/>
      <c r="N450" s="39"/>
      <c r="O450" s="39"/>
      <c r="P450" s="39"/>
      <c r="Q450" s="39"/>
      <c r="R450" s="39"/>
      <c r="S450" s="39"/>
      <c r="T450" s="39"/>
      <c r="U450" s="39"/>
      <c r="V450" s="39"/>
      <c r="W450" s="39"/>
      <c r="X450" s="39"/>
      <c r="Y450" s="39"/>
      <c r="Z450" s="39"/>
      <c r="AA450" s="39"/>
      <c r="AB450" s="39"/>
      <c r="AC450" s="39"/>
      <c r="AD450" s="39"/>
      <c r="AE450" s="39"/>
      <c r="AF450" s="39"/>
      <c r="AG450" s="39"/>
      <c r="AH450" s="39"/>
    </row>
    <row r="451" spans="1:34" s="38" customFormat="1" x14ac:dyDescent="0.25">
      <c r="A451" s="39"/>
      <c r="B451" s="58"/>
      <c r="C451" s="58"/>
      <c r="D451" s="59"/>
      <c r="E451" s="39"/>
      <c r="F451" s="39"/>
      <c r="H451" s="39"/>
      <c r="I451" s="39"/>
      <c r="J451" s="39"/>
      <c r="K451" s="39"/>
      <c r="L451" s="39"/>
      <c r="M451" s="39"/>
      <c r="N451" s="39"/>
      <c r="O451" s="39"/>
      <c r="P451" s="39"/>
      <c r="Q451" s="39"/>
      <c r="R451" s="39"/>
      <c r="S451" s="39"/>
      <c r="T451" s="39"/>
      <c r="U451" s="39"/>
      <c r="V451" s="39"/>
      <c r="W451" s="39"/>
      <c r="X451" s="39"/>
      <c r="Y451" s="39"/>
      <c r="Z451" s="39"/>
      <c r="AA451" s="39"/>
      <c r="AB451" s="39"/>
      <c r="AC451" s="39"/>
      <c r="AD451" s="39"/>
      <c r="AE451" s="39"/>
      <c r="AF451" s="39"/>
      <c r="AG451" s="39"/>
      <c r="AH451" s="39"/>
    </row>
    <row r="452" spans="1:34" s="38" customFormat="1" x14ac:dyDescent="0.25">
      <c r="A452" s="39"/>
      <c r="B452" s="58"/>
      <c r="C452" s="58"/>
      <c r="D452" s="59"/>
      <c r="E452" s="39"/>
      <c r="F452" s="39"/>
      <c r="H452" s="39"/>
      <c r="I452" s="39"/>
      <c r="J452" s="39"/>
      <c r="K452" s="39"/>
      <c r="L452" s="39"/>
      <c r="M452" s="39"/>
      <c r="N452" s="39"/>
      <c r="O452" s="39"/>
      <c r="P452" s="39"/>
      <c r="Q452" s="39"/>
      <c r="R452" s="39"/>
      <c r="S452" s="39"/>
      <c r="T452" s="39"/>
      <c r="U452" s="39"/>
      <c r="V452" s="39"/>
      <c r="W452" s="39"/>
      <c r="X452" s="39"/>
      <c r="Y452" s="39"/>
      <c r="Z452" s="39"/>
      <c r="AA452" s="39"/>
      <c r="AB452" s="39"/>
      <c r="AC452" s="39"/>
      <c r="AD452" s="39"/>
      <c r="AE452" s="39"/>
      <c r="AF452" s="39"/>
      <c r="AG452" s="39"/>
      <c r="AH452" s="39"/>
    </row>
    <row r="453" spans="1:34" s="38" customFormat="1" x14ac:dyDescent="0.25">
      <c r="A453" s="39"/>
      <c r="B453" s="58"/>
      <c r="C453" s="58"/>
      <c r="D453" s="59"/>
      <c r="E453" s="39"/>
      <c r="F453" s="39"/>
      <c r="H453" s="39"/>
      <c r="I453" s="39"/>
      <c r="J453" s="39"/>
      <c r="K453" s="39"/>
      <c r="L453" s="39"/>
      <c r="M453" s="39"/>
      <c r="N453" s="39"/>
      <c r="O453" s="39"/>
      <c r="P453" s="39"/>
      <c r="Q453" s="39"/>
      <c r="R453" s="39"/>
      <c r="S453" s="39"/>
      <c r="T453" s="39"/>
      <c r="U453" s="39"/>
      <c r="V453" s="39"/>
      <c r="W453" s="39"/>
      <c r="X453" s="39"/>
      <c r="Y453" s="39"/>
      <c r="Z453" s="39"/>
      <c r="AA453" s="39"/>
      <c r="AB453" s="39"/>
      <c r="AC453" s="39"/>
      <c r="AD453" s="39"/>
      <c r="AE453" s="39"/>
      <c r="AF453" s="39"/>
      <c r="AG453" s="39"/>
      <c r="AH453" s="39"/>
    </row>
    <row r="454" spans="1:34" s="38" customFormat="1" x14ac:dyDescent="0.25">
      <c r="A454" s="39"/>
      <c r="B454" s="58"/>
      <c r="C454" s="58"/>
      <c r="D454" s="59"/>
      <c r="E454" s="39"/>
      <c r="F454" s="39"/>
      <c r="H454" s="39"/>
      <c r="I454" s="39"/>
      <c r="J454" s="39"/>
      <c r="K454" s="39"/>
      <c r="L454" s="39"/>
      <c r="M454" s="39"/>
      <c r="N454" s="39"/>
      <c r="O454" s="39"/>
      <c r="P454" s="39"/>
      <c r="Q454" s="39"/>
      <c r="R454" s="39"/>
      <c r="S454" s="39"/>
      <c r="T454" s="39"/>
      <c r="U454" s="39"/>
      <c r="V454" s="39"/>
      <c r="W454" s="39"/>
      <c r="X454" s="39"/>
      <c r="Y454" s="39"/>
      <c r="Z454" s="39"/>
      <c r="AA454" s="39"/>
      <c r="AB454" s="39"/>
      <c r="AC454" s="39"/>
      <c r="AD454" s="39"/>
      <c r="AE454" s="39"/>
      <c r="AF454" s="39"/>
      <c r="AG454" s="39"/>
      <c r="AH454" s="39"/>
    </row>
    <row r="455" spans="1:34" s="38" customFormat="1" x14ac:dyDescent="0.25">
      <c r="A455" s="39"/>
      <c r="B455" s="58"/>
      <c r="C455" s="58"/>
      <c r="D455" s="59"/>
      <c r="E455" s="39"/>
      <c r="F455" s="39"/>
      <c r="H455" s="39"/>
      <c r="I455" s="39"/>
      <c r="J455" s="39"/>
      <c r="K455" s="39"/>
      <c r="L455" s="39"/>
      <c r="M455" s="39"/>
      <c r="N455" s="39"/>
      <c r="O455" s="39"/>
      <c r="P455" s="39"/>
      <c r="Q455" s="39"/>
      <c r="R455" s="39"/>
      <c r="S455" s="39"/>
      <c r="T455" s="39"/>
      <c r="U455" s="39"/>
      <c r="V455" s="39"/>
      <c r="W455" s="39"/>
      <c r="X455" s="39"/>
      <c r="Y455" s="39"/>
      <c r="Z455" s="39"/>
      <c r="AA455" s="39"/>
      <c r="AB455" s="39"/>
      <c r="AC455" s="39"/>
      <c r="AD455" s="39"/>
      <c r="AE455" s="39"/>
      <c r="AF455" s="39"/>
      <c r="AG455" s="39"/>
      <c r="AH455" s="39"/>
    </row>
    <row r="456" spans="1:34" s="38" customFormat="1" x14ac:dyDescent="0.25">
      <c r="A456" s="39"/>
      <c r="B456" s="58"/>
      <c r="C456" s="58"/>
      <c r="D456" s="59"/>
      <c r="E456" s="39"/>
      <c r="F456" s="39"/>
      <c r="H456" s="39"/>
      <c r="I456" s="39"/>
      <c r="J456" s="39"/>
      <c r="K456" s="39"/>
      <c r="L456" s="39"/>
      <c r="M456" s="39"/>
      <c r="N456" s="39"/>
      <c r="O456" s="39"/>
      <c r="P456" s="39"/>
      <c r="Q456" s="39"/>
      <c r="R456" s="39"/>
      <c r="S456" s="39"/>
      <c r="T456" s="39"/>
      <c r="U456" s="39"/>
      <c r="V456" s="39"/>
      <c r="W456" s="39"/>
      <c r="X456" s="39"/>
      <c r="Y456" s="39"/>
      <c r="Z456" s="39"/>
      <c r="AA456" s="39"/>
      <c r="AB456" s="39"/>
      <c r="AC456" s="39"/>
      <c r="AD456" s="39"/>
      <c r="AE456" s="39"/>
      <c r="AF456" s="39"/>
      <c r="AG456" s="39"/>
      <c r="AH456" s="39"/>
    </row>
    <row r="457" spans="1:34" s="38" customFormat="1" x14ac:dyDescent="0.25">
      <c r="A457" s="39"/>
      <c r="B457" s="58"/>
      <c r="C457" s="58"/>
      <c r="D457" s="59"/>
      <c r="E457" s="39"/>
      <c r="F457" s="39"/>
      <c r="H457" s="39"/>
      <c r="I457" s="39"/>
      <c r="J457" s="39"/>
      <c r="K457" s="39"/>
      <c r="L457" s="39"/>
      <c r="M457" s="39"/>
      <c r="N457" s="39"/>
      <c r="O457" s="39"/>
      <c r="P457" s="39"/>
      <c r="Q457" s="39"/>
      <c r="R457" s="39"/>
      <c r="S457" s="39"/>
      <c r="T457" s="39"/>
      <c r="U457" s="39"/>
      <c r="V457" s="39"/>
      <c r="W457" s="39"/>
      <c r="X457" s="39"/>
      <c r="Y457" s="39"/>
      <c r="Z457" s="39"/>
      <c r="AA457" s="39"/>
      <c r="AB457" s="39"/>
      <c r="AC457" s="39"/>
      <c r="AD457" s="39"/>
      <c r="AE457" s="39"/>
      <c r="AF457" s="39"/>
      <c r="AG457" s="39"/>
      <c r="AH457" s="39"/>
    </row>
    <row r="458" spans="1:34" s="38" customFormat="1" x14ac:dyDescent="0.25">
      <c r="A458" s="39"/>
      <c r="B458" s="58"/>
      <c r="C458" s="58"/>
      <c r="D458" s="59"/>
      <c r="E458" s="39"/>
      <c r="F458" s="39"/>
      <c r="H458" s="39"/>
      <c r="I458" s="39"/>
      <c r="J458" s="39"/>
      <c r="K458" s="39"/>
      <c r="L458" s="39"/>
      <c r="M458" s="39"/>
      <c r="N458" s="39"/>
      <c r="O458" s="39"/>
      <c r="P458" s="39"/>
      <c r="Q458" s="39"/>
      <c r="R458" s="39"/>
      <c r="S458" s="39"/>
      <c r="T458" s="39"/>
      <c r="U458" s="39"/>
      <c r="V458" s="39"/>
      <c r="W458" s="39"/>
      <c r="X458" s="39"/>
      <c r="Y458" s="39"/>
      <c r="Z458" s="39"/>
      <c r="AA458" s="39"/>
      <c r="AB458" s="39"/>
      <c r="AC458" s="39"/>
      <c r="AD458" s="39"/>
      <c r="AE458" s="39"/>
      <c r="AF458" s="39"/>
      <c r="AG458" s="39"/>
      <c r="AH458" s="39"/>
    </row>
    <row r="459" spans="1:34" s="38" customFormat="1" x14ac:dyDescent="0.25">
      <c r="A459" s="39"/>
      <c r="B459" s="58"/>
      <c r="C459" s="58"/>
      <c r="D459" s="59"/>
      <c r="E459" s="39"/>
      <c r="F459" s="39"/>
      <c r="H459" s="39"/>
      <c r="I459" s="39"/>
      <c r="J459" s="39"/>
      <c r="K459" s="39"/>
      <c r="L459" s="39"/>
      <c r="M459" s="39"/>
      <c r="N459" s="39"/>
      <c r="O459" s="39"/>
      <c r="P459" s="39"/>
      <c r="Q459" s="39"/>
      <c r="R459" s="39"/>
      <c r="S459" s="39"/>
      <c r="T459" s="39"/>
      <c r="U459" s="39"/>
      <c r="V459" s="39"/>
      <c r="W459" s="39"/>
      <c r="X459" s="39"/>
      <c r="Y459" s="39"/>
      <c r="Z459" s="39"/>
      <c r="AA459" s="39"/>
      <c r="AB459" s="39"/>
      <c r="AC459" s="39"/>
      <c r="AD459" s="39"/>
      <c r="AE459" s="39"/>
      <c r="AF459" s="39"/>
      <c r="AG459" s="39"/>
      <c r="AH459" s="39"/>
    </row>
    <row r="460" spans="1:34" s="38" customFormat="1" x14ac:dyDescent="0.25">
      <c r="A460" s="39"/>
      <c r="B460" s="58"/>
      <c r="C460" s="58"/>
      <c r="D460" s="59"/>
      <c r="E460" s="59"/>
      <c r="F460" s="59"/>
      <c r="H460" s="39"/>
      <c r="I460" s="39"/>
      <c r="J460" s="39"/>
      <c r="K460" s="39"/>
      <c r="L460" s="39"/>
      <c r="M460" s="39"/>
      <c r="N460" s="39"/>
      <c r="O460" s="39"/>
      <c r="P460" s="39"/>
      <c r="Q460" s="39"/>
      <c r="R460" s="39"/>
      <c r="S460" s="39"/>
      <c r="T460" s="39"/>
      <c r="U460" s="39"/>
      <c r="V460" s="39"/>
      <c r="W460" s="39"/>
      <c r="X460" s="39"/>
      <c r="Y460" s="39"/>
      <c r="Z460" s="39"/>
      <c r="AA460" s="39"/>
      <c r="AB460" s="39"/>
      <c r="AC460" s="39"/>
      <c r="AD460" s="39"/>
      <c r="AE460" s="39"/>
      <c r="AF460" s="39"/>
      <c r="AG460" s="39"/>
      <c r="AH460" s="39"/>
    </row>
    <row r="461" spans="1:34" s="38" customFormat="1" x14ac:dyDescent="0.25">
      <c r="A461" s="39"/>
      <c r="B461" s="58"/>
      <c r="C461" s="58"/>
      <c r="D461" s="59"/>
      <c r="E461" s="59"/>
      <c r="F461" s="59"/>
      <c r="H461" s="39"/>
      <c r="I461" s="39"/>
      <c r="J461" s="39"/>
      <c r="K461" s="39"/>
      <c r="L461" s="39"/>
      <c r="M461" s="39"/>
      <c r="N461" s="39"/>
      <c r="O461" s="39"/>
      <c r="P461" s="39"/>
      <c r="Q461" s="39"/>
      <c r="R461" s="39"/>
      <c r="S461" s="39"/>
      <c r="T461" s="39"/>
      <c r="U461" s="39"/>
      <c r="V461" s="39"/>
      <c r="W461" s="39"/>
      <c r="X461" s="39"/>
      <c r="Y461" s="39"/>
      <c r="Z461" s="39"/>
      <c r="AA461" s="39"/>
      <c r="AB461" s="39"/>
      <c r="AC461" s="39"/>
      <c r="AD461" s="39"/>
      <c r="AE461" s="39"/>
      <c r="AF461" s="39"/>
      <c r="AG461" s="39"/>
      <c r="AH461" s="39"/>
    </row>
    <row r="462" spans="1:34" s="38" customFormat="1" x14ac:dyDescent="0.25">
      <c r="A462" s="39"/>
      <c r="B462" s="58"/>
      <c r="C462" s="58"/>
      <c r="D462" s="59"/>
      <c r="E462" s="59"/>
      <c r="F462" s="59"/>
      <c r="H462" s="39"/>
      <c r="I462" s="39"/>
      <c r="J462" s="39"/>
      <c r="K462" s="39"/>
      <c r="L462" s="39"/>
      <c r="M462" s="39"/>
      <c r="N462" s="39"/>
      <c r="O462" s="39"/>
      <c r="P462" s="39"/>
      <c r="Q462" s="39"/>
      <c r="R462" s="39"/>
      <c r="S462" s="39"/>
      <c r="T462" s="39"/>
      <c r="U462" s="39"/>
      <c r="V462" s="39"/>
      <c r="W462" s="39"/>
      <c r="X462" s="39"/>
      <c r="Y462" s="39"/>
      <c r="Z462" s="39"/>
      <c r="AA462" s="39"/>
      <c r="AB462" s="39"/>
      <c r="AC462" s="39"/>
      <c r="AD462" s="39"/>
      <c r="AE462" s="39"/>
      <c r="AF462" s="39"/>
      <c r="AG462" s="39"/>
      <c r="AH462" s="39"/>
    </row>
    <row r="463" spans="1:34" s="38" customFormat="1" x14ac:dyDescent="0.25">
      <c r="A463" s="39"/>
      <c r="B463" s="58"/>
      <c r="C463" s="58"/>
      <c r="D463" s="59"/>
      <c r="E463" s="59"/>
      <c r="F463" s="59"/>
      <c r="H463" s="39"/>
      <c r="I463" s="39"/>
      <c r="J463" s="39"/>
      <c r="K463" s="39"/>
      <c r="L463" s="39"/>
      <c r="M463" s="39"/>
      <c r="N463" s="39"/>
      <c r="O463" s="39"/>
      <c r="P463" s="39"/>
      <c r="Q463" s="39"/>
      <c r="R463" s="39"/>
      <c r="S463" s="39"/>
      <c r="T463" s="39"/>
      <c r="U463" s="39"/>
      <c r="V463" s="39"/>
      <c r="W463" s="39"/>
      <c r="X463" s="39"/>
      <c r="Y463" s="39"/>
      <c r="Z463" s="39"/>
      <c r="AA463" s="39"/>
      <c r="AB463" s="39"/>
      <c r="AC463" s="39"/>
      <c r="AD463" s="39"/>
      <c r="AE463" s="39"/>
      <c r="AF463" s="39"/>
      <c r="AG463" s="39"/>
      <c r="AH463" s="39"/>
    </row>
    <row r="464" spans="1:34" s="38" customFormat="1" x14ac:dyDescent="0.25">
      <c r="A464" s="39"/>
      <c r="B464" s="58"/>
      <c r="C464" s="58"/>
      <c r="D464" s="59"/>
      <c r="E464" s="59"/>
      <c r="F464" s="59"/>
      <c r="H464" s="39"/>
      <c r="I464" s="39"/>
      <c r="J464" s="39"/>
      <c r="K464" s="39"/>
      <c r="L464" s="39"/>
      <c r="M464" s="39"/>
      <c r="N464" s="39"/>
      <c r="O464" s="39"/>
      <c r="P464" s="39"/>
      <c r="Q464" s="39"/>
      <c r="R464" s="39"/>
      <c r="S464" s="39"/>
      <c r="T464" s="39"/>
      <c r="U464" s="39"/>
      <c r="V464" s="39"/>
      <c r="W464" s="39"/>
      <c r="X464" s="39"/>
      <c r="Y464" s="39"/>
      <c r="Z464" s="39"/>
      <c r="AA464" s="39"/>
      <c r="AB464" s="39"/>
      <c r="AC464" s="39"/>
      <c r="AD464" s="39"/>
      <c r="AE464" s="39"/>
      <c r="AF464" s="39"/>
      <c r="AG464" s="39"/>
      <c r="AH464" s="39"/>
    </row>
    <row r="465" spans="1:34" s="38" customFormat="1" x14ac:dyDescent="0.25">
      <c r="A465" s="39"/>
      <c r="B465" s="58"/>
      <c r="C465" s="58"/>
      <c r="D465" s="59"/>
      <c r="E465" s="59"/>
      <c r="F465" s="59"/>
      <c r="H465" s="39"/>
      <c r="I465" s="39"/>
      <c r="J465" s="39"/>
      <c r="K465" s="39"/>
      <c r="L465" s="39"/>
      <c r="M465" s="39"/>
      <c r="N465" s="39"/>
      <c r="O465" s="39"/>
      <c r="P465" s="39"/>
      <c r="Q465" s="39"/>
      <c r="R465" s="39"/>
      <c r="S465" s="39"/>
      <c r="T465" s="39"/>
      <c r="U465" s="39"/>
      <c r="V465" s="39"/>
      <c r="W465" s="39"/>
      <c r="X465" s="39"/>
      <c r="Y465" s="39"/>
      <c r="Z465" s="39"/>
      <c r="AA465" s="39"/>
      <c r="AB465" s="39"/>
      <c r="AC465" s="39"/>
      <c r="AD465" s="39"/>
      <c r="AE465" s="39"/>
      <c r="AF465" s="39"/>
      <c r="AG465" s="39"/>
      <c r="AH465" s="39"/>
    </row>
    <row r="466" spans="1:34" s="38" customFormat="1" x14ac:dyDescent="0.25">
      <c r="A466" s="39"/>
      <c r="B466" s="58"/>
      <c r="C466" s="58"/>
      <c r="D466" s="59"/>
      <c r="E466" s="59"/>
      <c r="F466" s="59"/>
      <c r="H466" s="39"/>
      <c r="I466" s="39"/>
      <c r="J466" s="39"/>
      <c r="K466" s="39"/>
      <c r="L466" s="39"/>
      <c r="M466" s="39"/>
      <c r="N466" s="39"/>
      <c r="O466" s="39"/>
      <c r="P466" s="39"/>
      <c r="Q466" s="39"/>
      <c r="R466" s="39"/>
      <c r="S466" s="39"/>
      <c r="T466" s="39"/>
      <c r="U466" s="39"/>
      <c r="V466" s="39"/>
      <c r="W466" s="39"/>
      <c r="X466" s="39"/>
      <c r="Y466" s="39"/>
      <c r="Z466" s="39"/>
      <c r="AA466" s="39"/>
      <c r="AB466" s="39"/>
      <c r="AC466" s="39"/>
      <c r="AD466" s="39"/>
      <c r="AE466" s="39"/>
      <c r="AF466" s="39"/>
      <c r="AG466" s="39"/>
      <c r="AH466" s="39"/>
    </row>
    <row r="467" spans="1:34" s="38" customFormat="1" x14ac:dyDescent="0.25">
      <c r="A467" s="39"/>
      <c r="B467" s="58"/>
      <c r="C467" s="58"/>
      <c r="D467" s="59"/>
      <c r="E467" s="59"/>
      <c r="F467" s="59"/>
      <c r="H467" s="39"/>
      <c r="I467" s="39"/>
      <c r="J467" s="39"/>
      <c r="K467" s="39"/>
      <c r="L467" s="39"/>
      <c r="M467" s="39"/>
      <c r="N467" s="39"/>
      <c r="O467" s="39"/>
      <c r="P467" s="39"/>
      <c r="Q467" s="39"/>
      <c r="R467" s="39"/>
      <c r="S467" s="39"/>
      <c r="T467" s="39"/>
      <c r="U467" s="39"/>
      <c r="V467" s="39"/>
      <c r="W467" s="39"/>
      <c r="X467" s="39"/>
      <c r="Y467" s="39"/>
      <c r="Z467" s="39"/>
      <c r="AA467" s="39"/>
      <c r="AB467" s="39"/>
      <c r="AC467" s="39"/>
      <c r="AD467" s="39"/>
      <c r="AE467" s="39"/>
      <c r="AF467" s="39"/>
      <c r="AG467" s="39"/>
      <c r="AH467" s="39"/>
    </row>
    <row r="468" spans="1:34" s="38" customFormat="1" x14ac:dyDescent="0.25">
      <c r="A468" s="39"/>
      <c r="B468" s="58"/>
      <c r="C468" s="58"/>
      <c r="D468" s="59"/>
      <c r="E468" s="59"/>
      <c r="F468" s="59"/>
      <c r="H468" s="39"/>
      <c r="I468" s="39"/>
      <c r="J468" s="39"/>
      <c r="K468" s="39"/>
      <c r="L468" s="39"/>
      <c r="M468" s="39"/>
      <c r="N468" s="39"/>
      <c r="O468" s="39"/>
      <c r="P468" s="39"/>
      <c r="Q468" s="39"/>
      <c r="R468" s="39"/>
      <c r="S468" s="39"/>
      <c r="T468" s="39"/>
      <c r="U468" s="39"/>
      <c r="V468" s="39"/>
      <c r="W468" s="39"/>
      <c r="X468" s="39"/>
      <c r="Y468" s="39"/>
      <c r="Z468" s="39"/>
      <c r="AA468" s="39"/>
      <c r="AB468" s="39"/>
      <c r="AC468" s="39"/>
      <c r="AD468" s="39"/>
      <c r="AE468" s="39"/>
      <c r="AF468" s="39"/>
      <c r="AG468" s="39"/>
      <c r="AH468" s="39"/>
    </row>
    <row r="469" spans="1:34" s="38" customFormat="1" x14ac:dyDescent="0.25">
      <c r="A469" s="39"/>
      <c r="B469" s="58"/>
      <c r="C469" s="58"/>
      <c r="D469" s="59"/>
      <c r="E469" s="59"/>
      <c r="F469" s="59"/>
      <c r="H469" s="39"/>
      <c r="I469" s="39"/>
      <c r="J469" s="39"/>
      <c r="K469" s="39"/>
      <c r="L469" s="39"/>
      <c r="M469" s="39"/>
      <c r="N469" s="39"/>
      <c r="O469" s="39"/>
      <c r="P469" s="39"/>
      <c r="Q469" s="39"/>
      <c r="R469" s="39"/>
      <c r="S469" s="39"/>
      <c r="T469" s="39"/>
      <c r="U469" s="39"/>
      <c r="V469" s="39"/>
      <c r="W469" s="39"/>
      <c r="X469" s="39"/>
      <c r="Y469" s="39"/>
      <c r="Z469" s="39"/>
      <c r="AA469" s="39"/>
      <c r="AB469" s="39"/>
      <c r="AC469" s="39"/>
      <c r="AD469" s="39"/>
      <c r="AE469" s="39"/>
      <c r="AF469" s="39"/>
      <c r="AG469" s="39"/>
      <c r="AH469" s="39"/>
    </row>
    <row r="470" spans="1:34" s="38" customFormat="1" x14ac:dyDescent="0.25">
      <c r="A470" s="39"/>
      <c r="B470" s="58"/>
      <c r="C470" s="58"/>
      <c r="D470" s="59"/>
      <c r="E470" s="39"/>
      <c r="F470" s="39"/>
      <c r="H470" s="39"/>
      <c r="I470" s="39"/>
      <c r="J470" s="39"/>
      <c r="K470" s="39"/>
      <c r="L470" s="39"/>
      <c r="M470" s="39"/>
      <c r="N470" s="39"/>
      <c r="O470" s="39"/>
      <c r="P470" s="39"/>
      <c r="Q470" s="39"/>
      <c r="R470" s="39"/>
      <c r="S470" s="39"/>
      <c r="T470" s="39"/>
      <c r="U470" s="39"/>
      <c r="V470" s="39"/>
      <c r="W470" s="39"/>
      <c r="X470" s="39"/>
      <c r="Y470" s="39"/>
      <c r="Z470" s="39"/>
      <c r="AA470" s="39"/>
      <c r="AB470" s="39"/>
      <c r="AC470" s="39"/>
      <c r="AD470" s="39"/>
      <c r="AE470" s="39"/>
      <c r="AF470" s="39"/>
      <c r="AG470" s="39"/>
      <c r="AH470" s="39"/>
    </row>
    <row r="471" spans="1:34" s="38" customFormat="1" x14ac:dyDescent="0.25">
      <c r="A471" s="39"/>
      <c r="B471" s="58"/>
      <c r="C471" s="58"/>
      <c r="D471" s="59"/>
      <c r="E471" s="39"/>
      <c r="F471" s="39"/>
      <c r="H471" s="39"/>
      <c r="I471" s="39"/>
      <c r="J471" s="39"/>
      <c r="K471" s="39"/>
      <c r="L471" s="39"/>
      <c r="M471" s="39"/>
      <c r="N471" s="39"/>
      <c r="O471" s="39"/>
      <c r="P471" s="39"/>
      <c r="Q471" s="39"/>
      <c r="R471" s="39"/>
      <c r="S471" s="39"/>
      <c r="T471" s="39"/>
      <c r="U471" s="39"/>
      <c r="V471" s="39"/>
      <c r="W471" s="39"/>
      <c r="X471" s="39"/>
      <c r="Y471" s="39"/>
      <c r="Z471" s="39"/>
      <c r="AA471" s="39"/>
      <c r="AB471" s="39"/>
      <c r="AC471" s="39"/>
      <c r="AD471" s="39"/>
      <c r="AE471" s="39"/>
      <c r="AF471" s="39"/>
      <c r="AG471" s="39"/>
      <c r="AH471" s="39"/>
    </row>
    <row r="472" spans="1:34" s="38" customFormat="1" x14ac:dyDescent="0.25">
      <c r="A472" s="39"/>
      <c r="B472" s="58"/>
      <c r="C472" s="58"/>
      <c r="D472" s="59"/>
      <c r="E472" s="39"/>
      <c r="F472" s="39"/>
      <c r="H472" s="39"/>
      <c r="I472" s="39"/>
      <c r="J472" s="39"/>
      <c r="K472" s="39"/>
      <c r="L472" s="39"/>
      <c r="M472" s="39"/>
      <c r="N472" s="39"/>
      <c r="O472" s="39"/>
      <c r="P472" s="39"/>
      <c r="Q472" s="39"/>
      <c r="R472" s="39"/>
      <c r="S472" s="39"/>
      <c r="T472" s="39"/>
      <c r="U472" s="39"/>
      <c r="V472" s="39"/>
      <c r="W472" s="39"/>
      <c r="X472" s="39"/>
      <c r="Y472" s="39"/>
      <c r="Z472" s="39"/>
      <c r="AA472" s="39"/>
      <c r="AB472" s="39"/>
      <c r="AC472" s="39"/>
      <c r="AD472" s="39"/>
      <c r="AE472" s="39"/>
      <c r="AF472" s="39"/>
      <c r="AG472" s="39"/>
      <c r="AH472" s="39"/>
    </row>
    <row r="473" spans="1:34" s="38" customFormat="1" x14ac:dyDescent="0.25">
      <c r="A473" s="39"/>
      <c r="B473" s="58"/>
      <c r="C473" s="58"/>
      <c r="D473" s="59"/>
      <c r="E473" s="39"/>
      <c r="F473" s="39"/>
      <c r="H473" s="39"/>
      <c r="I473" s="39"/>
      <c r="J473" s="39"/>
      <c r="K473" s="39"/>
      <c r="L473" s="39"/>
      <c r="M473" s="39"/>
      <c r="N473" s="39"/>
      <c r="O473" s="39"/>
      <c r="P473" s="39"/>
      <c r="Q473" s="39"/>
      <c r="R473" s="39"/>
      <c r="S473" s="39"/>
      <c r="T473" s="39"/>
      <c r="U473" s="39"/>
      <c r="V473" s="39"/>
      <c r="W473" s="39"/>
      <c r="X473" s="39"/>
      <c r="Y473" s="39"/>
      <c r="Z473" s="39"/>
      <c r="AA473" s="39"/>
      <c r="AB473" s="39"/>
      <c r="AC473" s="39"/>
      <c r="AD473" s="39"/>
      <c r="AE473" s="39"/>
      <c r="AF473" s="39"/>
      <c r="AG473" s="39"/>
      <c r="AH473" s="39"/>
    </row>
    <row r="474" spans="1:34" s="38" customFormat="1" x14ac:dyDescent="0.25">
      <c r="A474" s="39"/>
      <c r="B474" s="58"/>
      <c r="C474" s="58"/>
      <c r="D474" s="59"/>
      <c r="E474" s="39"/>
      <c r="F474" s="39"/>
      <c r="H474" s="39"/>
      <c r="I474" s="39"/>
      <c r="J474" s="39"/>
      <c r="K474" s="39"/>
      <c r="L474" s="39"/>
      <c r="M474" s="39"/>
      <c r="N474" s="39"/>
      <c r="O474" s="39"/>
      <c r="P474" s="39"/>
      <c r="Q474" s="39"/>
      <c r="R474" s="39"/>
      <c r="S474" s="39"/>
      <c r="T474" s="39"/>
      <c r="U474" s="39"/>
      <c r="V474" s="39"/>
      <c r="W474" s="39"/>
      <c r="X474" s="39"/>
      <c r="Y474" s="39"/>
      <c r="Z474" s="39"/>
      <c r="AA474" s="39"/>
      <c r="AB474" s="39"/>
      <c r="AC474" s="39"/>
      <c r="AD474" s="39"/>
      <c r="AE474" s="39"/>
      <c r="AF474" s="39"/>
      <c r="AG474" s="39"/>
      <c r="AH474" s="39"/>
    </row>
    <row r="475" spans="1:34" s="38" customFormat="1" x14ac:dyDescent="0.25">
      <c r="A475" s="39"/>
      <c r="B475" s="58"/>
      <c r="C475" s="58"/>
      <c r="D475" s="59"/>
      <c r="E475" s="39"/>
      <c r="F475" s="39"/>
      <c r="H475" s="39"/>
      <c r="I475" s="39"/>
      <c r="J475" s="39"/>
      <c r="K475" s="39"/>
      <c r="L475" s="39"/>
      <c r="M475" s="39"/>
      <c r="N475" s="39"/>
      <c r="O475" s="39"/>
      <c r="P475" s="39"/>
      <c r="Q475" s="39"/>
      <c r="R475" s="39"/>
      <c r="S475" s="39"/>
      <c r="T475" s="39"/>
      <c r="U475" s="39"/>
      <c r="V475" s="39"/>
      <c r="W475" s="39"/>
      <c r="X475" s="39"/>
      <c r="Y475" s="39"/>
      <c r="Z475" s="39"/>
      <c r="AA475" s="39"/>
      <c r="AB475" s="39"/>
      <c r="AC475" s="39"/>
      <c r="AD475" s="39"/>
      <c r="AE475" s="39"/>
      <c r="AF475" s="39"/>
      <c r="AG475" s="39"/>
      <c r="AH475" s="39"/>
    </row>
    <row r="476" spans="1:34" s="38" customFormat="1" x14ac:dyDescent="0.25">
      <c r="A476" s="39"/>
      <c r="B476" s="58"/>
      <c r="C476" s="58"/>
      <c r="D476" s="59"/>
      <c r="E476" s="39"/>
      <c r="F476" s="39"/>
      <c r="H476" s="39"/>
      <c r="I476" s="39"/>
      <c r="J476" s="39"/>
      <c r="K476" s="39"/>
      <c r="L476" s="39"/>
      <c r="M476" s="39"/>
      <c r="N476" s="39"/>
      <c r="O476" s="39"/>
      <c r="P476" s="39"/>
      <c r="Q476" s="39"/>
      <c r="R476" s="39"/>
      <c r="S476" s="39"/>
      <c r="T476" s="39"/>
      <c r="U476" s="39"/>
      <c r="V476" s="39"/>
      <c r="W476" s="39"/>
      <c r="X476" s="39"/>
      <c r="Y476" s="39"/>
      <c r="Z476" s="39"/>
      <c r="AA476" s="39"/>
      <c r="AB476" s="39"/>
      <c r="AC476" s="39"/>
      <c r="AD476" s="39"/>
      <c r="AE476" s="39"/>
      <c r="AF476" s="39"/>
      <c r="AG476" s="39"/>
      <c r="AH476" s="39"/>
    </row>
    <row r="477" spans="1:34" s="38" customFormat="1" x14ac:dyDescent="0.25">
      <c r="A477" s="39"/>
      <c r="B477" s="58"/>
      <c r="C477" s="58"/>
      <c r="D477" s="59"/>
      <c r="E477" s="39"/>
      <c r="F477" s="39"/>
      <c r="H477" s="39"/>
      <c r="I477" s="39"/>
      <c r="J477" s="39"/>
      <c r="K477" s="39"/>
      <c r="L477" s="39"/>
      <c r="M477" s="39"/>
      <c r="N477" s="39"/>
      <c r="O477" s="39"/>
      <c r="P477" s="39"/>
      <c r="Q477" s="39"/>
      <c r="R477" s="39"/>
      <c r="S477" s="39"/>
      <c r="T477" s="39"/>
      <c r="U477" s="39"/>
      <c r="V477" s="39"/>
      <c r="W477" s="39"/>
      <c r="X477" s="39"/>
      <c r="Y477" s="39"/>
      <c r="Z477" s="39"/>
      <c r="AA477" s="39"/>
      <c r="AB477" s="39"/>
      <c r="AC477" s="39"/>
      <c r="AD477" s="39"/>
      <c r="AE477" s="39"/>
      <c r="AF477" s="39"/>
      <c r="AG477" s="39"/>
      <c r="AH477" s="39"/>
    </row>
    <row r="478" spans="1:34" s="38" customFormat="1" x14ac:dyDescent="0.25">
      <c r="A478" s="39"/>
      <c r="B478" s="58"/>
      <c r="C478" s="58"/>
      <c r="D478" s="59"/>
      <c r="E478" s="39"/>
      <c r="F478" s="39"/>
      <c r="H478" s="39"/>
      <c r="I478" s="39"/>
      <c r="J478" s="39"/>
      <c r="K478" s="39"/>
      <c r="L478" s="39"/>
      <c r="M478" s="39"/>
      <c r="N478" s="39"/>
      <c r="O478" s="39"/>
      <c r="P478" s="39"/>
      <c r="Q478" s="39"/>
      <c r="R478" s="39"/>
      <c r="S478" s="39"/>
      <c r="T478" s="39"/>
      <c r="U478" s="39"/>
      <c r="V478" s="39"/>
      <c r="W478" s="39"/>
      <c r="X478" s="39"/>
      <c r="Y478" s="39"/>
      <c r="Z478" s="39"/>
      <c r="AA478" s="39"/>
      <c r="AB478" s="39"/>
      <c r="AC478" s="39"/>
      <c r="AD478" s="39"/>
      <c r="AE478" s="39"/>
      <c r="AF478" s="39"/>
      <c r="AG478" s="39"/>
      <c r="AH478" s="39"/>
    </row>
    <row r="479" spans="1:34" s="38" customFormat="1" x14ac:dyDescent="0.25">
      <c r="A479" s="39"/>
      <c r="B479" s="58"/>
      <c r="C479" s="58"/>
      <c r="D479" s="59"/>
      <c r="E479" s="39"/>
      <c r="F479" s="39"/>
      <c r="H479" s="39"/>
      <c r="I479" s="39"/>
      <c r="J479" s="39"/>
      <c r="K479" s="39"/>
      <c r="L479" s="39"/>
      <c r="M479" s="39"/>
      <c r="N479" s="39"/>
      <c r="O479" s="39"/>
      <c r="P479" s="39"/>
      <c r="Q479" s="39"/>
      <c r="R479" s="39"/>
      <c r="S479" s="39"/>
      <c r="T479" s="39"/>
      <c r="U479" s="39"/>
      <c r="V479" s="39"/>
      <c r="W479" s="39"/>
      <c r="X479" s="39"/>
      <c r="Y479" s="39"/>
      <c r="Z479" s="39"/>
      <c r="AA479" s="39"/>
      <c r="AB479" s="39"/>
      <c r="AC479" s="39"/>
      <c r="AD479" s="39"/>
      <c r="AE479" s="39"/>
      <c r="AF479" s="39"/>
      <c r="AG479" s="39"/>
      <c r="AH479" s="39"/>
    </row>
    <row r="480" spans="1:34" s="38" customFormat="1" x14ac:dyDescent="0.25">
      <c r="A480" s="39"/>
      <c r="B480" s="58"/>
      <c r="C480" s="58"/>
      <c r="D480" s="59"/>
      <c r="E480" s="39"/>
      <c r="F480" s="39"/>
      <c r="H480" s="39"/>
      <c r="I480" s="39"/>
      <c r="J480" s="39"/>
      <c r="K480" s="39"/>
      <c r="L480" s="39"/>
      <c r="M480" s="39"/>
      <c r="N480" s="39"/>
      <c r="O480" s="39"/>
      <c r="P480" s="39"/>
      <c r="Q480" s="39"/>
      <c r="R480" s="39"/>
      <c r="S480" s="39"/>
      <c r="T480" s="39"/>
      <c r="U480" s="39"/>
      <c r="V480" s="39"/>
      <c r="W480" s="39"/>
      <c r="X480" s="39"/>
      <c r="Y480" s="39"/>
      <c r="Z480" s="39"/>
      <c r="AA480" s="39"/>
      <c r="AB480" s="39"/>
      <c r="AC480" s="39"/>
      <c r="AD480" s="39"/>
      <c r="AE480" s="39"/>
      <c r="AF480" s="39"/>
      <c r="AG480" s="39"/>
      <c r="AH480" s="39"/>
    </row>
    <row r="481" spans="1:34" s="38" customFormat="1" x14ac:dyDescent="0.25">
      <c r="A481" s="39"/>
      <c r="B481" s="58"/>
      <c r="C481" s="58"/>
      <c r="D481" s="59"/>
      <c r="E481" s="39"/>
      <c r="F481" s="39"/>
      <c r="H481" s="39"/>
      <c r="I481" s="39"/>
      <c r="J481" s="39"/>
      <c r="K481" s="39"/>
      <c r="L481" s="39"/>
      <c r="M481" s="39"/>
      <c r="N481" s="39"/>
      <c r="O481" s="39"/>
      <c r="P481" s="39"/>
      <c r="Q481" s="39"/>
      <c r="R481" s="39"/>
      <c r="S481" s="39"/>
      <c r="T481" s="39"/>
      <c r="U481" s="39"/>
      <c r="V481" s="39"/>
      <c r="W481" s="39"/>
      <c r="X481" s="39"/>
      <c r="Y481" s="39"/>
      <c r="Z481" s="39"/>
      <c r="AA481" s="39"/>
      <c r="AB481" s="39"/>
      <c r="AC481" s="39"/>
      <c r="AD481" s="39"/>
      <c r="AE481" s="39"/>
      <c r="AF481" s="39"/>
      <c r="AG481" s="39"/>
      <c r="AH481" s="39"/>
    </row>
    <row r="482" spans="1:34" s="38" customFormat="1" x14ac:dyDescent="0.25">
      <c r="A482" s="39"/>
      <c r="B482" s="58"/>
      <c r="C482" s="58"/>
      <c r="D482" s="59"/>
      <c r="E482" s="39"/>
      <c r="F482" s="39"/>
      <c r="H482" s="39"/>
      <c r="I482" s="39"/>
      <c r="J482" s="39"/>
      <c r="K482" s="39"/>
      <c r="L482" s="39"/>
      <c r="M482" s="39"/>
      <c r="N482" s="39"/>
      <c r="O482" s="39"/>
      <c r="P482" s="39"/>
      <c r="Q482" s="39"/>
      <c r="R482" s="39"/>
      <c r="S482" s="39"/>
      <c r="T482" s="39"/>
      <c r="U482" s="39"/>
      <c r="V482" s="39"/>
      <c r="W482" s="39"/>
      <c r="X482" s="39"/>
      <c r="Y482" s="39"/>
      <c r="Z482" s="39"/>
      <c r="AA482" s="39"/>
      <c r="AB482" s="39"/>
      <c r="AC482" s="39"/>
      <c r="AD482" s="39"/>
      <c r="AE482" s="39"/>
      <c r="AF482" s="39"/>
      <c r="AG482" s="39"/>
      <c r="AH482" s="39"/>
    </row>
    <row r="483" spans="1:34" s="38" customFormat="1" x14ac:dyDescent="0.25">
      <c r="A483" s="39"/>
      <c r="B483" s="58"/>
      <c r="C483" s="58"/>
      <c r="D483" s="59"/>
      <c r="E483" s="39"/>
      <c r="F483" s="39"/>
      <c r="H483" s="39"/>
      <c r="I483" s="39"/>
      <c r="J483" s="39"/>
      <c r="K483" s="39"/>
      <c r="L483" s="39"/>
      <c r="M483" s="39"/>
      <c r="N483" s="39"/>
      <c r="O483" s="39"/>
      <c r="P483" s="39"/>
      <c r="Q483" s="39"/>
      <c r="R483" s="39"/>
      <c r="S483" s="39"/>
      <c r="T483" s="39"/>
      <c r="U483" s="39"/>
      <c r="V483" s="39"/>
      <c r="W483" s="39"/>
      <c r="X483" s="39"/>
      <c r="Y483" s="39"/>
      <c r="Z483" s="39"/>
      <c r="AA483" s="39"/>
      <c r="AB483" s="39"/>
      <c r="AC483" s="39"/>
      <c r="AD483" s="39"/>
      <c r="AE483" s="39"/>
      <c r="AF483" s="39"/>
      <c r="AG483" s="39"/>
      <c r="AH483" s="39"/>
    </row>
    <row r="484" spans="1:34" s="38" customFormat="1" x14ac:dyDescent="0.25">
      <c r="A484" s="39"/>
      <c r="B484" s="58"/>
      <c r="C484" s="58"/>
      <c r="D484" s="59"/>
      <c r="E484" s="39"/>
      <c r="F484" s="39"/>
      <c r="H484" s="39"/>
      <c r="I484" s="39"/>
      <c r="J484" s="39"/>
      <c r="K484" s="39"/>
      <c r="L484" s="39"/>
      <c r="M484" s="39"/>
      <c r="N484" s="39"/>
      <c r="O484" s="39"/>
      <c r="P484" s="39"/>
      <c r="Q484" s="39"/>
      <c r="R484" s="39"/>
      <c r="S484" s="39"/>
      <c r="T484" s="39"/>
      <c r="U484" s="39"/>
      <c r="V484" s="39"/>
      <c r="W484" s="39"/>
      <c r="X484" s="39"/>
      <c r="Y484" s="39"/>
      <c r="Z484" s="39"/>
      <c r="AA484" s="39"/>
      <c r="AB484" s="39"/>
      <c r="AC484" s="39"/>
      <c r="AD484" s="39"/>
      <c r="AE484" s="39"/>
      <c r="AF484" s="39"/>
      <c r="AG484" s="39"/>
      <c r="AH484" s="39"/>
    </row>
    <row r="485" spans="1:34" s="38" customFormat="1" x14ac:dyDescent="0.25">
      <c r="A485" s="39"/>
      <c r="B485" s="58"/>
      <c r="C485" s="58"/>
      <c r="D485" s="59"/>
      <c r="E485" s="59"/>
      <c r="F485" s="59"/>
      <c r="H485" s="39"/>
      <c r="I485" s="39"/>
      <c r="J485" s="39"/>
      <c r="K485" s="39"/>
      <c r="L485" s="39"/>
      <c r="M485" s="39"/>
      <c r="N485" s="39"/>
      <c r="O485" s="39"/>
      <c r="P485" s="39"/>
      <c r="Q485" s="39"/>
      <c r="R485" s="39"/>
      <c r="S485" s="39"/>
      <c r="T485" s="39"/>
      <c r="U485" s="39"/>
      <c r="V485" s="39"/>
      <c r="W485" s="39"/>
      <c r="X485" s="39"/>
      <c r="Y485" s="39"/>
      <c r="Z485" s="39"/>
      <c r="AA485" s="39"/>
      <c r="AB485" s="39"/>
      <c r="AC485" s="39"/>
      <c r="AD485" s="39"/>
      <c r="AE485" s="39"/>
      <c r="AF485" s="39"/>
      <c r="AG485" s="39"/>
      <c r="AH485" s="39"/>
    </row>
    <row r="486" spans="1:34" s="38" customFormat="1" x14ac:dyDescent="0.25">
      <c r="A486" s="39"/>
      <c r="B486" s="58"/>
      <c r="C486" s="58"/>
      <c r="D486" s="59"/>
      <c r="E486" s="59"/>
      <c r="F486" s="59"/>
      <c r="H486" s="39"/>
      <c r="I486" s="39"/>
      <c r="J486" s="39"/>
      <c r="K486" s="39"/>
      <c r="L486" s="39"/>
      <c r="M486" s="39"/>
      <c r="N486" s="39"/>
      <c r="O486" s="39"/>
      <c r="P486" s="39"/>
      <c r="Q486" s="39"/>
      <c r="R486" s="39"/>
      <c r="S486" s="39"/>
      <c r="T486" s="39"/>
      <c r="U486" s="39"/>
      <c r="V486" s="39"/>
      <c r="W486" s="39"/>
      <c r="X486" s="39"/>
      <c r="Y486" s="39"/>
      <c r="Z486" s="39"/>
      <c r="AA486" s="39"/>
      <c r="AB486" s="39"/>
      <c r="AC486" s="39"/>
      <c r="AD486" s="39"/>
      <c r="AE486" s="39"/>
      <c r="AF486" s="39"/>
      <c r="AG486" s="39"/>
      <c r="AH486" s="39"/>
    </row>
    <row r="487" spans="1:34" s="38" customFormat="1" x14ac:dyDescent="0.25">
      <c r="A487" s="39"/>
      <c r="B487" s="58"/>
      <c r="C487" s="58"/>
      <c r="D487" s="59"/>
      <c r="E487" s="59"/>
      <c r="F487" s="59"/>
      <c r="H487" s="39"/>
      <c r="I487" s="39"/>
      <c r="J487" s="39"/>
      <c r="K487" s="39"/>
      <c r="L487" s="39"/>
      <c r="M487" s="39"/>
      <c r="N487" s="39"/>
      <c r="O487" s="39"/>
      <c r="P487" s="39"/>
      <c r="Q487" s="39"/>
      <c r="R487" s="39"/>
      <c r="S487" s="39"/>
      <c r="T487" s="39"/>
      <c r="U487" s="39"/>
      <c r="V487" s="39"/>
      <c r="W487" s="39"/>
      <c r="X487" s="39"/>
      <c r="Y487" s="39"/>
      <c r="Z487" s="39"/>
      <c r="AA487" s="39"/>
      <c r="AB487" s="39"/>
      <c r="AC487" s="39"/>
      <c r="AD487" s="39"/>
      <c r="AE487" s="39"/>
      <c r="AF487" s="39"/>
      <c r="AG487" s="39"/>
      <c r="AH487" s="39"/>
    </row>
    <row r="488" spans="1:34" s="38" customFormat="1" x14ac:dyDescent="0.25">
      <c r="A488" s="39"/>
      <c r="B488" s="58"/>
      <c r="C488" s="58"/>
      <c r="D488" s="59"/>
      <c r="E488" s="59"/>
      <c r="F488" s="59"/>
      <c r="H488" s="39"/>
      <c r="I488" s="39"/>
      <c r="J488" s="39"/>
      <c r="K488" s="39"/>
      <c r="L488" s="39"/>
      <c r="M488" s="39"/>
      <c r="N488" s="39"/>
      <c r="O488" s="39"/>
      <c r="P488" s="39"/>
      <c r="Q488" s="39"/>
      <c r="R488" s="39"/>
      <c r="S488" s="39"/>
      <c r="T488" s="39"/>
      <c r="U488" s="39"/>
      <c r="V488" s="39"/>
      <c r="W488" s="39"/>
      <c r="X488" s="39"/>
      <c r="Y488" s="39"/>
      <c r="Z488" s="39"/>
      <c r="AA488" s="39"/>
      <c r="AB488" s="39"/>
      <c r="AC488" s="39"/>
      <c r="AD488" s="39"/>
      <c r="AE488" s="39"/>
      <c r="AF488" s="39"/>
      <c r="AG488" s="39"/>
      <c r="AH488" s="39"/>
    </row>
    <row r="489" spans="1:34" s="38" customFormat="1" x14ac:dyDescent="0.25">
      <c r="A489" s="39"/>
      <c r="B489" s="58"/>
      <c r="C489" s="58"/>
      <c r="D489" s="59"/>
      <c r="E489" s="59"/>
      <c r="F489" s="59"/>
      <c r="H489" s="39"/>
      <c r="I489" s="39"/>
      <c r="J489" s="39"/>
      <c r="K489" s="39"/>
      <c r="L489" s="39"/>
      <c r="M489" s="39"/>
      <c r="N489" s="39"/>
      <c r="O489" s="39"/>
      <c r="P489" s="39"/>
      <c r="Q489" s="39"/>
      <c r="R489" s="39"/>
      <c r="S489" s="39"/>
      <c r="T489" s="39"/>
      <c r="U489" s="39"/>
      <c r="V489" s="39"/>
      <c r="W489" s="39"/>
      <c r="X489" s="39"/>
      <c r="Y489" s="39"/>
      <c r="Z489" s="39"/>
      <c r="AA489" s="39"/>
      <c r="AB489" s="39"/>
      <c r="AC489" s="39"/>
      <c r="AD489" s="39"/>
      <c r="AE489" s="39"/>
      <c r="AF489" s="39"/>
      <c r="AG489" s="39"/>
      <c r="AH489" s="39"/>
    </row>
    <row r="490" spans="1:34" s="38" customFormat="1" x14ac:dyDescent="0.25">
      <c r="A490" s="39"/>
      <c r="B490" s="58"/>
      <c r="C490" s="58"/>
      <c r="D490" s="59"/>
      <c r="E490" s="59"/>
      <c r="F490" s="59"/>
      <c r="H490" s="39"/>
      <c r="I490" s="39"/>
      <c r="J490" s="39"/>
      <c r="K490" s="39"/>
      <c r="L490" s="39"/>
      <c r="M490" s="39"/>
      <c r="N490" s="39"/>
      <c r="O490" s="39"/>
      <c r="P490" s="39"/>
      <c r="Q490" s="39"/>
      <c r="R490" s="39"/>
      <c r="S490" s="39"/>
      <c r="T490" s="39"/>
      <c r="U490" s="39"/>
      <c r="V490" s="39"/>
      <c r="W490" s="39"/>
      <c r="X490" s="39"/>
      <c r="Y490" s="39"/>
      <c r="Z490" s="39"/>
      <c r="AA490" s="39"/>
      <c r="AB490" s="39"/>
      <c r="AC490" s="39"/>
      <c r="AD490" s="39"/>
      <c r="AE490" s="39"/>
      <c r="AF490" s="39"/>
      <c r="AG490" s="39"/>
      <c r="AH490" s="39"/>
    </row>
    <row r="491" spans="1:34" s="38" customFormat="1" x14ac:dyDescent="0.25">
      <c r="A491" s="39"/>
      <c r="B491" s="58"/>
      <c r="C491" s="58"/>
      <c r="D491" s="59"/>
      <c r="E491" s="59"/>
      <c r="F491" s="59"/>
      <c r="H491" s="39"/>
      <c r="I491" s="39"/>
      <c r="J491" s="39"/>
      <c r="K491" s="39"/>
      <c r="L491" s="39"/>
      <c r="M491" s="39"/>
      <c r="N491" s="39"/>
      <c r="O491" s="39"/>
      <c r="P491" s="39"/>
      <c r="Q491" s="39"/>
      <c r="R491" s="39"/>
      <c r="S491" s="39"/>
      <c r="T491" s="39"/>
      <c r="U491" s="39"/>
      <c r="V491" s="39"/>
      <c r="W491" s="39"/>
      <c r="X491" s="39"/>
      <c r="Y491" s="39"/>
      <c r="Z491" s="39"/>
      <c r="AA491" s="39"/>
      <c r="AB491" s="39"/>
      <c r="AC491" s="39"/>
      <c r="AD491" s="39"/>
      <c r="AE491" s="39"/>
      <c r="AF491" s="39"/>
      <c r="AG491" s="39"/>
      <c r="AH491" s="39"/>
    </row>
    <row r="492" spans="1:34" s="38" customFormat="1" x14ac:dyDescent="0.25">
      <c r="A492" s="39"/>
      <c r="B492" s="58"/>
      <c r="C492" s="58"/>
      <c r="D492" s="59"/>
      <c r="E492" s="59"/>
      <c r="F492" s="59"/>
      <c r="H492" s="39"/>
      <c r="I492" s="39"/>
      <c r="J492" s="39"/>
      <c r="K492" s="39"/>
      <c r="L492" s="39"/>
      <c r="M492" s="39"/>
      <c r="N492" s="39"/>
      <c r="O492" s="39"/>
      <c r="P492" s="39"/>
      <c r="Q492" s="39"/>
      <c r="R492" s="39"/>
      <c r="S492" s="39"/>
      <c r="T492" s="39"/>
      <c r="U492" s="39"/>
      <c r="V492" s="39"/>
      <c r="W492" s="39"/>
      <c r="X492" s="39"/>
      <c r="Y492" s="39"/>
      <c r="Z492" s="39"/>
      <c r="AA492" s="39"/>
      <c r="AB492" s="39"/>
      <c r="AC492" s="39"/>
      <c r="AD492" s="39"/>
      <c r="AE492" s="39"/>
      <c r="AF492" s="39"/>
      <c r="AG492" s="39"/>
      <c r="AH492" s="39"/>
    </row>
    <row r="493" spans="1:34" s="38" customFormat="1" x14ac:dyDescent="0.25">
      <c r="A493" s="39"/>
      <c r="B493" s="58"/>
      <c r="C493" s="58"/>
      <c r="D493" s="59"/>
      <c r="E493" s="59"/>
      <c r="F493" s="59"/>
      <c r="H493" s="39"/>
      <c r="I493" s="39"/>
      <c r="J493" s="39"/>
      <c r="K493" s="39"/>
      <c r="L493" s="39"/>
      <c r="M493" s="39"/>
      <c r="N493" s="39"/>
      <c r="O493" s="39"/>
      <c r="P493" s="39"/>
      <c r="Q493" s="39"/>
      <c r="R493" s="39"/>
      <c r="S493" s="39"/>
      <c r="T493" s="39"/>
      <c r="U493" s="39"/>
      <c r="V493" s="39"/>
      <c r="W493" s="39"/>
      <c r="X493" s="39"/>
      <c r="Y493" s="39"/>
      <c r="Z493" s="39"/>
      <c r="AA493" s="39"/>
      <c r="AB493" s="39"/>
      <c r="AC493" s="39"/>
      <c r="AD493" s="39"/>
      <c r="AE493" s="39"/>
      <c r="AF493" s="39"/>
      <c r="AG493" s="39"/>
      <c r="AH493" s="39"/>
    </row>
    <row r="494" spans="1:34" s="38" customFormat="1" x14ac:dyDescent="0.25">
      <c r="A494" s="39"/>
      <c r="B494" s="58"/>
      <c r="C494" s="58"/>
      <c r="D494" s="59"/>
      <c r="E494" s="39"/>
      <c r="F494" s="39"/>
      <c r="H494" s="39"/>
      <c r="I494" s="39"/>
      <c r="J494" s="39"/>
      <c r="K494" s="39"/>
      <c r="L494" s="39"/>
      <c r="M494" s="39"/>
      <c r="N494" s="39"/>
      <c r="O494" s="39"/>
      <c r="P494" s="39"/>
      <c r="Q494" s="39"/>
      <c r="R494" s="39"/>
      <c r="S494" s="39"/>
      <c r="T494" s="39"/>
      <c r="U494" s="39"/>
      <c r="V494" s="39"/>
      <c r="W494" s="39"/>
      <c r="X494" s="39"/>
      <c r="Y494" s="39"/>
      <c r="Z494" s="39"/>
      <c r="AA494" s="39"/>
      <c r="AB494" s="39"/>
      <c r="AC494" s="39"/>
      <c r="AD494" s="39"/>
      <c r="AE494" s="39"/>
      <c r="AF494" s="39"/>
      <c r="AG494" s="39"/>
      <c r="AH494" s="39"/>
    </row>
    <row r="495" spans="1:34" s="38" customFormat="1" x14ac:dyDescent="0.25">
      <c r="A495" s="39"/>
      <c r="B495" s="58"/>
      <c r="C495" s="58"/>
      <c r="D495" s="59"/>
      <c r="E495" s="39"/>
      <c r="F495" s="39"/>
      <c r="H495" s="39"/>
      <c r="I495" s="39"/>
      <c r="J495" s="39"/>
      <c r="K495" s="39"/>
      <c r="L495" s="39"/>
      <c r="M495" s="39"/>
      <c r="N495" s="39"/>
      <c r="O495" s="39"/>
      <c r="P495" s="39"/>
      <c r="Q495" s="39"/>
      <c r="R495" s="39"/>
      <c r="S495" s="39"/>
      <c r="T495" s="39"/>
      <c r="U495" s="39"/>
      <c r="V495" s="39"/>
      <c r="W495" s="39"/>
      <c r="X495" s="39"/>
      <c r="Y495" s="39"/>
      <c r="Z495" s="39"/>
      <c r="AA495" s="39"/>
      <c r="AB495" s="39"/>
      <c r="AC495" s="39"/>
      <c r="AD495" s="39"/>
      <c r="AE495" s="39"/>
      <c r="AF495" s="39"/>
      <c r="AG495" s="39"/>
      <c r="AH495" s="39"/>
    </row>
    <row r="496" spans="1:34" s="38" customFormat="1" x14ac:dyDescent="0.25">
      <c r="A496" s="39"/>
      <c r="B496" s="58"/>
      <c r="C496" s="58"/>
      <c r="D496" s="59"/>
      <c r="E496" s="39"/>
      <c r="F496" s="39"/>
      <c r="H496" s="39"/>
      <c r="I496" s="39"/>
      <c r="J496" s="39"/>
      <c r="K496" s="39"/>
      <c r="L496" s="39"/>
      <c r="M496" s="39"/>
      <c r="N496" s="39"/>
      <c r="O496" s="39"/>
      <c r="P496" s="39"/>
      <c r="Q496" s="39"/>
      <c r="R496" s="39"/>
      <c r="S496" s="39"/>
      <c r="T496" s="39"/>
      <c r="U496" s="39"/>
      <c r="V496" s="39"/>
      <c r="W496" s="39"/>
      <c r="X496" s="39"/>
      <c r="Y496" s="39"/>
      <c r="Z496" s="39"/>
      <c r="AA496" s="39"/>
      <c r="AB496" s="39"/>
      <c r="AC496" s="39"/>
      <c r="AD496" s="39"/>
      <c r="AE496" s="39"/>
      <c r="AF496" s="39"/>
      <c r="AG496" s="39"/>
      <c r="AH496" s="39"/>
    </row>
    <row r="497" spans="1:34" s="38" customFormat="1" x14ac:dyDescent="0.25">
      <c r="A497" s="39"/>
      <c r="B497" s="58"/>
      <c r="C497" s="58"/>
      <c r="D497" s="59"/>
      <c r="E497" s="39"/>
      <c r="F497" s="39"/>
      <c r="H497" s="39"/>
      <c r="I497" s="39"/>
      <c r="J497" s="39"/>
      <c r="K497" s="39"/>
      <c r="L497" s="39"/>
      <c r="M497" s="39"/>
      <c r="N497" s="39"/>
      <c r="O497" s="39"/>
      <c r="P497" s="39"/>
      <c r="Q497" s="39"/>
      <c r="R497" s="39"/>
      <c r="S497" s="39"/>
      <c r="T497" s="39"/>
      <c r="U497" s="39"/>
      <c r="V497" s="39"/>
      <c r="W497" s="39"/>
      <c r="X497" s="39"/>
      <c r="Y497" s="39"/>
      <c r="Z497" s="39"/>
      <c r="AA497" s="39"/>
      <c r="AB497" s="39"/>
      <c r="AC497" s="39"/>
      <c r="AD497" s="39"/>
      <c r="AE497" s="39"/>
      <c r="AF497" s="39"/>
      <c r="AG497" s="39"/>
      <c r="AH497" s="39"/>
    </row>
    <row r="498" spans="1:34" s="38" customFormat="1" x14ac:dyDescent="0.25">
      <c r="A498" s="39"/>
      <c r="B498" s="58"/>
      <c r="C498" s="58"/>
      <c r="D498" s="59"/>
      <c r="E498" s="39"/>
      <c r="F498" s="39"/>
      <c r="H498" s="39"/>
      <c r="I498" s="39"/>
      <c r="J498" s="39"/>
      <c r="K498" s="39"/>
      <c r="L498" s="39"/>
      <c r="M498" s="39"/>
      <c r="N498" s="39"/>
      <c r="O498" s="39"/>
      <c r="P498" s="39"/>
      <c r="Q498" s="39"/>
      <c r="R498" s="39"/>
      <c r="S498" s="39"/>
      <c r="T498" s="39"/>
      <c r="U498" s="39"/>
      <c r="V498" s="39"/>
      <c r="W498" s="39"/>
      <c r="X498" s="39"/>
      <c r="Y498" s="39"/>
      <c r="Z498" s="39"/>
      <c r="AA498" s="39"/>
      <c r="AB498" s="39"/>
      <c r="AC498" s="39"/>
      <c r="AD498" s="39"/>
      <c r="AE498" s="39"/>
      <c r="AF498" s="39"/>
      <c r="AG498" s="39"/>
      <c r="AH498" s="39"/>
    </row>
    <row r="499" spans="1:34" s="38" customFormat="1" x14ac:dyDescent="0.25">
      <c r="A499" s="39"/>
      <c r="B499" s="58"/>
      <c r="C499" s="58"/>
      <c r="D499" s="59"/>
      <c r="E499" s="39"/>
      <c r="F499" s="39"/>
      <c r="H499" s="39"/>
      <c r="I499" s="39"/>
      <c r="J499" s="39"/>
      <c r="K499" s="39"/>
      <c r="L499" s="39"/>
      <c r="M499" s="39"/>
      <c r="N499" s="39"/>
      <c r="O499" s="39"/>
      <c r="P499" s="39"/>
      <c r="Q499" s="39"/>
      <c r="R499" s="39"/>
      <c r="S499" s="39"/>
      <c r="T499" s="39"/>
      <c r="U499" s="39"/>
      <c r="V499" s="39"/>
      <c r="W499" s="39"/>
      <c r="X499" s="39"/>
      <c r="Y499" s="39"/>
      <c r="Z499" s="39"/>
      <c r="AA499" s="39"/>
      <c r="AB499" s="39"/>
      <c r="AC499" s="39"/>
      <c r="AD499" s="39"/>
      <c r="AE499" s="39"/>
      <c r="AF499" s="39"/>
      <c r="AG499" s="39"/>
      <c r="AH499" s="39"/>
    </row>
    <row r="500" spans="1:34" s="38" customFormat="1" x14ac:dyDescent="0.25">
      <c r="A500" s="39"/>
      <c r="B500" s="58"/>
      <c r="C500" s="58"/>
      <c r="D500" s="59"/>
      <c r="E500" s="39"/>
      <c r="F500" s="39"/>
      <c r="H500" s="39"/>
      <c r="I500" s="39"/>
      <c r="J500" s="39"/>
      <c r="K500" s="39"/>
      <c r="L500" s="39"/>
      <c r="M500" s="39"/>
      <c r="N500" s="39"/>
      <c r="O500" s="39"/>
      <c r="P500" s="39"/>
      <c r="Q500" s="39"/>
      <c r="R500" s="39"/>
      <c r="S500" s="39"/>
      <c r="T500" s="39"/>
      <c r="U500" s="39"/>
      <c r="V500" s="39"/>
      <c r="W500" s="39"/>
      <c r="X500" s="39"/>
      <c r="Y500" s="39"/>
      <c r="Z500" s="39"/>
      <c r="AA500" s="39"/>
      <c r="AB500" s="39"/>
      <c r="AC500" s="39"/>
      <c r="AD500" s="39"/>
      <c r="AE500" s="39"/>
      <c r="AF500" s="39"/>
      <c r="AG500" s="39"/>
      <c r="AH500" s="39"/>
    </row>
    <row r="501" spans="1:34" s="38" customFormat="1" x14ac:dyDescent="0.25">
      <c r="A501" s="39"/>
      <c r="B501" s="58"/>
      <c r="C501" s="58"/>
      <c r="D501" s="59"/>
      <c r="E501" s="39"/>
      <c r="F501" s="39"/>
      <c r="H501" s="39"/>
      <c r="I501" s="39"/>
      <c r="J501" s="39"/>
      <c r="K501" s="39"/>
      <c r="L501" s="39"/>
      <c r="M501" s="39"/>
      <c r="N501" s="39"/>
      <c r="O501" s="39"/>
      <c r="P501" s="39"/>
      <c r="Q501" s="39"/>
      <c r="R501" s="39"/>
      <c r="S501" s="39"/>
      <c r="T501" s="39"/>
      <c r="U501" s="39"/>
      <c r="V501" s="39"/>
      <c r="W501" s="39"/>
      <c r="X501" s="39"/>
      <c r="Y501" s="39"/>
      <c r="Z501" s="39"/>
      <c r="AA501" s="39"/>
      <c r="AB501" s="39"/>
      <c r="AC501" s="39"/>
      <c r="AD501" s="39"/>
      <c r="AE501" s="39"/>
      <c r="AF501" s="39"/>
      <c r="AG501" s="39"/>
      <c r="AH501" s="39"/>
    </row>
    <row r="502" spans="1:34" s="38" customFormat="1" x14ac:dyDescent="0.25">
      <c r="A502" s="39"/>
      <c r="B502" s="58"/>
      <c r="C502" s="58"/>
      <c r="D502" s="59"/>
      <c r="E502" s="39"/>
      <c r="F502" s="39"/>
      <c r="H502" s="39"/>
      <c r="I502" s="39"/>
      <c r="J502" s="39"/>
      <c r="K502" s="39"/>
      <c r="L502" s="39"/>
      <c r="M502" s="39"/>
      <c r="N502" s="39"/>
      <c r="O502" s="39"/>
      <c r="P502" s="39"/>
      <c r="Q502" s="39"/>
      <c r="R502" s="39"/>
      <c r="S502" s="39"/>
      <c r="T502" s="39"/>
      <c r="U502" s="39"/>
      <c r="V502" s="39"/>
      <c r="W502" s="39"/>
      <c r="X502" s="39"/>
      <c r="Y502" s="39"/>
      <c r="Z502" s="39"/>
      <c r="AA502" s="39"/>
      <c r="AB502" s="39"/>
      <c r="AC502" s="39"/>
      <c r="AD502" s="39"/>
      <c r="AE502" s="39"/>
      <c r="AF502" s="39"/>
      <c r="AG502" s="39"/>
      <c r="AH502" s="39"/>
    </row>
    <row r="503" spans="1:34" s="38" customFormat="1" x14ac:dyDescent="0.25">
      <c r="A503" s="39"/>
      <c r="B503" s="58"/>
      <c r="C503" s="58"/>
      <c r="D503" s="59"/>
      <c r="E503" s="39"/>
      <c r="F503" s="39"/>
      <c r="H503" s="39"/>
      <c r="I503" s="39"/>
      <c r="J503" s="39"/>
      <c r="K503" s="39"/>
      <c r="L503" s="39"/>
      <c r="M503" s="39"/>
      <c r="N503" s="39"/>
      <c r="O503" s="39"/>
      <c r="P503" s="39"/>
      <c r="Q503" s="39"/>
      <c r="R503" s="39"/>
      <c r="S503" s="39"/>
      <c r="T503" s="39"/>
      <c r="U503" s="39"/>
      <c r="V503" s="39"/>
      <c r="W503" s="39"/>
      <c r="X503" s="39"/>
      <c r="Y503" s="39"/>
      <c r="Z503" s="39"/>
      <c r="AA503" s="39"/>
      <c r="AB503" s="39"/>
      <c r="AC503" s="39"/>
      <c r="AD503" s="39"/>
      <c r="AE503" s="39"/>
      <c r="AF503" s="39"/>
      <c r="AG503" s="39"/>
      <c r="AH503" s="39"/>
    </row>
    <row r="504" spans="1:34" s="38" customFormat="1" x14ac:dyDescent="0.25">
      <c r="A504" s="39"/>
      <c r="B504" s="58"/>
      <c r="C504" s="58"/>
      <c r="D504" s="59"/>
      <c r="E504" s="39"/>
      <c r="F504" s="39"/>
      <c r="H504" s="39"/>
      <c r="I504" s="39"/>
      <c r="J504" s="39"/>
      <c r="K504" s="39"/>
      <c r="L504" s="39"/>
      <c r="M504" s="39"/>
      <c r="N504" s="39"/>
      <c r="O504" s="39"/>
      <c r="P504" s="39"/>
      <c r="Q504" s="39"/>
      <c r="R504" s="39"/>
      <c r="S504" s="39"/>
      <c r="T504" s="39"/>
      <c r="U504" s="39"/>
      <c r="V504" s="39"/>
      <c r="W504" s="39"/>
      <c r="X504" s="39"/>
      <c r="Y504" s="39"/>
      <c r="Z504" s="39"/>
      <c r="AA504" s="39"/>
      <c r="AB504" s="39"/>
      <c r="AC504" s="39"/>
      <c r="AD504" s="39"/>
      <c r="AE504" s="39"/>
      <c r="AF504" s="39"/>
      <c r="AG504" s="39"/>
      <c r="AH504" s="39"/>
    </row>
    <row r="505" spans="1:34" s="38" customFormat="1" x14ac:dyDescent="0.25">
      <c r="A505" s="39"/>
      <c r="B505" s="58"/>
      <c r="C505" s="58"/>
      <c r="D505" s="59"/>
      <c r="E505" s="39"/>
      <c r="F505" s="39"/>
      <c r="H505" s="39"/>
      <c r="I505" s="39"/>
      <c r="J505" s="39"/>
      <c r="K505" s="39"/>
      <c r="L505" s="39"/>
      <c r="M505" s="39"/>
      <c r="N505" s="39"/>
      <c r="O505" s="39"/>
      <c r="P505" s="39"/>
      <c r="Q505" s="39"/>
      <c r="R505" s="39"/>
      <c r="S505" s="39"/>
      <c r="T505" s="39"/>
      <c r="U505" s="39"/>
      <c r="V505" s="39"/>
      <c r="W505" s="39"/>
      <c r="X505" s="39"/>
      <c r="Y505" s="39"/>
      <c r="Z505" s="39"/>
      <c r="AA505" s="39"/>
      <c r="AB505" s="39"/>
      <c r="AC505" s="39"/>
      <c r="AD505" s="39"/>
      <c r="AE505" s="39"/>
      <c r="AF505" s="39"/>
      <c r="AG505" s="39"/>
      <c r="AH505" s="39"/>
    </row>
    <row r="506" spans="1:34" s="38" customFormat="1" x14ac:dyDescent="0.25">
      <c r="A506" s="39"/>
      <c r="B506" s="58"/>
      <c r="C506" s="58"/>
      <c r="D506" s="59"/>
      <c r="E506" s="39"/>
      <c r="F506" s="39"/>
      <c r="H506" s="39"/>
      <c r="I506" s="39"/>
      <c r="J506" s="39"/>
      <c r="K506" s="39"/>
      <c r="L506" s="39"/>
      <c r="M506" s="39"/>
      <c r="N506" s="39"/>
      <c r="O506" s="39"/>
      <c r="P506" s="39"/>
      <c r="Q506" s="39"/>
      <c r="R506" s="39"/>
      <c r="S506" s="39"/>
      <c r="T506" s="39"/>
      <c r="U506" s="39"/>
      <c r="V506" s="39"/>
      <c r="W506" s="39"/>
      <c r="X506" s="39"/>
      <c r="Y506" s="39"/>
      <c r="Z506" s="39"/>
      <c r="AA506" s="39"/>
      <c r="AB506" s="39"/>
      <c r="AC506" s="39"/>
      <c r="AD506" s="39"/>
      <c r="AE506" s="39"/>
      <c r="AF506" s="39"/>
      <c r="AG506" s="39"/>
      <c r="AH506" s="39"/>
    </row>
    <row r="507" spans="1:34" s="38" customFormat="1" x14ac:dyDescent="0.25">
      <c r="A507" s="39"/>
      <c r="B507" s="58"/>
      <c r="C507" s="58"/>
      <c r="D507" s="59"/>
      <c r="E507" s="39"/>
      <c r="F507" s="39"/>
      <c r="H507" s="39"/>
      <c r="I507" s="39"/>
      <c r="J507" s="39"/>
      <c r="K507" s="39"/>
      <c r="L507" s="39"/>
      <c r="M507" s="39"/>
      <c r="N507" s="39"/>
      <c r="O507" s="39"/>
      <c r="P507" s="39"/>
      <c r="Q507" s="39"/>
      <c r="R507" s="39"/>
      <c r="S507" s="39"/>
      <c r="T507" s="39"/>
      <c r="U507" s="39"/>
      <c r="V507" s="39"/>
      <c r="W507" s="39"/>
      <c r="X507" s="39"/>
      <c r="Y507" s="39"/>
      <c r="Z507" s="39"/>
      <c r="AA507" s="39"/>
      <c r="AB507" s="39"/>
      <c r="AC507" s="39"/>
      <c r="AD507" s="39"/>
      <c r="AE507" s="39"/>
      <c r="AF507" s="39"/>
      <c r="AG507" s="39"/>
      <c r="AH507" s="39"/>
    </row>
    <row r="508" spans="1:34" s="38" customFormat="1" x14ac:dyDescent="0.25">
      <c r="A508" s="39"/>
      <c r="B508" s="58"/>
      <c r="C508" s="58"/>
      <c r="D508" s="59"/>
      <c r="E508" s="39"/>
      <c r="F508" s="39"/>
      <c r="H508" s="39"/>
      <c r="I508" s="39"/>
      <c r="J508" s="39"/>
      <c r="K508" s="39"/>
      <c r="L508" s="39"/>
      <c r="M508" s="39"/>
      <c r="N508" s="39"/>
      <c r="O508" s="39"/>
      <c r="P508" s="39"/>
      <c r="Q508" s="39"/>
      <c r="R508" s="39"/>
      <c r="S508" s="39"/>
      <c r="T508" s="39"/>
      <c r="U508" s="39"/>
      <c r="V508" s="39"/>
      <c r="W508" s="39"/>
      <c r="X508" s="39"/>
      <c r="Y508" s="39"/>
      <c r="Z508" s="39"/>
      <c r="AA508" s="39"/>
      <c r="AB508" s="39"/>
      <c r="AC508" s="39"/>
      <c r="AD508" s="39"/>
      <c r="AE508" s="39"/>
      <c r="AF508" s="39"/>
      <c r="AG508" s="39"/>
      <c r="AH508" s="39"/>
    </row>
    <row r="509" spans="1:34" s="38" customFormat="1" x14ac:dyDescent="0.25">
      <c r="A509" s="39"/>
      <c r="B509" s="58"/>
      <c r="C509" s="58"/>
      <c r="D509" s="59"/>
      <c r="E509" s="39"/>
      <c r="F509" s="39"/>
      <c r="H509" s="39"/>
      <c r="I509" s="39"/>
      <c r="J509" s="39"/>
      <c r="K509" s="39"/>
      <c r="L509" s="39"/>
      <c r="M509" s="39"/>
      <c r="N509" s="39"/>
      <c r="O509" s="39"/>
      <c r="P509" s="39"/>
      <c r="Q509" s="39"/>
      <c r="R509" s="39"/>
      <c r="S509" s="39"/>
      <c r="T509" s="39"/>
      <c r="U509" s="39"/>
      <c r="V509" s="39"/>
      <c r="W509" s="39"/>
      <c r="X509" s="39"/>
      <c r="Y509" s="39"/>
      <c r="Z509" s="39"/>
      <c r="AA509" s="39"/>
      <c r="AB509" s="39"/>
      <c r="AC509" s="39"/>
      <c r="AD509" s="39"/>
      <c r="AE509" s="39"/>
      <c r="AF509" s="39"/>
      <c r="AG509" s="39"/>
      <c r="AH509" s="39"/>
    </row>
    <row r="510" spans="1:34" s="38" customFormat="1" x14ac:dyDescent="0.25">
      <c r="A510" s="39"/>
      <c r="B510" s="58"/>
      <c r="C510" s="58"/>
      <c r="D510" s="59"/>
      <c r="E510" s="59"/>
      <c r="F510" s="59"/>
      <c r="H510" s="39"/>
      <c r="I510" s="39"/>
      <c r="J510" s="39"/>
      <c r="K510" s="39"/>
      <c r="L510" s="39"/>
      <c r="M510" s="39"/>
      <c r="N510" s="39"/>
      <c r="O510" s="39"/>
      <c r="P510" s="39"/>
      <c r="Q510" s="39"/>
      <c r="R510" s="39"/>
      <c r="S510" s="39"/>
      <c r="T510" s="39"/>
      <c r="U510" s="39"/>
      <c r="V510" s="39"/>
      <c r="W510" s="39"/>
      <c r="X510" s="39"/>
      <c r="Y510" s="39"/>
      <c r="Z510" s="39"/>
      <c r="AA510" s="39"/>
      <c r="AB510" s="39"/>
      <c r="AC510" s="39"/>
      <c r="AD510" s="39"/>
      <c r="AE510" s="39"/>
      <c r="AF510" s="39"/>
      <c r="AG510" s="39"/>
      <c r="AH510" s="39"/>
    </row>
    <row r="511" spans="1:34" s="38" customFormat="1" x14ac:dyDescent="0.25">
      <c r="A511" s="39"/>
      <c r="B511" s="58"/>
      <c r="C511" s="58"/>
      <c r="D511" s="59"/>
      <c r="E511" s="59"/>
      <c r="F511" s="59"/>
      <c r="H511" s="39"/>
      <c r="I511" s="39"/>
      <c r="J511" s="39"/>
      <c r="K511" s="39"/>
      <c r="L511" s="39"/>
      <c r="M511" s="39"/>
      <c r="N511" s="39"/>
      <c r="O511" s="39"/>
      <c r="P511" s="39"/>
      <c r="Q511" s="39"/>
      <c r="R511" s="39"/>
      <c r="S511" s="39"/>
      <c r="T511" s="39"/>
      <c r="U511" s="39"/>
      <c r="V511" s="39"/>
      <c r="W511" s="39"/>
      <c r="X511" s="39"/>
      <c r="Y511" s="39"/>
      <c r="Z511" s="39"/>
      <c r="AA511" s="39"/>
      <c r="AB511" s="39"/>
      <c r="AC511" s="39"/>
      <c r="AD511" s="39"/>
      <c r="AE511" s="39"/>
      <c r="AF511" s="39"/>
      <c r="AG511" s="39"/>
      <c r="AH511" s="39"/>
    </row>
    <row r="512" spans="1:34" s="38" customFormat="1" x14ac:dyDescent="0.25">
      <c r="A512" s="39"/>
      <c r="B512" s="58"/>
      <c r="C512" s="58"/>
      <c r="D512" s="59"/>
      <c r="E512" s="59"/>
      <c r="F512" s="59"/>
      <c r="H512" s="39"/>
      <c r="I512" s="39"/>
      <c r="J512" s="39"/>
      <c r="K512" s="39"/>
      <c r="L512" s="39"/>
      <c r="M512" s="39"/>
      <c r="N512" s="39"/>
      <c r="O512" s="39"/>
      <c r="P512" s="39"/>
      <c r="Q512" s="39"/>
      <c r="R512" s="39"/>
      <c r="S512" s="39"/>
      <c r="T512" s="39"/>
      <c r="U512" s="39"/>
      <c r="V512" s="39"/>
      <c r="W512" s="39"/>
      <c r="X512" s="39"/>
      <c r="Y512" s="39"/>
      <c r="Z512" s="39"/>
      <c r="AA512" s="39"/>
      <c r="AB512" s="39"/>
      <c r="AC512" s="39"/>
      <c r="AD512" s="39"/>
      <c r="AE512" s="39"/>
      <c r="AF512" s="39"/>
      <c r="AG512" s="39"/>
      <c r="AH512" s="39"/>
    </row>
    <row r="513" spans="1:34" s="38" customFormat="1" x14ac:dyDescent="0.25">
      <c r="A513" s="39"/>
      <c r="B513" s="58"/>
      <c r="C513" s="58"/>
      <c r="D513" s="59"/>
      <c r="E513" s="59"/>
      <c r="F513" s="59"/>
      <c r="H513" s="39"/>
      <c r="I513" s="39"/>
      <c r="J513" s="39"/>
      <c r="K513" s="39"/>
      <c r="L513" s="39"/>
      <c r="M513" s="39"/>
      <c r="N513" s="39"/>
      <c r="O513" s="39"/>
      <c r="P513" s="39"/>
      <c r="Q513" s="39"/>
      <c r="R513" s="39"/>
      <c r="S513" s="39"/>
      <c r="T513" s="39"/>
      <c r="U513" s="39"/>
      <c r="V513" s="39"/>
      <c r="W513" s="39"/>
      <c r="X513" s="39"/>
      <c r="Y513" s="39"/>
      <c r="Z513" s="39"/>
      <c r="AA513" s="39"/>
      <c r="AB513" s="39"/>
      <c r="AC513" s="39"/>
      <c r="AD513" s="39"/>
      <c r="AE513" s="39"/>
      <c r="AF513" s="39"/>
      <c r="AG513" s="39"/>
      <c r="AH513" s="39"/>
    </row>
    <row r="514" spans="1:34" s="38" customFormat="1" x14ac:dyDescent="0.25">
      <c r="A514" s="39"/>
      <c r="B514" s="58"/>
      <c r="C514" s="58"/>
      <c r="D514" s="59"/>
      <c r="E514" s="59"/>
      <c r="F514" s="59"/>
      <c r="H514" s="39"/>
      <c r="I514" s="39"/>
      <c r="J514" s="39"/>
      <c r="K514" s="39"/>
      <c r="L514" s="39"/>
      <c r="M514" s="39"/>
      <c r="N514" s="39"/>
      <c r="O514" s="39"/>
      <c r="P514" s="39"/>
      <c r="Q514" s="39"/>
      <c r="R514" s="39"/>
      <c r="S514" s="39"/>
      <c r="T514" s="39"/>
      <c r="U514" s="39"/>
      <c r="V514" s="39"/>
      <c r="W514" s="39"/>
      <c r="X514" s="39"/>
      <c r="Y514" s="39"/>
      <c r="Z514" s="39"/>
      <c r="AA514" s="39"/>
      <c r="AB514" s="39"/>
      <c r="AC514" s="39"/>
      <c r="AD514" s="39"/>
      <c r="AE514" s="39"/>
      <c r="AF514" s="39"/>
      <c r="AG514" s="39"/>
      <c r="AH514" s="39"/>
    </row>
    <row r="515" spans="1:34" s="38" customFormat="1" x14ac:dyDescent="0.25">
      <c r="A515" s="39"/>
      <c r="B515" s="58"/>
      <c r="C515" s="58"/>
      <c r="D515" s="59"/>
      <c r="E515" s="59"/>
      <c r="F515" s="59"/>
      <c r="H515" s="39"/>
      <c r="I515" s="39"/>
      <c r="J515" s="39"/>
      <c r="K515" s="39"/>
      <c r="L515" s="39"/>
      <c r="M515" s="39"/>
      <c r="N515" s="39"/>
      <c r="O515" s="39"/>
      <c r="P515" s="39"/>
      <c r="Q515" s="39"/>
      <c r="R515" s="39"/>
      <c r="S515" s="39"/>
      <c r="T515" s="39"/>
      <c r="U515" s="39"/>
      <c r="V515" s="39"/>
      <c r="W515" s="39"/>
      <c r="X515" s="39"/>
      <c r="Y515" s="39"/>
      <c r="Z515" s="39"/>
      <c r="AA515" s="39"/>
      <c r="AB515" s="39"/>
      <c r="AC515" s="39"/>
      <c r="AD515" s="39"/>
      <c r="AE515" s="39"/>
      <c r="AF515" s="39"/>
      <c r="AG515" s="39"/>
      <c r="AH515" s="39"/>
    </row>
    <row r="516" spans="1:34" s="38" customFormat="1" x14ac:dyDescent="0.25">
      <c r="A516" s="39"/>
      <c r="B516" s="58"/>
      <c r="C516" s="58"/>
      <c r="D516" s="59"/>
      <c r="E516" s="59"/>
      <c r="F516" s="59"/>
      <c r="H516" s="39"/>
      <c r="I516" s="39"/>
      <c r="J516" s="39"/>
      <c r="K516" s="39"/>
      <c r="L516" s="39"/>
      <c r="M516" s="39"/>
      <c r="N516" s="39"/>
      <c r="O516" s="39"/>
      <c r="P516" s="39"/>
      <c r="Q516" s="39"/>
      <c r="R516" s="39"/>
      <c r="S516" s="39"/>
      <c r="T516" s="39"/>
      <c r="U516" s="39"/>
      <c r="V516" s="39"/>
      <c r="W516" s="39"/>
      <c r="X516" s="39"/>
      <c r="Y516" s="39"/>
      <c r="Z516" s="39"/>
      <c r="AA516" s="39"/>
      <c r="AB516" s="39"/>
      <c r="AC516" s="39"/>
      <c r="AD516" s="39"/>
      <c r="AE516" s="39"/>
      <c r="AF516" s="39"/>
      <c r="AG516" s="39"/>
      <c r="AH516" s="39"/>
    </row>
    <row r="517" spans="1:34" s="38" customFormat="1" x14ac:dyDescent="0.25">
      <c r="A517" s="39"/>
      <c r="B517" s="58"/>
      <c r="C517" s="58"/>
      <c r="D517" s="59"/>
      <c r="E517" s="59"/>
      <c r="F517" s="59"/>
      <c r="H517" s="39"/>
      <c r="I517" s="39"/>
      <c r="J517" s="39"/>
      <c r="K517" s="39"/>
      <c r="L517" s="39"/>
      <c r="M517" s="39"/>
      <c r="N517" s="39"/>
      <c r="O517" s="39"/>
      <c r="P517" s="39"/>
      <c r="Q517" s="39"/>
      <c r="R517" s="39"/>
      <c r="S517" s="39"/>
      <c r="T517" s="39"/>
      <c r="U517" s="39"/>
      <c r="V517" s="39"/>
      <c r="W517" s="39"/>
      <c r="X517" s="39"/>
      <c r="Y517" s="39"/>
      <c r="Z517" s="39"/>
      <c r="AA517" s="39"/>
      <c r="AB517" s="39"/>
      <c r="AC517" s="39"/>
      <c r="AD517" s="39"/>
      <c r="AE517" s="39"/>
      <c r="AF517" s="39"/>
      <c r="AG517" s="39"/>
      <c r="AH517" s="39"/>
    </row>
    <row r="518" spans="1:34" s="38" customFormat="1" x14ac:dyDescent="0.25">
      <c r="A518" s="39"/>
      <c r="B518" s="58"/>
      <c r="C518" s="58"/>
      <c r="D518" s="59"/>
      <c r="E518" s="39"/>
      <c r="F518" s="39"/>
      <c r="H518" s="39"/>
      <c r="I518" s="39"/>
      <c r="J518" s="39"/>
      <c r="K518" s="39"/>
      <c r="L518" s="39"/>
      <c r="M518" s="39"/>
      <c r="N518" s="39"/>
      <c r="O518" s="39"/>
      <c r="P518" s="39"/>
      <c r="Q518" s="39"/>
      <c r="R518" s="39"/>
      <c r="S518" s="39"/>
      <c r="T518" s="39"/>
      <c r="U518" s="39"/>
      <c r="V518" s="39"/>
      <c r="W518" s="39"/>
      <c r="X518" s="39"/>
      <c r="Y518" s="39"/>
      <c r="Z518" s="39"/>
      <c r="AA518" s="39"/>
      <c r="AB518" s="39"/>
      <c r="AC518" s="39"/>
      <c r="AD518" s="39"/>
      <c r="AE518" s="39"/>
      <c r="AF518" s="39"/>
      <c r="AG518" s="39"/>
      <c r="AH518" s="39"/>
    </row>
    <row r="519" spans="1:34" s="38" customFormat="1" x14ac:dyDescent="0.25">
      <c r="A519" s="39"/>
      <c r="B519" s="58"/>
      <c r="C519" s="58"/>
      <c r="D519" s="59"/>
      <c r="E519" s="39"/>
      <c r="F519" s="39"/>
      <c r="H519" s="39"/>
      <c r="I519" s="39"/>
      <c r="J519" s="39"/>
      <c r="K519" s="39"/>
      <c r="L519" s="39"/>
      <c r="M519" s="39"/>
      <c r="N519" s="39"/>
      <c r="O519" s="39"/>
      <c r="P519" s="39"/>
      <c r="Q519" s="39"/>
      <c r="R519" s="39"/>
      <c r="S519" s="39"/>
      <c r="T519" s="39"/>
      <c r="U519" s="39"/>
      <c r="V519" s="39"/>
      <c r="W519" s="39"/>
      <c r="X519" s="39"/>
      <c r="Y519" s="39"/>
      <c r="Z519" s="39"/>
      <c r="AA519" s="39"/>
      <c r="AB519" s="39"/>
      <c r="AC519" s="39"/>
      <c r="AD519" s="39"/>
      <c r="AE519" s="39"/>
      <c r="AF519" s="39"/>
      <c r="AG519" s="39"/>
      <c r="AH519" s="39"/>
    </row>
    <row r="520" spans="1:34" s="38" customFormat="1" x14ac:dyDescent="0.25">
      <c r="A520" s="39"/>
      <c r="B520" s="58"/>
      <c r="C520" s="58"/>
      <c r="D520" s="59"/>
      <c r="E520" s="39"/>
      <c r="F520" s="39"/>
      <c r="H520" s="39"/>
      <c r="I520" s="39"/>
      <c r="J520" s="39"/>
      <c r="K520" s="39"/>
      <c r="L520" s="39"/>
      <c r="M520" s="39"/>
      <c r="N520" s="39"/>
      <c r="O520" s="39"/>
      <c r="P520" s="39"/>
      <c r="Q520" s="39"/>
      <c r="R520" s="39"/>
      <c r="S520" s="39"/>
      <c r="T520" s="39"/>
      <c r="U520" s="39"/>
      <c r="V520" s="39"/>
      <c r="W520" s="39"/>
      <c r="X520" s="39"/>
      <c r="Y520" s="39"/>
      <c r="Z520" s="39"/>
      <c r="AA520" s="39"/>
      <c r="AB520" s="39"/>
      <c r="AC520" s="39"/>
      <c r="AD520" s="39"/>
      <c r="AE520" s="39"/>
      <c r="AF520" s="39"/>
      <c r="AG520" s="39"/>
      <c r="AH520" s="39"/>
    </row>
    <row r="521" spans="1:34" s="38" customFormat="1" x14ac:dyDescent="0.25">
      <c r="A521" s="39"/>
      <c r="B521" s="58"/>
      <c r="C521" s="58"/>
      <c r="D521" s="59"/>
      <c r="E521" s="39"/>
      <c r="F521" s="39"/>
      <c r="H521" s="39"/>
      <c r="I521" s="39"/>
      <c r="J521" s="39"/>
      <c r="K521" s="39"/>
      <c r="L521" s="39"/>
      <c r="M521" s="39"/>
      <c r="N521" s="39"/>
      <c r="O521" s="39"/>
      <c r="P521" s="39"/>
      <c r="Q521" s="39"/>
      <c r="R521" s="39"/>
      <c r="S521" s="39"/>
      <c r="T521" s="39"/>
      <c r="U521" s="39"/>
      <c r="V521" s="39"/>
      <c r="W521" s="39"/>
      <c r="X521" s="39"/>
      <c r="Y521" s="39"/>
      <c r="Z521" s="39"/>
      <c r="AA521" s="39"/>
      <c r="AB521" s="39"/>
      <c r="AC521" s="39"/>
      <c r="AD521" s="39"/>
      <c r="AE521" s="39"/>
      <c r="AF521" s="39"/>
      <c r="AG521" s="39"/>
      <c r="AH521" s="39"/>
    </row>
    <row r="522" spans="1:34" s="38" customFormat="1" x14ac:dyDescent="0.25">
      <c r="A522" s="39"/>
      <c r="B522" s="58"/>
      <c r="C522" s="58"/>
      <c r="D522" s="59"/>
      <c r="E522" s="39"/>
      <c r="F522" s="39"/>
      <c r="H522" s="39"/>
      <c r="I522" s="39"/>
      <c r="J522" s="39"/>
      <c r="K522" s="39"/>
      <c r="L522" s="39"/>
      <c r="M522" s="39"/>
      <c r="N522" s="39"/>
      <c r="O522" s="39"/>
      <c r="P522" s="39"/>
      <c r="Q522" s="39"/>
      <c r="R522" s="39"/>
      <c r="S522" s="39"/>
      <c r="T522" s="39"/>
      <c r="U522" s="39"/>
      <c r="V522" s="39"/>
      <c r="W522" s="39"/>
      <c r="X522" s="39"/>
      <c r="Y522" s="39"/>
      <c r="Z522" s="39"/>
      <c r="AA522" s="39"/>
      <c r="AB522" s="39"/>
      <c r="AC522" s="39"/>
      <c r="AD522" s="39"/>
      <c r="AE522" s="39"/>
      <c r="AF522" s="39"/>
      <c r="AG522" s="39"/>
      <c r="AH522" s="39"/>
    </row>
    <row r="523" spans="1:34" s="38" customFormat="1" x14ac:dyDescent="0.25">
      <c r="A523" s="39"/>
      <c r="B523" s="58"/>
      <c r="C523" s="58"/>
      <c r="D523" s="59"/>
      <c r="E523" s="39"/>
      <c r="F523" s="39"/>
      <c r="H523" s="39"/>
      <c r="I523" s="39"/>
      <c r="J523" s="39"/>
      <c r="K523" s="39"/>
      <c r="L523" s="39"/>
      <c r="M523" s="39"/>
      <c r="N523" s="39"/>
      <c r="O523" s="39"/>
      <c r="P523" s="39"/>
      <c r="Q523" s="39"/>
      <c r="R523" s="39"/>
      <c r="S523" s="39"/>
      <c r="T523" s="39"/>
      <c r="U523" s="39"/>
      <c r="V523" s="39"/>
      <c r="W523" s="39"/>
      <c r="X523" s="39"/>
      <c r="Y523" s="39"/>
      <c r="Z523" s="39"/>
      <c r="AA523" s="39"/>
      <c r="AB523" s="39"/>
      <c r="AC523" s="39"/>
      <c r="AD523" s="39"/>
      <c r="AE523" s="39"/>
      <c r="AF523" s="39"/>
      <c r="AG523" s="39"/>
      <c r="AH523" s="39"/>
    </row>
    <row r="524" spans="1:34" s="38" customFormat="1" x14ac:dyDescent="0.25">
      <c r="A524" s="39"/>
      <c r="B524" s="58"/>
      <c r="C524" s="58"/>
      <c r="D524" s="59"/>
      <c r="E524" s="39"/>
      <c r="F524" s="39"/>
      <c r="H524" s="39"/>
      <c r="I524" s="39"/>
      <c r="J524" s="39"/>
      <c r="K524" s="39"/>
      <c r="L524" s="39"/>
      <c r="M524" s="39"/>
      <c r="N524" s="39"/>
      <c r="O524" s="39"/>
      <c r="P524" s="39"/>
      <c r="Q524" s="39"/>
      <c r="R524" s="39"/>
      <c r="S524" s="39"/>
      <c r="T524" s="39"/>
      <c r="U524" s="39"/>
      <c r="V524" s="39"/>
      <c r="W524" s="39"/>
      <c r="X524" s="39"/>
      <c r="Y524" s="39"/>
      <c r="Z524" s="39"/>
      <c r="AA524" s="39"/>
      <c r="AB524" s="39"/>
      <c r="AC524" s="39"/>
      <c r="AD524" s="39"/>
      <c r="AE524" s="39"/>
      <c r="AF524" s="39"/>
      <c r="AG524" s="39"/>
      <c r="AH524" s="39"/>
    </row>
    <row r="525" spans="1:34" s="38" customFormat="1" x14ac:dyDescent="0.25">
      <c r="A525" s="39"/>
      <c r="B525" s="58"/>
      <c r="C525" s="58"/>
      <c r="D525" s="59"/>
      <c r="E525" s="39"/>
      <c r="F525" s="39"/>
      <c r="H525" s="39"/>
      <c r="I525" s="39"/>
      <c r="J525" s="39"/>
      <c r="K525" s="39"/>
      <c r="L525" s="39"/>
      <c r="M525" s="39"/>
      <c r="N525" s="39"/>
      <c r="O525" s="39"/>
      <c r="P525" s="39"/>
      <c r="Q525" s="39"/>
      <c r="R525" s="39"/>
      <c r="S525" s="39"/>
      <c r="T525" s="39"/>
      <c r="U525" s="39"/>
      <c r="V525" s="39"/>
      <c r="W525" s="39"/>
      <c r="X525" s="39"/>
      <c r="Y525" s="39"/>
      <c r="Z525" s="39"/>
      <c r="AA525" s="39"/>
      <c r="AB525" s="39"/>
      <c r="AC525" s="39"/>
      <c r="AD525" s="39"/>
      <c r="AE525" s="39"/>
      <c r="AF525" s="39"/>
      <c r="AG525" s="39"/>
      <c r="AH525" s="39"/>
    </row>
    <row r="526" spans="1:34" s="38" customFormat="1" x14ac:dyDescent="0.25">
      <c r="A526" s="39"/>
      <c r="B526" s="58"/>
      <c r="C526" s="58"/>
      <c r="D526" s="59"/>
      <c r="E526" s="39"/>
      <c r="F526" s="39"/>
      <c r="H526" s="39"/>
      <c r="I526" s="39"/>
      <c r="J526" s="39"/>
      <c r="K526" s="39"/>
      <c r="L526" s="39"/>
      <c r="M526" s="39"/>
      <c r="N526" s="39"/>
      <c r="O526" s="39"/>
      <c r="P526" s="39"/>
      <c r="Q526" s="39"/>
      <c r="R526" s="39"/>
      <c r="S526" s="39"/>
      <c r="T526" s="39"/>
      <c r="U526" s="39"/>
      <c r="V526" s="39"/>
      <c r="W526" s="39"/>
      <c r="X526" s="39"/>
      <c r="Y526" s="39"/>
      <c r="Z526" s="39"/>
      <c r="AA526" s="39"/>
      <c r="AB526" s="39"/>
      <c r="AC526" s="39"/>
      <c r="AD526" s="39"/>
      <c r="AE526" s="39"/>
      <c r="AF526" s="39"/>
      <c r="AG526" s="39"/>
      <c r="AH526" s="39"/>
    </row>
    <row r="527" spans="1:34" s="38" customFormat="1" x14ac:dyDescent="0.25">
      <c r="A527" s="39"/>
      <c r="B527" s="58"/>
      <c r="C527" s="58"/>
      <c r="D527" s="59"/>
      <c r="E527" s="39"/>
      <c r="F527" s="39"/>
      <c r="H527" s="39"/>
      <c r="I527" s="39"/>
      <c r="J527" s="39"/>
      <c r="K527" s="39"/>
      <c r="L527" s="39"/>
      <c r="M527" s="39"/>
      <c r="N527" s="39"/>
      <c r="O527" s="39"/>
      <c r="P527" s="39"/>
      <c r="Q527" s="39"/>
      <c r="R527" s="39"/>
      <c r="S527" s="39"/>
      <c r="T527" s="39"/>
      <c r="U527" s="39"/>
      <c r="V527" s="39"/>
      <c r="W527" s="39"/>
      <c r="X527" s="39"/>
      <c r="Y527" s="39"/>
      <c r="Z527" s="39"/>
      <c r="AA527" s="39"/>
      <c r="AB527" s="39"/>
      <c r="AC527" s="39"/>
      <c r="AD527" s="39"/>
      <c r="AE527" s="39"/>
      <c r="AF527" s="39"/>
      <c r="AG527" s="39"/>
      <c r="AH527" s="39"/>
    </row>
    <row r="528" spans="1:34" s="38" customFormat="1" x14ac:dyDescent="0.25">
      <c r="A528" s="39"/>
      <c r="B528" s="58"/>
      <c r="C528" s="58"/>
      <c r="D528" s="59"/>
      <c r="E528" s="39"/>
      <c r="F528" s="39"/>
      <c r="H528" s="39"/>
      <c r="I528" s="39"/>
      <c r="J528" s="39"/>
      <c r="K528" s="39"/>
      <c r="L528" s="39"/>
      <c r="M528" s="39"/>
      <c r="N528" s="39"/>
      <c r="O528" s="39"/>
      <c r="P528" s="39"/>
      <c r="Q528" s="39"/>
      <c r="R528" s="39"/>
      <c r="S528" s="39"/>
      <c r="T528" s="39"/>
      <c r="U528" s="39"/>
      <c r="V528" s="39"/>
      <c r="W528" s="39"/>
      <c r="X528" s="39"/>
      <c r="Y528" s="39"/>
      <c r="Z528" s="39"/>
      <c r="AA528" s="39"/>
      <c r="AB528" s="39"/>
      <c r="AC528" s="39"/>
      <c r="AD528" s="39"/>
      <c r="AE528" s="39"/>
      <c r="AF528" s="39"/>
      <c r="AG528" s="39"/>
      <c r="AH528" s="39"/>
    </row>
    <row r="529" spans="1:34" s="38" customFormat="1" x14ac:dyDescent="0.25">
      <c r="A529" s="39"/>
      <c r="B529" s="58"/>
      <c r="C529" s="58"/>
      <c r="D529" s="59"/>
      <c r="E529" s="39"/>
      <c r="F529" s="39"/>
      <c r="H529" s="39"/>
      <c r="I529" s="39"/>
      <c r="J529" s="39"/>
      <c r="K529" s="39"/>
      <c r="L529" s="39"/>
      <c r="M529" s="39"/>
      <c r="N529" s="39"/>
      <c r="O529" s="39"/>
      <c r="P529" s="39"/>
      <c r="Q529" s="39"/>
      <c r="R529" s="39"/>
      <c r="S529" s="39"/>
      <c r="T529" s="39"/>
      <c r="U529" s="39"/>
      <c r="V529" s="39"/>
      <c r="W529" s="39"/>
      <c r="X529" s="39"/>
      <c r="Y529" s="39"/>
      <c r="Z529" s="39"/>
      <c r="AA529" s="39"/>
      <c r="AB529" s="39"/>
      <c r="AC529" s="39"/>
      <c r="AD529" s="39"/>
      <c r="AE529" s="39"/>
      <c r="AF529" s="39"/>
      <c r="AG529" s="39"/>
      <c r="AH529" s="39"/>
    </row>
    <row r="530" spans="1:34" s="38" customFormat="1" x14ac:dyDescent="0.25">
      <c r="A530" s="39"/>
      <c r="B530" s="58"/>
      <c r="C530" s="58"/>
      <c r="D530" s="59"/>
      <c r="E530" s="39"/>
      <c r="F530" s="39"/>
      <c r="H530" s="39"/>
      <c r="I530" s="39"/>
      <c r="J530" s="39"/>
      <c r="K530" s="39"/>
      <c r="L530" s="39"/>
      <c r="M530" s="39"/>
      <c r="N530" s="39"/>
      <c r="O530" s="39"/>
      <c r="P530" s="39"/>
      <c r="Q530" s="39"/>
      <c r="R530" s="39"/>
      <c r="S530" s="39"/>
      <c r="T530" s="39"/>
      <c r="U530" s="39"/>
      <c r="V530" s="39"/>
      <c r="W530" s="39"/>
      <c r="X530" s="39"/>
      <c r="Y530" s="39"/>
      <c r="Z530" s="39"/>
      <c r="AA530" s="39"/>
      <c r="AB530" s="39"/>
      <c r="AC530" s="39"/>
      <c r="AD530" s="39"/>
      <c r="AE530" s="39"/>
      <c r="AF530" s="39"/>
      <c r="AG530" s="39"/>
      <c r="AH530" s="39"/>
    </row>
    <row r="531" spans="1:34" s="38" customFormat="1" x14ac:dyDescent="0.25">
      <c r="A531" s="39"/>
      <c r="B531" s="58"/>
      <c r="C531" s="58"/>
      <c r="D531" s="59"/>
      <c r="E531" s="39"/>
      <c r="F531" s="39"/>
      <c r="H531" s="39"/>
      <c r="I531" s="39"/>
      <c r="J531" s="39"/>
      <c r="K531" s="39"/>
      <c r="L531" s="39"/>
      <c r="M531" s="39"/>
      <c r="N531" s="39"/>
      <c r="O531" s="39"/>
      <c r="P531" s="39"/>
      <c r="Q531" s="39"/>
      <c r="R531" s="39"/>
      <c r="S531" s="39"/>
      <c r="T531" s="39"/>
      <c r="U531" s="39"/>
      <c r="V531" s="39"/>
      <c r="W531" s="39"/>
      <c r="X531" s="39"/>
      <c r="Y531" s="39"/>
      <c r="Z531" s="39"/>
      <c r="AA531" s="39"/>
      <c r="AB531" s="39"/>
      <c r="AC531" s="39"/>
      <c r="AD531" s="39"/>
      <c r="AE531" s="39"/>
      <c r="AF531" s="39"/>
      <c r="AG531" s="39"/>
      <c r="AH531" s="39"/>
    </row>
    <row r="532" spans="1:34" s="38" customFormat="1" x14ac:dyDescent="0.25">
      <c r="A532" s="39"/>
      <c r="B532" s="58"/>
      <c r="C532" s="58"/>
      <c r="D532" s="59"/>
      <c r="E532" s="39"/>
      <c r="F532" s="39"/>
      <c r="H532" s="39"/>
      <c r="I532" s="39"/>
      <c r="J532" s="39"/>
      <c r="K532" s="39"/>
      <c r="L532" s="39"/>
      <c r="M532" s="39"/>
      <c r="N532" s="39"/>
      <c r="O532" s="39"/>
      <c r="P532" s="39"/>
      <c r="Q532" s="39"/>
      <c r="R532" s="39"/>
      <c r="S532" s="39"/>
      <c r="T532" s="39"/>
      <c r="U532" s="39"/>
      <c r="V532" s="39"/>
      <c r="W532" s="39"/>
      <c r="X532" s="39"/>
      <c r="Y532" s="39"/>
      <c r="Z532" s="39"/>
      <c r="AA532" s="39"/>
      <c r="AB532" s="39"/>
      <c r="AC532" s="39"/>
      <c r="AD532" s="39"/>
      <c r="AE532" s="39"/>
      <c r="AF532" s="39"/>
      <c r="AG532" s="39"/>
      <c r="AH532" s="39"/>
    </row>
    <row r="533" spans="1:34" s="38" customFormat="1" x14ac:dyDescent="0.25">
      <c r="A533" s="39"/>
      <c r="B533" s="58"/>
      <c r="C533" s="58"/>
      <c r="D533" s="59"/>
      <c r="E533" s="39"/>
      <c r="F533" s="39"/>
      <c r="H533" s="39"/>
      <c r="I533" s="39"/>
      <c r="J533" s="39"/>
      <c r="K533" s="39"/>
      <c r="L533" s="39"/>
      <c r="M533" s="39"/>
      <c r="N533" s="39"/>
      <c r="O533" s="39"/>
      <c r="P533" s="39"/>
      <c r="Q533" s="39"/>
      <c r="R533" s="39"/>
      <c r="S533" s="39"/>
      <c r="T533" s="39"/>
      <c r="U533" s="39"/>
      <c r="V533" s="39"/>
      <c r="W533" s="39"/>
      <c r="X533" s="39"/>
      <c r="Y533" s="39"/>
      <c r="Z533" s="39"/>
      <c r="AA533" s="39"/>
      <c r="AB533" s="39"/>
      <c r="AC533" s="39"/>
      <c r="AD533" s="39"/>
      <c r="AE533" s="39"/>
      <c r="AF533" s="39"/>
      <c r="AG533" s="39"/>
      <c r="AH533" s="39"/>
    </row>
    <row r="534" spans="1:34" s="38" customFormat="1" x14ac:dyDescent="0.25">
      <c r="A534" s="39"/>
      <c r="B534" s="58"/>
      <c r="C534" s="58"/>
      <c r="D534" s="59"/>
      <c r="E534" s="39"/>
      <c r="F534" s="39"/>
      <c r="H534" s="39"/>
      <c r="I534" s="39"/>
      <c r="J534" s="39"/>
      <c r="K534" s="39"/>
      <c r="L534" s="39"/>
      <c r="M534" s="39"/>
      <c r="N534" s="39"/>
      <c r="O534" s="39"/>
      <c r="P534" s="39"/>
      <c r="Q534" s="39"/>
      <c r="R534" s="39"/>
      <c r="S534" s="39"/>
      <c r="T534" s="39"/>
      <c r="U534" s="39"/>
      <c r="V534" s="39"/>
      <c r="W534" s="39"/>
      <c r="X534" s="39"/>
      <c r="Y534" s="39"/>
      <c r="Z534" s="39"/>
      <c r="AA534" s="39"/>
      <c r="AB534" s="39"/>
      <c r="AC534" s="39"/>
      <c r="AD534" s="39"/>
      <c r="AE534" s="39"/>
      <c r="AF534" s="39"/>
      <c r="AG534" s="39"/>
      <c r="AH534" s="39"/>
    </row>
    <row r="535" spans="1:34" s="38" customFormat="1" x14ac:dyDescent="0.25">
      <c r="A535" s="39"/>
      <c r="B535" s="58"/>
      <c r="C535" s="58"/>
      <c r="D535" s="59"/>
      <c r="E535" s="59"/>
      <c r="F535" s="59"/>
      <c r="H535" s="39"/>
      <c r="I535" s="39"/>
      <c r="J535" s="39"/>
      <c r="K535" s="39"/>
      <c r="L535" s="39"/>
      <c r="M535" s="39"/>
      <c r="N535" s="39"/>
      <c r="O535" s="39"/>
      <c r="P535" s="39"/>
      <c r="Q535" s="39"/>
      <c r="R535" s="39"/>
      <c r="S535" s="39"/>
      <c r="T535" s="39"/>
      <c r="U535" s="39"/>
      <c r="V535" s="39"/>
      <c r="W535" s="39"/>
      <c r="X535" s="39"/>
      <c r="Y535" s="39"/>
      <c r="Z535" s="39"/>
      <c r="AA535" s="39"/>
      <c r="AB535" s="39"/>
      <c r="AC535" s="39"/>
      <c r="AD535" s="39"/>
      <c r="AE535" s="39"/>
      <c r="AF535" s="39"/>
      <c r="AG535" s="39"/>
      <c r="AH535" s="39"/>
    </row>
    <row r="536" spans="1:34" s="38" customFormat="1" x14ac:dyDescent="0.25">
      <c r="A536" s="39"/>
      <c r="B536" s="58"/>
      <c r="C536" s="58"/>
      <c r="D536" s="59"/>
      <c r="E536" s="59"/>
      <c r="F536" s="59"/>
      <c r="H536" s="39"/>
      <c r="I536" s="39"/>
      <c r="J536" s="39"/>
      <c r="K536" s="39"/>
      <c r="L536" s="39"/>
      <c r="M536" s="39"/>
      <c r="N536" s="39"/>
      <c r="O536" s="39"/>
      <c r="P536" s="39"/>
      <c r="Q536" s="39"/>
      <c r="R536" s="39"/>
      <c r="S536" s="39"/>
      <c r="T536" s="39"/>
      <c r="U536" s="39"/>
      <c r="V536" s="39"/>
      <c r="W536" s="39"/>
      <c r="X536" s="39"/>
      <c r="Y536" s="39"/>
      <c r="Z536" s="39"/>
      <c r="AA536" s="39"/>
      <c r="AB536" s="39"/>
      <c r="AC536" s="39"/>
      <c r="AD536" s="39"/>
      <c r="AE536" s="39"/>
      <c r="AF536" s="39"/>
      <c r="AG536" s="39"/>
      <c r="AH536" s="39"/>
    </row>
    <row r="537" spans="1:34" s="38" customFormat="1" x14ac:dyDescent="0.25">
      <c r="A537" s="39"/>
      <c r="B537" s="58"/>
      <c r="C537" s="58"/>
      <c r="D537" s="59"/>
      <c r="E537" s="59"/>
      <c r="F537" s="59"/>
      <c r="H537" s="39"/>
      <c r="I537" s="39"/>
      <c r="J537" s="39"/>
      <c r="K537" s="39"/>
      <c r="L537" s="39"/>
      <c r="M537" s="39"/>
      <c r="N537" s="39"/>
      <c r="O537" s="39"/>
      <c r="P537" s="39"/>
      <c r="Q537" s="39"/>
      <c r="R537" s="39"/>
      <c r="S537" s="39"/>
      <c r="T537" s="39"/>
      <c r="U537" s="39"/>
      <c r="V537" s="39"/>
      <c r="W537" s="39"/>
      <c r="X537" s="39"/>
      <c r="Y537" s="39"/>
      <c r="Z537" s="39"/>
      <c r="AA537" s="39"/>
      <c r="AB537" s="39"/>
      <c r="AC537" s="39"/>
      <c r="AD537" s="39"/>
      <c r="AE537" s="39"/>
      <c r="AF537" s="39"/>
      <c r="AG537" s="39"/>
      <c r="AH537" s="39"/>
    </row>
    <row r="538" spans="1:34" s="38" customFormat="1" x14ac:dyDescent="0.25">
      <c r="A538" s="39"/>
      <c r="B538" s="58"/>
      <c r="C538" s="58"/>
      <c r="D538" s="59"/>
      <c r="E538" s="59"/>
      <c r="F538" s="59"/>
      <c r="H538" s="39"/>
      <c r="I538" s="39"/>
      <c r="J538" s="39"/>
      <c r="K538" s="39"/>
      <c r="L538" s="39"/>
      <c r="M538" s="39"/>
      <c r="N538" s="39"/>
      <c r="O538" s="39"/>
      <c r="P538" s="39"/>
      <c r="Q538" s="39"/>
      <c r="R538" s="39"/>
      <c r="S538" s="39"/>
      <c r="T538" s="39"/>
      <c r="U538" s="39"/>
      <c r="V538" s="39"/>
      <c r="W538" s="39"/>
      <c r="X538" s="39"/>
      <c r="Y538" s="39"/>
      <c r="Z538" s="39"/>
      <c r="AA538" s="39"/>
      <c r="AB538" s="39"/>
      <c r="AC538" s="39"/>
      <c r="AD538" s="39"/>
      <c r="AE538" s="39"/>
      <c r="AF538" s="39"/>
      <c r="AG538" s="39"/>
      <c r="AH538" s="39"/>
    </row>
    <row r="539" spans="1:34" s="38" customFormat="1" x14ac:dyDescent="0.25">
      <c r="A539" s="39"/>
      <c r="B539" s="58"/>
      <c r="C539" s="58"/>
      <c r="D539" s="59"/>
      <c r="E539" s="59"/>
      <c r="F539" s="59"/>
      <c r="H539" s="39"/>
      <c r="I539" s="39"/>
      <c r="J539" s="39"/>
      <c r="K539" s="39"/>
      <c r="L539" s="39"/>
      <c r="M539" s="39"/>
      <c r="N539" s="39"/>
      <c r="O539" s="39"/>
      <c r="P539" s="39"/>
      <c r="Q539" s="39"/>
      <c r="R539" s="39"/>
      <c r="S539" s="39"/>
      <c r="T539" s="39"/>
      <c r="U539" s="39"/>
      <c r="V539" s="39"/>
      <c r="W539" s="39"/>
      <c r="X539" s="39"/>
      <c r="Y539" s="39"/>
      <c r="Z539" s="39"/>
      <c r="AA539" s="39"/>
      <c r="AB539" s="39"/>
      <c r="AC539" s="39"/>
      <c r="AD539" s="39"/>
      <c r="AE539" s="39"/>
      <c r="AF539" s="39"/>
      <c r="AG539" s="39"/>
      <c r="AH539" s="39"/>
    </row>
    <row r="540" spans="1:34" s="38" customFormat="1" x14ac:dyDescent="0.25">
      <c r="A540" s="39"/>
      <c r="B540" s="58"/>
      <c r="C540" s="58"/>
      <c r="D540" s="59"/>
      <c r="E540" s="59"/>
      <c r="F540" s="59"/>
      <c r="H540" s="39"/>
      <c r="I540" s="39"/>
      <c r="J540" s="39"/>
      <c r="K540" s="39"/>
      <c r="L540" s="39"/>
      <c r="M540" s="39"/>
      <c r="N540" s="39"/>
      <c r="O540" s="39"/>
      <c r="P540" s="39"/>
      <c r="Q540" s="39"/>
      <c r="R540" s="39"/>
      <c r="S540" s="39"/>
      <c r="T540" s="39"/>
      <c r="U540" s="39"/>
      <c r="V540" s="39"/>
      <c r="W540" s="39"/>
      <c r="X540" s="39"/>
      <c r="Y540" s="39"/>
      <c r="Z540" s="39"/>
      <c r="AA540" s="39"/>
      <c r="AB540" s="39"/>
      <c r="AC540" s="39"/>
      <c r="AD540" s="39"/>
      <c r="AE540" s="39"/>
      <c r="AF540" s="39"/>
      <c r="AG540" s="39"/>
      <c r="AH540" s="39"/>
    </row>
    <row r="541" spans="1:34" s="38" customFormat="1" x14ac:dyDescent="0.25">
      <c r="A541" s="39"/>
      <c r="B541" s="58"/>
      <c r="C541" s="58"/>
      <c r="D541" s="59"/>
      <c r="E541" s="59"/>
      <c r="F541" s="59"/>
      <c r="H541" s="39"/>
      <c r="I541" s="39"/>
      <c r="J541" s="39"/>
      <c r="K541" s="39"/>
      <c r="L541" s="39"/>
      <c r="M541" s="39"/>
      <c r="N541" s="39"/>
      <c r="O541" s="39"/>
      <c r="P541" s="39"/>
      <c r="Q541" s="39"/>
      <c r="R541" s="39"/>
      <c r="S541" s="39"/>
      <c r="T541" s="39"/>
      <c r="U541" s="39"/>
      <c r="V541" s="39"/>
      <c r="W541" s="39"/>
      <c r="X541" s="39"/>
      <c r="Y541" s="39"/>
      <c r="Z541" s="39"/>
      <c r="AA541" s="39"/>
      <c r="AB541" s="39"/>
      <c r="AC541" s="39"/>
      <c r="AD541" s="39"/>
      <c r="AE541" s="39"/>
      <c r="AF541" s="39"/>
      <c r="AG541" s="39"/>
      <c r="AH541" s="39"/>
    </row>
    <row r="542" spans="1:34" s="38" customFormat="1" x14ac:dyDescent="0.25">
      <c r="A542" s="39"/>
      <c r="B542" s="58"/>
      <c r="C542" s="58"/>
      <c r="D542" s="59"/>
      <c r="E542" s="39"/>
      <c r="F542" s="39"/>
      <c r="H542" s="39"/>
      <c r="I542" s="39"/>
      <c r="J542" s="39"/>
      <c r="K542" s="39"/>
      <c r="L542" s="39"/>
      <c r="M542" s="39"/>
      <c r="N542" s="39"/>
      <c r="O542" s="39"/>
      <c r="P542" s="39"/>
      <c r="Q542" s="39"/>
      <c r="R542" s="39"/>
      <c r="S542" s="39"/>
      <c r="T542" s="39"/>
      <c r="U542" s="39"/>
      <c r="V542" s="39"/>
      <c r="W542" s="39"/>
      <c r="X542" s="39"/>
      <c r="Y542" s="39"/>
      <c r="Z542" s="39"/>
      <c r="AA542" s="39"/>
      <c r="AB542" s="39"/>
      <c r="AC542" s="39"/>
      <c r="AD542" s="39"/>
      <c r="AE542" s="39"/>
      <c r="AF542" s="39"/>
      <c r="AG542" s="39"/>
      <c r="AH542" s="39"/>
    </row>
    <row r="543" spans="1:34" s="38" customFormat="1" x14ac:dyDescent="0.25">
      <c r="A543" s="39"/>
      <c r="B543" s="58"/>
      <c r="C543" s="58"/>
      <c r="D543" s="59"/>
      <c r="E543" s="39"/>
      <c r="F543" s="39"/>
      <c r="H543" s="39"/>
      <c r="I543" s="39"/>
      <c r="J543" s="39"/>
      <c r="K543" s="39"/>
      <c r="L543" s="39"/>
      <c r="M543" s="39"/>
      <c r="N543" s="39"/>
      <c r="O543" s="39"/>
      <c r="P543" s="39"/>
      <c r="Q543" s="39"/>
      <c r="R543" s="39"/>
      <c r="S543" s="39"/>
      <c r="T543" s="39"/>
      <c r="U543" s="39"/>
      <c r="V543" s="39"/>
      <c r="W543" s="39"/>
      <c r="X543" s="39"/>
      <c r="Y543" s="39"/>
      <c r="Z543" s="39"/>
      <c r="AA543" s="39"/>
      <c r="AB543" s="39"/>
      <c r="AC543" s="39"/>
      <c r="AD543" s="39"/>
      <c r="AE543" s="39"/>
      <c r="AF543" s="39"/>
      <c r="AG543" s="39"/>
      <c r="AH543" s="39"/>
    </row>
    <row r="544" spans="1:34" s="38" customFormat="1" x14ac:dyDescent="0.25">
      <c r="A544" s="39"/>
      <c r="B544" s="58"/>
      <c r="C544" s="58"/>
      <c r="D544" s="59"/>
      <c r="E544" s="39"/>
      <c r="F544" s="39"/>
      <c r="H544" s="39"/>
      <c r="I544" s="39"/>
      <c r="J544" s="39"/>
      <c r="K544" s="39"/>
      <c r="L544" s="39"/>
      <c r="M544" s="39"/>
      <c r="N544" s="39"/>
      <c r="O544" s="39"/>
      <c r="P544" s="39"/>
      <c r="Q544" s="39"/>
      <c r="R544" s="39"/>
      <c r="S544" s="39"/>
      <c r="T544" s="39"/>
      <c r="U544" s="39"/>
      <c r="V544" s="39"/>
      <c r="W544" s="39"/>
      <c r="X544" s="39"/>
      <c r="Y544" s="39"/>
      <c r="Z544" s="39"/>
      <c r="AA544" s="39"/>
      <c r="AB544" s="39"/>
      <c r="AC544" s="39"/>
      <c r="AD544" s="39"/>
      <c r="AE544" s="39"/>
      <c r="AF544" s="39"/>
      <c r="AG544" s="39"/>
      <c r="AH544" s="39"/>
    </row>
    <row r="545" spans="1:34" s="38" customFormat="1" x14ac:dyDescent="0.25">
      <c r="A545" s="39"/>
      <c r="B545" s="58"/>
      <c r="C545" s="58"/>
      <c r="D545" s="59"/>
      <c r="E545" s="39"/>
      <c r="F545" s="39"/>
      <c r="H545" s="39"/>
      <c r="I545" s="39"/>
      <c r="J545" s="39"/>
      <c r="K545" s="39"/>
      <c r="L545" s="39"/>
      <c r="M545" s="39"/>
      <c r="N545" s="39"/>
      <c r="O545" s="39"/>
      <c r="P545" s="39"/>
      <c r="Q545" s="39"/>
      <c r="R545" s="39"/>
      <c r="S545" s="39"/>
      <c r="T545" s="39"/>
      <c r="U545" s="39"/>
      <c r="V545" s="39"/>
      <c r="W545" s="39"/>
      <c r="X545" s="39"/>
      <c r="Y545" s="39"/>
      <c r="Z545" s="39"/>
      <c r="AA545" s="39"/>
      <c r="AB545" s="39"/>
      <c r="AC545" s="39"/>
      <c r="AD545" s="39"/>
      <c r="AE545" s="39"/>
      <c r="AF545" s="39"/>
      <c r="AG545" s="39"/>
      <c r="AH545" s="39"/>
    </row>
    <row r="546" spans="1:34" s="38" customFormat="1" x14ac:dyDescent="0.25">
      <c r="A546" s="39"/>
      <c r="B546" s="58"/>
      <c r="C546" s="58"/>
      <c r="D546" s="59"/>
      <c r="E546" s="39"/>
      <c r="F546" s="39"/>
      <c r="H546" s="39"/>
      <c r="I546" s="39"/>
      <c r="J546" s="39"/>
      <c r="K546" s="39"/>
      <c r="L546" s="39"/>
      <c r="M546" s="39"/>
      <c r="N546" s="39"/>
      <c r="O546" s="39"/>
      <c r="P546" s="39"/>
      <c r="Q546" s="39"/>
      <c r="R546" s="39"/>
      <c r="S546" s="39"/>
      <c r="T546" s="39"/>
      <c r="U546" s="39"/>
      <c r="V546" s="39"/>
      <c r="W546" s="39"/>
      <c r="X546" s="39"/>
      <c r="Y546" s="39"/>
      <c r="Z546" s="39"/>
      <c r="AA546" s="39"/>
      <c r="AB546" s="39"/>
      <c r="AC546" s="39"/>
      <c r="AD546" s="39"/>
      <c r="AE546" s="39"/>
      <c r="AF546" s="39"/>
      <c r="AG546" s="39"/>
      <c r="AH546" s="39"/>
    </row>
    <row r="547" spans="1:34" s="38" customFormat="1" x14ac:dyDescent="0.25">
      <c r="A547" s="39"/>
      <c r="B547" s="58"/>
      <c r="C547" s="58"/>
      <c r="D547" s="59"/>
      <c r="E547" s="39"/>
      <c r="F547" s="39"/>
      <c r="H547" s="39"/>
      <c r="I547" s="39"/>
      <c r="J547" s="39"/>
      <c r="K547" s="39"/>
      <c r="L547" s="39"/>
      <c r="M547" s="39"/>
      <c r="N547" s="39"/>
      <c r="O547" s="39"/>
      <c r="P547" s="39"/>
      <c r="Q547" s="39"/>
      <c r="R547" s="39"/>
      <c r="S547" s="39"/>
      <c r="T547" s="39"/>
      <c r="U547" s="39"/>
      <c r="V547" s="39"/>
      <c r="W547" s="39"/>
      <c r="X547" s="39"/>
      <c r="Y547" s="39"/>
      <c r="Z547" s="39"/>
      <c r="AA547" s="39"/>
      <c r="AB547" s="39"/>
      <c r="AC547" s="39"/>
      <c r="AD547" s="39"/>
      <c r="AE547" s="39"/>
      <c r="AF547" s="39"/>
      <c r="AG547" s="39"/>
      <c r="AH547" s="39"/>
    </row>
    <row r="548" spans="1:34" s="38" customFormat="1" x14ac:dyDescent="0.25">
      <c r="A548" s="39"/>
      <c r="B548" s="58"/>
      <c r="C548" s="58"/>
      <c r="D548" s="59"/>
      <c r="E548" s="39"/>
      <c r="F548" s="39"/>
      <c r="H548" s="39"/>
      <c r="I548" s="39"/>
      <c r="J548" s="39"/>
      <c r="K548" s="39"/>
      <c r="L548" s="39"/>
      <c r="M548" s="39"/>
      <c r="N548" s="39"/>
      <c r="O548" s="39"/>
      <c r="P548" s="39"/>
      <c r="Q548" s="39"/>
      <c r="R548" s="39"/>
      <c r="S548" s="39"/>
      <c r="T548" s="39"/>
      <c r="U548" s="39"/>
      <c r="V548" s="39"/>
      <c r="W548" s="39"/>
      <c r="X548" s="39"/>
      <c r="Y548" s="39"/>
      <c r="Z548" s="39"/>
      <c r="AA548" s="39"/>
      <c r="AB548" s="39"/>
      <c r="AC548" s="39"/>
      <c r="AD548" s="39"/>
      <c r="AE548" s="39"/>
      <c r="AF548" s="39"/>
      <c r="AG548" s="39"/>
      <c r="AH548" s="39"/>
    </row>
    <row r="549" spans="1:34" s="38" customFormat="1" x14ac:dyDescent="0.25">
      <c r="A549" s="39"/>
      <c r="B549" s="58"/>
      <c r="C549" s="58"/>
      <c r="D549" s="59"/>
      <c r="E549" s="39"/>
      <c r="F549" s="39"/>
      <c r="H549" s="39"/>
      <c r="I549" s="39"/>
      <c r="J549" s="39"/>
      <c r="K549" s="39"/>
      <c r="L549" s="39"/>
      <c r="M549" s="39"/>
      <c r="N549" s="39"/>
      <c r="O549" s="39"/>
      <c r="P549" s="39"/>
      <c r="Q549" s="39"/>
      <c r="R549" s="39"/>
      <c r="S549" s="39"/>
      <c r="T549" s="39"/>
      <c r="U549" s="39"/>
      <c r="V549" s="39"/>
      <c r="W549" s="39"/>
      <c r="X549" s="39"/>
      <c r="Y549" s="39"/>
      <c r="Z549" s="39"/>
      <c r="AA549" s="39"/>
      <c r="AB549" s="39"/>
      <c r="AC549" s="39"/>
      <c r="AD549" s="39"/>
      <c r="AE549" s="39"/>
      <c r="AF549" s="39"/>
      <c r="AG549" s="39"/>
      <c r="AH549" s="39"/>
    </row>
    <row r="550" spans="1:34" s="38" customFormat="1" x14ac:dyDescent="0.25">
      <c r="A550" s="39"/>
      <c r="B550" s="58"/>
      <c r="C550" s="58"/>
      <c r="D550" s="59"/>
      <c r="E550" s="39"/>
      <c r="F550" s="39"/>
      <c r="H550" s="39"/>
      <c r="I550" s="39"/>
      <c r="J550" s="39"/>
      <c r="K550" s="39"/>
      <c r="L550" s="39"/>
      <c r="M550" s="39"/>
      <c r="N550" s="39"/>
      <c r="O550" s="39"/>
      <c r="P550" s="39"/>
      <c r="Q550" s="39"/>
      <c r="R550" s="39"/>
      <c r="S550" s="39"/>
      <c r="T550" s="39"/>
      <c r="U550" s="39"/>
      <c r="V550" s="39"/>
      <c r="W550" s="39"/>
      <c r="X550" s="39"/>
      <c r="Y550" s="39"/>
      <c r="Z550" s="39"/>
      <c r="AA550" s="39"/>
      <c r="AB550" s="39"/>
      <c r="AC550" s="39"/>
      <c r="AD550" s="39"/>
      <c r="AE550" s="39"/>
      <c r="AF550" s="39"/>
      <c r="AG550" s="39"/>
      <c r="AH550" s="39"/>
    </row>
    <row r="551" spans="1:34" s="38" customFormat="1" x14ac:dyDescent="0.25">
      <c r="A551" s="39"/>
      <c r="B551" s="58"/>
      <c r="C551" s="58"/>
      <c r="D551" s="59"/>
      <c r="E551" s="39"/>
      <c r="F551" s="39"/>
      <c r="H551" s="39"/>
      <c r="I551" s="39"/>
      <c r="J551" s="39"/>
      <c r="K551" s="39"/>
      <c r="L551" s="39"/>
      <c r="M551" s="39"/>
      <c r="N551" s="39"/>
      <c r="O551" s="39"/>
      <c r="P551" s="39"/>
      <c r="Q551" s="39"/>
      <c r="R551" s="39"/>
      <c r="S551" s="39"/>
      <c r="T551" s="39"/>
      <c r="U551" s="39"/>
      <c r="V551" s="39"/>
      <c r="W551" s="39"/>
      <c r="X551" s="39"/>
      <c r="Y551" s="39"/>
      <c r="Z551" s="39"/>
      <c r="AA551" s="39"/>
      <c r="AB551" s="39"/>
      <c r="AC551" s="39"/>
      <c r="AD551" s="39"/>
      <c r="AE551" s="39"/>
      <c r="AF551" s="39"/>
      <c r="AG551" s="39"/>
      <c r="AH551" s="39"/>
    </row>
    <row r="552" spans="1:34" s="38" customFormat="1" x14ac:dyDescent="0.25">
      <c r="A552" s="39"/>
      <c r="B552" s="58"/>
      <c r="C552" s="58"/>
      <c r="D552" s="59"/>
      <c r="E552" s="39"/>
      <c r="F552" s="39"/>
      <c r="H552" s="39"/>
      <c r="I552" s="39"/>
      <c r="J552" s="39"/>
      <c r="K552" s="39"/>
      <c r="L552" s="39"/>
      <c r="M552" s="39"/>
      <c r="N552" s="39"/>
      <c r="O552" s="39"/>
      <c r="P552" s="39"/>
      <c r="Q552" s="39"/>
      <c r="R552" s="39"/>
      <c r="S552" s="39"/>
      <c r="T552" s="39"/>
      <c r="U552" s="39"/>
      <c r="V552" s="39"/>
      <c r="W552" s="39"/>
      <c r="X552" s="39"/>
      <c r="Y552" s="39"/>
      <c r="Z552" s="39"/>
      <c r="AA552" s="39"/>
      <c r="AB552" s="39"/>
      <c r="AC552" s="39"/>
      <c r="AD552" s="39"/>
      <c r="AE552" s="39"/>
      <c r="AF552" s="39"/>
      <c r="AG552" s="39"/>
      <c r="AH552" s="39"/>
    </row>
    <row r="553" spans="1:34" s="38" customFormat="1" x14ac:dyDescent="0.25">
      <c r="A553" s="39"/>
      <c r="B553" s="58"/>
      <c r="C553" s="58"/>
      <c r="D553" s="59"/>
      <c r="E553" s="39"/>
      <c r="F553" s="39"/>
      <c r="H553" s="39"/>
      <c r="I553" s="39"/>
      <c r="J553" s="39"/>
      <c r="K553" s="39"/>
      <c r="L553" s="39"/>
      <c r="M553" s="39"/>
      <c r="N553" s="39"/>
      <c r="O553" s="39"/>
      <c r="P553" s="39"/>
      <c r="Q553" s="39"/>
      <c r="R553" s="39"/>
      <c r="S553" s="39"/>
      <c r="T553" s="39"/>
      <c r="U553" s="39"/>
      <c r="V553" s="39"/>
      <c r="W553" s="39"/>
      <c r="X553" s="39"/>
      <c r="Y553" s="39"/>
      <c r="Z553" s="39"/>
      <c r="AA553" s="39"/>
      <c r="AB553" s="39"/>
      <c r="AC553" s="39"/>
      <c r="AD553" s="39"/>
      <c r="AE553" s="39"/>
      <c r="AF553" s="39"/>
      <c r="AG553" s="39"/>
      <c r="AH553" s="39"/>
    </row>
    <row r="554" spans="1:34" s="38" customFormat="1" x14ac:dyDescent="0.25">
      <c r="A554" s="39"/>
      <c r="B554" s="58"/>
      <c r="C554" s="58"/>
      <c r="D554" s="59"/>
      <c r="E554" s="39"/>
      <c r="F554" s="39"/>
      <c r="H554" s="39"/>
      <c r="I554" s="39"/>
      <c r="J554" s="39"/>
      <c r="K554" s="39"/>
      <c r="L554" s="39"/>
      <c r="M554" s="39"/>
      <c r="N554" s="39"/>
      <c r="O554" s="39"/>
      <c r="P554" s="39"/>
      <c r="Q554" s="39"/>
      <c r="R554" s="39"/>
      <c r="S554" s="39"/>
      <c r="T554" s="39"/>
      <c r="U554" s="39"/>
      <c r="V554" s="39"/>
      <c r="W554" s="39"/>
      <c r="X554" s="39"/>
      <c r="Y554" s="39"/>
      <c r="Z554" s="39"/>
      <c r="AA554" s="39"/>
      <c r="AB554" s="39"/>
      <c r="AC554" s="39"/>
      <c r="AD554" s="39"/>
      <c r="AE554" s="39"/>
      <c r="AF554" s="39"/>
      <c r="AG554" s="39"/>
      <c r="AH554" s="39"/>
    </row>
    <row r="555" spans="1:34" s="38" customFormat="1" x14ac:dyDescent="0.25">
      <c r="A555" s="39"/>
      <c r="B555" s="58"/>
      <c r="C555" s="58"/>
      <c r="D555" s="59"/>
      <c r="E555" s="39"/>
      <c r="F555" s="39"/>
      <c r="H555" s="39"/>
      <c r="I555" s="39"/>
      <c r="J555" s="39"/>
      <c r="K555" s="39"/>
      <c r="L555" s="39"/>
      <c r="M555" s="39"/>
      <c r="N555" s="39"/>
      <c r="O555" s="39"/>
      <c r="P555" s="39"/>
      <c r="Q555" s="39"/>
      <c r="R555" s="39"/>
      <c r="S555" s="39"/>
      <c r="T555" s="39"/>
      <c r="U555" s="39"/>
      <c r="V555" s="39"/>
      <c r="W555" s="39"/>
      <c r="X555" s="39"/>
      <c r="Y555" s="39"/>
      <c r="Z555" s="39"/>
      <c r="AA555" s="39"/>
      <c r="AB555" s="39"/>
      <c r="AC555" s="39"/>
      <c r="AD555" s="39"/>
      <c r="AE555" s="39"/>
      <c r="AF555" s="39"/>
      <c r="AG555" s="39"/>
      <c r="AH555" s="39"/>
    </row>
    <row r="556" spans="1:34" s="38" customFormat="1" x14ac:dyDescent="0.25">
      <c r="A556" s="39"/>
      <c r="B556" s="58"/>
      <c r="C556" s="58"/>
      <c r="D556" s="59"/>
      <c r="E556" s="39"/>
      <c r="F556" s="39"/>
      <c r="H556" s="39"/>
      <c r="I556" s="39"/>
      <c r="J556" s="39"/>
      <c r="K556" s="39"/>
      <c r="L556" s="39"/>
      <c r="M556" s="39"/>
      <c r="N556" s="39"/>
      <c r="O556" s="39"/>
      <c r="P556" s="39"/>
      <c r="Q556" s="39"/>
      <c r="R556" s="39"/>
      <c r="S556" s="39"/>
      <c r="T556" s="39"/>
      <c r="U556" s="39"/>
      <c r="V556" s="39"/>
      <c r="W556" s="39"/>
      <c r="X556" s="39"/>
      <c r="Y556" s="39"/>
      <c r="Z556" s="39"/>
      <c r="AA556" s="39"/>
      <c r="AB556" s="39"/>
      <c r="AC556" s="39"/>
      <c r="AD556" s="39"/>
      <c r="AE556" s="39"/>
      <c r="AF556" s="39"/>
      <c r="AG556" s="39"/>
      <c r="AH556" s="39"/>
    </row>
    <row r="557" spans="1:34" s="38" customFormat="1" x14ac:dyDescent="0.25">
      <c r="A557" s="39"/>
      <c r="B557" s="58"/>
      <c r="C557" s="58"/>
      <c r="D557" s="59"/>
      <c r="E557" s="39"/>
      <c r="F557" s="39"/>
      <c r="H557" s="39"/>
      <c r="I557" s="39"/>
      <c r="J557" s="39"/>
      <c r="K557" s="39"/>
      <c r="L557" s="39"/>
      <c r="M557" s="39"/>
      <c r="N557" s="39"/>
      <c r="O557" s="39"/>
      <c r="P557" s="39"/>
      <c r="Q557" s="39"/>
      <c r="R557" s="39"/>
      <c r="S557" s="39"/>
      <c r="T557" s="39"/>
      <c r="U557" s="39"/>
      <c r="V557" s="39"/>
      <c r="W557" s="39"/>
      <c r="X557" s="39"/>
      <c r="Y557" s="39"/>
      <c r="Z557" s="39"/>
      <c r="AA557" s="39"/>
      <c r="AB557" s="39"/>
      <c r="AC557" s="39"/>
      <c r="AD557" s="39"/>
      <c r="AE557" s="39"/>
      <c r="AF557" s="39"/>
      <c r="AG557" s="39"/>
      <c r="AH557" s="39"/>
    </row>
    <row r="558" spans="1:34" s="38" customFormat="1" x14ac:dyDescent="0.25">
      <c r="A558" s="39"/>
      <c r="B558" s="58"/>
      <c r="C558" s="58"/>
      <c r="D558" s="59"/>
      <c r="E558" s="39"/>
      <c r="F558" s="39"/>
      <c r="H558" s="39"/>
      <c r="I558" s="39"/>
      <c r="J558" s="39"/>
      <c r="K558" s="39"/>
      <c r="L558" s="39"/>
      <c r="M558" s="39"/>
      <c r="N558" s="39"/>
      <c r="O558" s="39"/>
      <c r="P558" s="39"/>
      <c r="Q558" s="39"/>
      <c r="R558" s="39"/>
      <c r="S558" s="39"/>
      <c r="T558" s="39"/>
      <c r="U558" s="39"/>
      <c r="V558" s="39"/>
      <c r="W558" s="39"/>
      <c r="X558" s="39"/>
      <c r="Y558" s="39"/>
      <c r="Z558" s="39"/>
      <c r="AA558" s="39"/>
      <c r="AB558" s="39"/>
      <c r="AC558" s="39"/>
      <c r="AD558" s="39"/>
      <c r="AE558" s="39"/>
      <c r="AF558" s="39"/>
      <c r="AG558" s="39"/>
      <c r="AH558" s="39"/>
    </row>
    <row r="559" spans="1:34" s="38" customFormat="1" x14ac:dyDescent="0.25">
      <c r="A559" s="39"/>
      <c r="B559" s="58"/>
      <c r="C559" s="58"/>
      <c r="D559" s="59"/>
      <c r="E559" s="39"/>
      <c r="F559" s="39"/>
      <c r="H559" s="39"/>
      <c r="I559" s="39"/>
      <c r="J559" s="39"/>
      <c r="K559" s="39"/>
      <c r="L559" s="39"/>
      <c r="M559" s="39"/>
      <c r="N559" s="39"/>
      <c r="O559" s="39"/>
      <c r="P559" s="39"/>
      <c r="Q559" s="39"/>
      <c r="R559" s="39"/>
      <c r="S559" s="39"/>
      <c r="T559" s="39"/>
      <c r="U559" s="39"/>
      <c r="V559" s="39"/>
      <c r="W559" s="39"/>
      <c r="X559" s="39"/>
      <c r="Y559" s="39"/>
      <c r="Z559" s="39"/>
      <c r="AA559" s="39"/>
      <c r="AB559" s="39"/>
      <c r="AC559" s="39"/>
      <c r="AD559" s="39"/>
      <c r="AE559" s="39"/>
      <c r="AF559" s="39"/>
      <c r="AG559" s="39"/>
      <c r="AH559" s="39"/>
    </row>
    <row r="560" spans="1:34" s="38" customFormat="1" x14ac:dyDescent="0.25">
      <c r="A560" s="39"/>
      <c r="B560" s="58"/>
      <c r="C560" s="58"/>
      <c r="D560" s="59"/>
      <c r="E560" s="59"/>
      <c r="F560" s="59"/>
      <c r="H560" s="39"/>
      <c r="I560" s="39"/>
      <c r="J560" s="39"/>
      <c r="K560" s="39"/>
      <c r="L560" s="39"/>
      <c r="M560" s="39"/>
      <c r="N560" s="39"/>
      <c r="O560" s="39"/>
      <c r="P560" s="39"/>
      <c r="Q560" s="39"/>
      <c r="R560" s="39"/>
      <c r="S560" s="39"/>
      <c r="T560" s="39"/>
      <c r="U560" s="39"/>
      <c r="V560" s="39"/>
      <c r="W560" s="39"/>
      <c r="X560" s="39"/>
      <c r="Y560" s="39"/>
      <c r="Z560" s="39"/>
      <c r="AA560" s="39"/>
      <c r="AB560" s="39"/>
      <c r="AC560" s="39"/>
      <c r="AD560" s="39"/>
      <c r="AE560" s="39"/>
      <c r="AF560" s="39"/>
      <c r="AG560" s="39"/>
      <c r="AH560" s="39"/>
    </row>
    <row r="561" spans="1:34" s="38" customFormat="1" x14ac:dyDescent="0.25">
      <c r="A561" s="39"/>
      <c r="B561" s="58"/>
      <c r="C561" s="58"/>
      <c r="D561" s="59"/>
      <c r="E561" s="59"/>
      <c r="F561" s="59"/>
      <c r="H561" s="39"/>
      <c r="I561" s="39"/>
      <c r="J561" s="39"/>
      <c r="K561" s="39"/>
      <c r="L561" s="39"/>
      <c r="M561" s="39"/>
      <c r="N561" s="39"/>
      <c r="O561" s="39"/>
      <c r="P561" s="39"/>
      <c r="Q561" s="39"/>
      <c r="R561" s="39"/>
      <c r="S561" s="39"/>
      <c r="T561" s="39"/>
      <c r="U561" s="39"/>
      <c r="V561" s="39"/>
      <c r="W561" s="39"/>
      <c r="X561" s="39"/>
      <c r="Y561" s="39"/>
      <c r="Z561" s="39"/>
      <c r="AA561" s="39"/>
      <c r="AB561" s="39"/>
      <c r="AC561" s="39"/>
      <c r="AD561" s="39"/>
      <c r="AE561" s="39"/>
      <c r="AF561" s="39"/>
      <c r="AG561" s="39"/>
      <c r="AH561" s="39"/>
    </row>
    <row r="562" spans="1:34" s="38" customFormat="1" x14ac:dyDescent="0.25">
      <c r="A562" s="39"/>
      <c r="B562" s="58"/>
      <c r="C562" s="58"/>
      <c r="D562" s="59"/>
      <c r="E562" s="59"/>
      <c r="F562" s="59"/>
      <c r="H562" s="39"/>
      <c r="I562" s="39"/>
      <c r="J562" s="39"/>
      <c r="K562" s="39"/>
      <c r="L562" s="39"/>
      <c r="M562" s="39"/>
      <c r="N562" s="39"/>
      <c r="O562" s="39"/>
      <c r="P562" s="39"/>
      <c r="Q562" s="39"/>
      <c r="R562" s="39"/>
      <c r="S562" s="39"/>
      <c r="T562" s="39"/>
      <c r="U562" s="39"/>
      <c r="V562" s="39"/>
      <c r="W562" s="39"/>
      <c r="X562" s="39"/>
      <c r="Y562" s="39"/>
      <c r="Z562" s="39"/>
      <c r="AA562" s="39"/>
      <c r="AB562" s="39"/>
      <c r="AC562" s="39"/>
      <c r="AD562" s="39"/>
      <c r="AE562" s="39"/>
      <c r="AF562" s="39"/>
      <c r="AG562" s="39"/>
      <c r="AH562" s="39"/>
    </row>
    <row r="563" spans="1:34" s="38" customFormat="1" x14ac:dyDescent="0.25">
      <c r="A563" s="39"/>
      <c r="B563" s="58"/>
      <c r="C563" s="58"/>
      <c r="D563" s="59"/>
      <c r="E563" s="59"/>
      <c r="F563" s="59"/>
      <c r="H563" s="39"/>
      <c r="I563" s="39"/>
      <c r="J563" s="39"/>
      <c r="K563" s="39"/>
      <c r="L563" s="39"/>
      <c r="M563" s="39"/>
      <c r="N563" s="39"/>
      <c r="O563" s="39"/>
      <c r="P563" s="39"/>
      <c r="Q563" s="39"/>
      <c r="R563" s="39"/>
      <c r="S563" s="39"/>
      <c r="T563" s="39"/>
      <c r="U563" s="39"/>
      <c r="V563" s="39"/>
      <c r="W563" s="39"/>
      <c r="X563" s="39"/>
      <c r="Y563" s="39"/>
      <c r="Z563" s="39"/>
      <c r="AA563" s="39"/>
      <c r="AB563" s="39"/>
      <c r="AC563" s="39"/>
      <c r="AD563" s="39"/>
      <c r="AE563" s="39"/>
      <c r="AF563" s="39"/>
      <c r="AG563" s="39"/>
      <c r="AH563" s="39"/>
    </row>
    <row r="564" spans="1:34" s="38" customFormat="1" x14ac:dyDescent="0.25">
      <c r="A564" s="39"/>
      <c r="B564" s="58"/>
      <c r="C564" s="58"/>
      <c r="D564" s="59"/>
      <c r="E564" s="59"/>
      <c r="F564" s="59"/>
      <c r="H564" s="39"/>
      <c r="I564" s="39"/>
      <c r="J564" s="39"/>
      <c r="K564" s="39"/>
      <c r="L564" s="39"/>
      <c r="M564" s="39"/>
      <c r="N564" s="39"/>
      <c r="O564" s="39"/>
      <c r="P564" s="39"/>
      <c r="Q564" s="39"/>
      <c r="R564" s="39"/>
      <c r="S564" s="39"/>
      <c r="T564" s="39"/>
      <c r="U564" s="39"/>
      <c r="V564" s="39"/>
      <c r="W564" s="39"/>
      <c r="X564" s="39"/>
      <c r="Y564" s="39"/>
      <c r="Z564" s="39"/>
      <c r="AA564" s="39"/>
      <c r="AB564" s="39"/>
      <c r="AC564" s="39"/>
      <c r="AD564" s="39"/>
      <c r="AE564" s="39"/>
      <c r="AF564" s="39"/>
      <c r="AG564" s="39"/>
      <c r="AH564" s="39"/>
    </row>
    <row r="565" spans="1:34" s="38" customFormat="1" x14ac:dyDescent="0.25">
      <c r="A565" s="39"/>
      <c r="B565" s="58"/>
      <c r="C565" s="58"/>
      <c r="D565" s="59"/>
      <c r="E565" s="59"/>
      <c r="F565" s="59"/>
      <c r="H565" s="39"/>
      <c r="I565" s="39"/>
      <c r="J565" s="39"/>
      <c r="K565" s="39"/>
      <c r="L565" s="39"/>
      <c r="M565" s="39"/>
      <c r="N565" s="39"/>
      <c r="O565" s="39"/>
      <c r="P565" s="39"/>
      <c r="Q565" s="39"/>
      <c r="R565" s="39"/>
      <c r="S565" s="39"/>
      <c r="T565" s="39"/>
      <c r="U565" s="39"/>
      <c r="V565" s="39"/>
      <c r="W565" s="39"/>
      <c r="X565" s="39"/>
      <c r="Y565" s="39"/>
      <c r="Z565" s="39"/>
      <c r="AA565" s="39"/>
      <c r="AB565" s="39"/>
      <c r="AC565" s="39"/>
      <c r="AD565" s="39"/>
      <c r="AE565" s="39"/>
      <c r="AF565" s="39"/>
      <c r="AG565" s="39"/>
      <c r="AH565" s="39"/>
    </row>
    <row r="566" spans="1:34" s="38" customFormat="1" x14ac:dyDescent="0.25">
      <c r="A566" s="39"/>
      <c r="B566" s="58"/>
      <c r="C566" s="58"/>
      <c r="D566" s="59"/>
      <c r="E566" s="39"/>
      <c r="F566" s="39"/>
      <c r="H566" s="39"/>
      <c r="I566" s="39"/>
      <c r="J566" s="39"/>
      <c r="K566" s="39"/>
      <c r="L566" s="39"/>
      <c r="M566" s="39"/>
      <c r="N566" s="39"/>
      <c r="O566" s="39"/>
      <c r="P566" s="39"/>
      <c r="Q566" s="39"/>
      <c r="R566" s="39"/>
      <c r="S566" s="39"/>
      <c r="T566" s="39"/>
      <c r="U566" s="39"/>
      <c r="V566" s="39"/>
      <c r="W566" s="39"/>
      <c r="X566" s="39"/>
      <c r="Y566" s="39"/>
      <c r="Z566" s="39"/>
      <c r="AA566" s="39"/>
      <c r="AB566" s="39"/>
      <c r="AC566" s="39"/>
      <c r="AD566" s="39"/>
      <c r="AE566" s="39"/>
      <c r="AF566" s="39"/>
      <c r="AG566" s="39"/>
      <c r="AH566" s="39"/>
    </row>
    <row r="567" spans="1:34" s="38" customFormat="1" x14ac:dyDescent="0.25">
      <c r="A567" s="39"/>
      <c r="B567" s="58"/>
      <c r="C567" s="58"/>
      <c r="D567" s="59"/>
      <c r="E567" s="39"/>
      <c r="F567" s="39"/>
      <c r="H567" s="39"/>
      <c r="I567" s="39"/>
      <c r="J567" s="39"/>
      <c r="K567" s="39"/>
      <c r="L567" s="39"/>
      <c r="M567" s="39"/>
      <c r="N567" s="39"/>
      <c r="O567" s="39"/>
      <c r="P567" s="39"/>
      <c r="Q567" s="39"/>
      <c r="R567" s="39"/>
      <c r="S567" s="39"/>
      <c r="T567" s="39"/>
      <c r="U567" s="39"/>
      <c r="V567" s="39"/>
      <c r="W567" s="39"/>
      <c r="X567" s="39"/>
      <c r="Y567" s="39"/>
      <c r="Z567" s="39"/>
      <c r="AA567" s="39"/>
      <c r="AB567" s="39"/>
      <c r="AC567" s="39"/>
      <c r="AD567" s="39"/>
      <c r="AE567" s="39"/>
      <c r="AF567" s="39"/>
      <c r="AG567" s="39"/>
      <c r="AH567" s="39"/>
    </row>
    <row r="568" spans="1:34" s="38" customFormat="1" x14ac:dyDescent="0.25">
      <c r="A568" s="39"/>
      <c r="B568" s="58"/>
      <c r="C568" s="58"/>
      <c r="D568" s="59"/>
      <c r="E568" s="39"/>
      <c r="F568" s="39"/>
      <c r="H568" s="39"/>
      <c r="I568" s="39"/>
      <c r="J568" s="39"/>
      <c r="K568" s="39"/>
      <c r="L568" s="39"/>
      <c r="M568" s="39"/>
      <c r="N568" s="39"/>
      <c r="O568" s="39"/>
      <c r="P568" s="39"/>
      <c r="Q568" s="39"/>
      <c r="R568" s="39"/>
      <c r="S568" s="39"/>
      <c r="T568" s="39"/>
      <c r="U568" s="39"/>
      <c r="V568" s="39"/>
      <c r="W568" s="39"/>
      <c r="X568" s="39"/>
      <c r="Y568" s="39"/>
      <c r="Z568" s="39"/>
      <c r="AA568" s="39"/>
      <c r="AB568" s="39"/>
      <c r="AC568" s="39"/>
      <c r="AD568" s="39"/>
      <c r="AE568" s="39"/>
      <c r="AF568" s="39"/>
      <c r="AG568" s="39"/>
      <c r="AH568" s="39"/>
    </row>
    <row r="569" spans="1:34" s="38" customFormat="1" x14ac:dyDescent="0.25">
      <c r="A569" s="39"/>
      <c r="B569" s="58"/>
      <c r="C569" s="58"/>
      <c r="D569" s="59"/>
      <c r="E569" s="39"/>
      <c r="F569" s="39"/>
      <c r="H569" s="39"/>
      <c r="I569" s="39"/>
      <c r="J569" s="39"/>
      <c r="K569" s="39"/>
      <c r="L569" s="39"/>
      <c r="M569" s="39"/>
      <c r="N569" s="39"/>
      <c r="O569" s="39"/>
      <c r="P569" s="39"/>
      <c r="Q569" s="39"/>
      <c r="R569" s="39"/>
      <c r="S569" s="39"/>
      <c r="T569" s="39"/>
      <c r="U569" s="39"/>
      <c r="V569" s="39"/>
      <c r="W569" s="39"/>
      <c r="X569" s="39"/>
      <c r="Y569" s="39"/>
      <c r="Z569" s="39"/>
      <c r="AA569" s="39"/>
      <c r="AB569" s="39"/>
      <c r="AC569" s="39"/>
      <c r="AD569" s="39"/>
      <c r="AE569" s="39"/>
      <c r="AF569" s="39"/>
      <c r="AG569" s="39"/>
      <c r="AH569" s="39"/>
    </row>
    <row r="570" spans="1:34" s="38" customFormat="1" x14ac:dyDescent="0.25">
      <c r="A570" s="39"/>
      <c r="B570" s="58"/>
      <c r="C570" s="58"/>
      <c r="D570" s="59"/>
      <c r="E570" s="39"/>
      <c r="F570" s="39"/>
      <c r="H570" s="39"/>
      <c r="I570" s="39"/>
      <c r="J570" s="39"/>
      <c r="K570" s="39"/>
      <c r="L570" s="39"/>
      <c r="M570" s="39"/>
      <c r="N570" s="39"/>
      <c r="O570" s="39"/>
      <c r="P570" s="39"/>
      <c r="Q570" s="39"/>
      <c r="R570" s="39"/>
      <c r="S570" s="39"/>
      <c r="T570" s="39"/>
      <c r="U570" s="39"/>
      <c r="V570" s="39"/>
      <c r="W570" s="39"/>
      <c r="X570" s="39"/>
      <c r="Y570" s="39"/>
      <c r="Z570" s="39"/>
      <c r="AA570" s="39"/>
      <c r="AB570" s="39"/>
      <c r="AC570" s="39"/>
      <c r="AD570" s="39"/>
      <c r="AE570" s="39"/>
      <c r="AF570" s="39"/>
      <c r="AG570" s="39"/>
      <c r="AH570" s="39"/>
    </row>
    <row r="571" spans="1:34" s="38" customFormat="1" x14ac:dyDescent="0.25">
      <c r="A571" s="39"/>
      <c r="B571" s="58"/>
      <c r="C571" s="58"/>
      <c r="D571" s="59"/>
      <c r="E571" s="39"/>
      <c r="F571" s="39"/>
      <c r="H571" s="39"/>
      <c r="I571" s="39"/>
      <c r="J571" s="39"/>
      <c r="K571" s="39"/>
      <c r="L571" s="39"/>
      <c r="M571" s="39"/>
      <c r="N571" s="39"/>
      <c r="O571" s="39"/>
      <c r="P571" s="39"/>
      <c r="Q571" s="39"/>
      <c r="R571" s="39"/>
      <c r="S571" s="39"/>
      <c r="T571" s="39"/>
      <c r="U571" s="39"/>
      <c r="V571" s="39"/>
      <c r="W571" s="39"/>
      <c r="X571" s="39"/>
      <c r="Y571" s="39"/>
      <c r="Z571" s="39"/>
      <c r="AA571" s="39"/>
      <c r="AB571" s="39"/>
      <c r="AC571" s="39"/>
      <c r="AD571" s="39"/>
      <c r="AE571" s="39"/>
      <c r="AF571" s="39"/>
      <c r="AG571" s="39"/>
      <c r="AH571" s="39"/>
    </row>
    <row r="572" spans="1:34" s="38" customFormat="1" x14ac:dyDescent="0.25">
      <c r="A572" s="39"/>
      <c r="B572" s="58"/>
      <c r="C572" s="58"/>
      <c r="D572" s="59"/>
      <c r="E572" s="39"/>
      <c r="F572" s="39"/>
      <c r="H572" s="39"/>
      <c r="I572" s="39"/>
      <c r="J572" s="39"/>
      <c r="K572" s="39"/>
      <c r="L572" s="39"/>
      <c r="M572" s="39"/>
      <c r="N572" s="39"/>
      <c r="O572" s="39"/>
      <c r="P572" s="39"/>
      <c r="Q572" s="39"/>
      <c r="R572" s="39"/>
      <c r="S572" s="39"/>
      <c r="T572" s="39"/>
      <c r="U572" s="39"/>
      <c r="V572" s="39"/>
      <c r="W572" s="39"/>
      <c r="X572" s="39"/>
      <c r="Y572" s="39"/>
      <c r="Z572" s="39"/>
      <c r="AA572" s="39"/>
      <c r="AB572" s="39"/>
      <c r="AC572" s="39"/>
      <c r="AD572" s="39"/>
      <c r="AE572" s="39"/>
      <c r="AF572" s="39"/>
      <c r="AG572" s="39"/>
      <c r="AH572" s="39"/>
    </row>
    <row r="573" spans="1:34" s="38" customFormat="1" x14ac:dyDescent="0.25">
      <c r="A573" s="39"/>
      <c r="B573" s="58"/>
      <c r="C573" s="58"/>
      <c r="D573" s="59"/>
      <c r="E573" s="39"/>
      <c r="F573" s="39"/>
      <c r="H573" s="39"/>
      <c r="I573" s="39"/>
      <c r="J573" s="39"/>
      <c r="K573" s="39"/>
      <c r="L573" s="39"/>
      <c r="M573" s="39"/>
      <c r="N573" s="39"/>
      <c r="O573" s="39"/>
      <c r="P573" s="39"/>
      <c r="Q573" s="39"/>
      <c r="R573" s="39"/>
      <c r="S573" s="39"/>
      <c r="T573" s="39"/>
      <c r="U573" s="39"/>
      <c r="V573" s="39"/>
      <c r="W573" s="39"/>
      <c r="X573" s="39"/>
      <c r="Y573" s="39"/>
      <c r="Z573" s="39"/>
      <c r="AA573" s="39"/>
      <c r="AB573" s="39"/>
      <c r="AC573" s="39"/>
      <c r="AD573" s="39"/>
      <c r="AE573" s="39"/>
      <c r="AF573" s="39"/>
      <c r="AG573" s="39"/>
      <c r="AH573" s="39"/>
    </row>
    <row r="574" spans="1:34" s="38" customFormat="1" x14ac:dyDescent="0.25">
      <c r="A574" s="39"/>
      <c r="B574" s="58"/>
      <c r="C574" s="58"/>
      <c r="D574" s="59"/>
      <c r="E574" s="39"/>
      <c r="F574" s="39"/>
      <c r="H574" s="39"/>
      <c r="I574" s="39"/>
      <c r="J574" s="39"/>
      <c r="K574" s="39"/>
      <c r="L574" s="39"/>
      <c r="M574" s="39"/>
      <c r="N574" s="39"/>
      <c r="O574" s="39"/>
      <c r="P574" s="39"/>
      <c r="Q574" s="39"/>
      <c r="R574" s="39"/>
      <c r="S574" s="39"/>
      <c r="T574" s="39"/>
      <c r="U574" s="39"/>
      <c r="V574" s="39"/>
      <c r="W574" s="39"/>
      <c r="X574" s="39"/>
      <c r="Y574" s="39"/>
      <c r="Z574" s="39"/>
      <c r="AA574" s="39"/>
      <c r="AB574" s="39"/>
      <c r="AC574" s="39"/>
      <c r="AD574" s="39"/>
      <c r="AE574" s="39"/>
      <c r="AF574" s="39"/>
      <c r="AG574" s="39"/>
      <c r="AH574" s="39"/>
    </row>
    <row r="575" spans="1:34" s="38" customFormat="1" x14ac:dyDescent="0.25">
      <c r="A575" s="39"/>
      <c r="B575" s="58"/>
      <c r="C575" s="58"/>
      <c r="D575" s="59"/>
      <c r="E575" s="39"/>
      <c r="F575" s="39"/>
      <c r="H575" s="39"/>
      <c r="I575" s="39"/>
      <c r="J575" s="39"/>
      <c r="K575" s="39"/>
      <c r="L575" s="39"/>
      <c r="M575" s="39"/>
      <c r="N575" s="39"/>
      <c r="O575" s="39"/>
      <c r="P575" s="39"/>
      <c r="Q575" s="39"/>
      <c r="R575" s="39"/>
      <c r="S575" s="39"/>
      <c r="T575" s="39"/>
      <c r="U575" s="39"/>
      <c r="V575" s="39"/>
      <c r="W575" s="39"/>
      <c r="X575" s="39"/>
      <c r="Y575" s="39"/>
      <c r="Z575" s="39"/>
      <c r="AA575" s="39"/>
      <c r="AB575" s="39"/>
      <c r="AC575" s="39"/>
      <c r="AD575" s="39"/>
      <c r="AE575" s="39"/>
      <c r="AF575" s="39"/>
      <c r="AG575" s="39"/>
      <c r="AH575" s="39"/>
    </row>
    <row r="576" spans="1:34" s="38" customFormat="1" x14ac:dyDescent="0.25">
      <c r="A576" s="39"/>
      <c r="B576" s="58"/>
      <c r="C576" s="58"/>
      <c r="D576" s="59"/>
      <c r="E576" s="39"/>
      <c r="F576" s="39"/>
      <c r="H576" s="39"/>
      <c r="I576" s="39"/>
      <c r="J576" s="39"/>
      <c r="K576" s="39"/>
      <c r="L576" s="39"/>
      <c r="M576" s="39"/>
      <c r="N576" s="39"/>
      <c r="O576" s="39"/>
      <c r="P576" s="39"/>
      <c r="Q576" s="39"/>
      <c r="R576" s="39"/>
      <c r="S576" s="39"/>
      <c r="T576" s="39"/>
      <c r="U576" s="39"/>
      <c r="V576" s="39"/>
      <c r="W576" s="39"/>
      <c r="X576" s="39"/>
      <c r="Y576" s="39"/>
      <c r="Z576" s="39"/>
      <c r="AA576" s="39"/>
      <c r="AB576" s="39"/>
      <c r="AC576" s="39"/>
      <c r="AD576" s="39"/>
      <c r="AE576" s="39"/>
      <c r="AF576" s="39"/>
      <c r="AG576" s="39"/>
      <c r="AH576" s="39"/>
    </row>
    <row r="577" spans="1:34" s="38" customFormat="1" x14ac:dyDescent="0.25">
      <c r="A577" s="39"/>
      <c r="B577" s="58"/>
      <c r="C577" s="58"/>
      <c r="D577" s="59"/>
      <c r="E577" s="39"/>
      <c r="F577" s="39"/>
      <c r="H577" s="39"/>
      <c r="I577" s="39"/>
      <c r="J577" s="39"/>
      <c r="K577" s="39"/>
      <c r="L577" s="39"/>
      <c r="M577" s="39"/>
      <c r="N577" s="39"/>
      <c r="O577" s="39"/>
      <c r="P577" s="39"/>
      <c r="Q577" s="39"/>
      <c r="R577" s="39"/>
      <c r="S577" s="39"/>
      <c r="T577" s="39"/>
      <c r="U577" s="39"/>
      <c r="V577" s="39"/>
      <c r="W577" s="39"/>
      <c r="X577" s="39"/>
      <c r="Y577" s="39"/>
      <c r="Z577" s="39"/>
      <c r="AA577" s="39"/>
      <c r="AB577" s="39"/>
      <c r="AC577" s="39"/>
      <c r="AD577" s="39"/>
      <c r="AE577" s="39"/>
      <c r="AF577" s="39"/>
      <c r="AG577" s="39"/>
      <c r="AH577" s="39"/>
    </row>
    <row r="578" spans="1:34" s="38" customFormat="1" x14ac:dyDescent="0.25">
      <c r="A578" s="39"/>
      <c r="B578" s="58"/>
      <c r="C578" s="58"/>
      <c r="D578" s="59"/>
      <c r="E578" s="39"/>
      <c r="F578" s="39"/>
      <c r="H578" s="39"/>
      <c r="I578" s="39"/>
      <c r="J578" s="39"/>
      <c r="K578" s="39"/>
      <c r="L578" s="39"/>
      <c r="M578" s="39"/>
      <c r="N578" s="39"/>
      <c r="O578" s="39"/>
      <c r="P578" s="39"/>
      <c r="Q578" s="39"/>
      <c r="R578" s="39"/>
      <c r="S578" s="39"/>
      <c r="T578" s="39"/>
      <c r="U578" s="39"/>
      <c r="V578" s="39"/>
      <c r="W578" s="39"/>
      <c r="X578" s="39"/>
      <c r="Y578" s="39"/>
      <c r="Z578" s="39"/>
      <c r="AA578" s="39"/>
      <c r="AB578" s="39"/>
      <c r="AC578" s="39"/>
      <c r="AD578" s="39"/>
      <c r="AE578" s="39"/>
      <c r="AF578" s="39"/>
      <c r="AG578" s="39"/>
      <c r="AH578" s="39"/>
    </row>
    <row r="579" spans="1:34" s="38" customFormat="1" x14ac:dyDescent="0.25">
      <c r="A579" s="39"/>
      <c r="B579" s="58"/>
      <c r="C579" s="58"/>
      <c r="D579" s="59"/>
      <c r="E579" s="39"/>
      <c r="F579" s="39"/>
      <c r="H579" s="39"/>
      <c r="I579" s="39"/>
      <c r="J579" s="39"/>
      <c r="K579" s="39"/>
      <c r="L579" s="39"/>
      <c r="M579" s="39"/>
      <c r="N579" s="39"/>
      <c r="O579" s="39"/>
      <c r="P579" s="39"/>
      <c r="Q579" s="39"/>
      <c r="R579" s="39"/>
      <c r="S579" s="39"/>
      <c r="T579" s="39"/>
      <c r="U579" s="39"/>
      <c r="V579" s="39"/>
      <c r="W579" s="39"/>
      <c r="X579" s="39"/>
      <c r="Y579" s="39"/>
      <c r="Z579" s="39"/>
      <c r="AA579" s="39"/>
      <c r="AB579" s="39"/>
      <c r="AC579" s="39"/>
      <c r="AD579" s="39"/>
      <c r="AE579" s="39"/>
      <c r="AF579" s="39"/>
      <c r="AG579" s="39"/>
      <c r="AH579" s="39"/>
    </row>
    <row r="580" spans="1:34" s="38" customFormat="1" x14ac:dyDescent="0.25">
      <c r="A580" s="39"/>
      <c r="B580" s="58"/>
      <c r="C580" s="58"/>
      <c r="D580" s="59"/>
      <c r="E580" s="39"/>
      <c r="F580" s="39"/>
      <c r="H580" s="39"/>
      <c r="I580" s="39"/>
      <c r="J580" s="39"/>
      <c r="K580" s="39"/>
      <c r="L580" s="39"/>
      <c r="M580" s="39"/>
      <c r="N580" s="39"/>
      <c r="O580" s="39"/>
      <c r="P580" s="39"/>
      <c r="Q580" s="39"/>
      <c r="R580" s="39"/>
      <c r="S580" s="39"/>
      <c r="T580" s="39"/>
      <c r="U580" s="39"/>
      <c r="V580" s="39"/>
      <c r="W580" s="39"/>
      <c r="X580" s="39"/>
      <c r="Y580" s="39"/>
      <c r="Z580" s="39"/>
      <c r="AA580" s="39"/>
      <c r="AB580" s="39"/>
      <c r="AC580" s="39"/>
      <c r="AD580" s="39"/>
      <c r="AE580" s="39"/>
      <c r="AF580" s="39"/>
      <c r="AG580" s="39"/>
      <c r="AH580" s="39"/>
    </row>
    <row r="581" spans="1:34" s="38" customFormat="1" x14ac:dyDescent="0.25">
      <c r="A581" s="39"/>
      <c r="B581" s="58"/>
      <c r="C581" s="58"/>
      <c r="D581" s="59"/>
      <c r="E581" s="39"/>
      <c r="F581" s="39"/>
      <c r="H581" s="39"/>
      <c r="I581" s="39"/>
      <c r="J581" s="39"/>
      <c r="K581" s="39"/>
      <c r="L581" s="39"/>
      <c r="M581" s="39"/>
      <c r="N581" s="39"/>
      <c r="O581" s="39"/>
      <c r="P581" s="39"/>
      <c r="Q581" s="39"/>
      <c r="R581" s="39"/>
      <c r="S581" s="39"/>
      <c r="T581" s="39"/>
      <c r="U581" s="39"/>
      <c r="V581" s="39"/>
      <c r="W581" s="39"/>
      <c r="X581" s="39"/>
      <c r="Y581" s="39"/>
      <c r="Z581" s="39"/>
      <c r="AA581" s="39"/>
      <c r="AB581" s="39"/>
      <c r="AC581" s="39"/>
      <c r="AD581" s="39"/>
      <c r="AE581" s="39"/>
      <c r="AF581" s="39"/>
      <c r="AG581" s="39"/>
      <c r="AH581" s="39"/>
    </row>
    <row r="582" spans="1:34" s="38" customFormat="1" x14ac:dyDescent="0.25">
      <c r="A582" s="39"/>
      <c r="B582" s="58"/>
      <c r="C582" s="58"/>
      <c r="D582" s="59"/>
      <c r="E582" s="39"/>
      <c r="F582" s="39"/>
      <c r="H582" s="39"/>
      <c r="I582" s="39"/>
      <c r="J582" s="39"/>
      <c r="K582" s="39"/>
      <c r="L582" s="39"/>
      <c r="M582" s="39"/>
      <c r="N582" s="39"/>
      <c r="O582" s="39"/>
      <c r="P582" s="39"/>
      <c r="Q582" s="39"/>
      <c r="R582" s="39"/>
      <c r="S582" s="39"/>
      <c r="T582" s="39"/>
      <c r="U582" s="39"/>
      <c r="V582" s="39"/>
      <c r="W582" s="39"/>
      <c r="X582" s="39"/>
      <c r="Y582" s="39"/>
      <c r="Z582" s="39"/>
      <c r="AA582" s="39"/>
      <c r="AB582" s="39"/>
      <c r="AC582" s="39"/>
      <c r="AD582" s="39"/>
      <c r="AE582" s="39"/>
      <c r="AF582" s="39"/>
      <c r="AG582" s="39"/>
      <c r="AH582" s="39"/>
    </row>
    <row r="583" spans="1:34" s="38" customFormat="1" x14ac:dyDescent="0.25">
      <c r="A583" s="39"/>
      <c r="B583" s="58"/>
      <c r="C583" s="58"/>
      <c r="D583" s="59"/>
      <c r="E583" s="39"/>
      <c r="F583" s="39"/>
      <c r="H583" s="39"/>
      <c r="I583" s="39"/>
      <c r="J583" s="39"/>
      <c r="K583" s="39"/>
      <c r="L583" s="39"/>
      <c r="M583" s="39"/>
      <c r="N583" s="39"/>
      <c r="O583" s="39"/>
      <c r="P583" s="39"/>
      <c r="Q583" s="39"/>
      <c r="R583" s="39"/>
      <c r="S583" s="39"/>
      <c r="T583" s="39"/>
      <c r="U583" s="39"/>
      <c r="V583" s="39"/>
      <c r="W583" s="39"/>
      <c r="X583" s="39"/>
      <c r="Y583" s="39"/>
      <c r="Z583" s="39"/>
      <c r="AA583" s="39"/>
      <c r="AB583" s="39"/>
      <c r="AC583" s="39"/>
      <c r="AD583" s="39"/>
      <c r="AE583" s="39"/>
      <c r="AF583" s="39"/>
      <c r="AG583" s="39"/>
      <c r="AH583" s="39"/>
    </row>
    <row r="584" spans="1:34" s="38" customFormat="1" x14ac:dyDescent="0.25">
      <c r="A584" s="39"/>
      <c r="B584" s="58"/>
      <c r="C584" s="58"/>
      <c r="D584" s="59"/>
      <c r="E584" s="39"/>
      <c r="F584" s="39"/>
      <c r="H584" s="39"/>
      <c r="I584" s="39"/>
      <c r="J584" s="39"/>
      <c r="K584" s="39"/>
      <c r="L584" s="39"/>
      <c r="M584" s="39"/>
      <c r="N584" s="39"/>
      <c r="O584" s="39"/>
      <c r="P584" s="39"/>
      <c r="Q584" s="39"/>
      <c r="R584" s="39"/>
      <c r="S584" s="39"/>
      <c r="T584" s="39"/>
      <c r="U584" s="39"/>
      <c r="V584" s="39"/>
      <c r="W584" s="39"/>
      <c r="X584" s="39"/>
      <c r="Y584" s="39"/>
      <c r="Z584" s="39"/>
      <c r="AA584" s="39"/>
      <c r="AB584" s="39"/>
      <c r="AC584" s="39"/>
      <c r="AD584" s="39"/>
      <c r="AE584" s="39"/>
      <c r="AF584" s="39"/>
      <c r="AG584" s="39"/>
      <c r="AH584" s="39"/>
    </row>
    <row r="585" spans="1:34" s="38" customFormat="1" x14ac:dyDescent="0.25">
      <c r="A585" s="39"/>
      <c r="B585" s="58"/>
      <c r="C585" s="58"/>
      <c r="D585" s="59"/>
      <c r="E585" s="59"/>
      <c r="F585" s="59"/>
      <c r="H585" s="39"/>
      <c r="I585" s="39"/>
      <c r="J585" s="39"/>
      <c r="K585" s="39"/>
      <c r="L585" s="39"/>
      <c r="M585" s="39"/>
      <c r="N585" s="39"/>
      <c r="O585" s="39"/>
      <c r="P585" s="39"/>
      <c r="Q585" s="39"/>
      <c r="R585" s="39"/>
      <c r="S585" s="39"/>
      <c r="T585" s="39"/>
      <c r="U585" s="39"/>
      <c r="V585" s="39"/>
      <c r="W585" s="39"/>
      <c r="X585" s="39"/>
      <c r="Y585" s="39"/>
      <c r="Z585" s="39"/>
      <c r="AA585" s="39"/>
      <c r="AB585" s="39"/>
      <c r="AC585" s="39"/>
      <c r="AD585" s="39"/>
      <c r="AE585" s="39"/>
      <c r="AF585" s="39"/>
      <c r="AG585" s="39"/>
      <c r="AH585" s="39"/>
    </row>
    <row r="586" spans="1:34" s="38" customFormat="1" x14ac:dyDescent="0.25">
      <c r="A586" s="39"/>
      <c r="B586" s="58"/>
      <c r="C586" s="58"/>
      <c r="D586" s="59"/>
      <c r="E586" s="59"/>
      <c r="F586" s="59"/>
      <c r="H586" s="39"/>
      <c r="I586" s="39"/>
      <c r="J586" s="39"/>
      <c r="K586" s="39"/>
      <c r="L586" s="39"/>
      <c r="M586" s="39"/>
      <c r="N586" s="39"/>
      <c r="O586" s="39"/>
      <c r="P586" s="39"/>
      <c r="Q586" s="39"/>
      <c r="R586" s="39"/>
      <c r="S586" s="39"/>
      <c r="T586" s="39"/>
      <c r="U586" s="39"/>
      <c r="V586" s="39"/>
      <c r="W586" s="39"/>
      <c r="X586" s="39"/>
      <c r="Y586" s="39"/>
      <c r="Z586" s="39"/>
      <c r="AA586" s="39"/>
      <c r="AB586" s="39"/>
      <c r="AC586" s="39"/>
      <c r="AD586" s="39"/>
      <c r="AE586" s="39"/>
      <c r="AF586" s="39"/>
      <c r="AG586" s="39"/>
      <c r="AH586" s="39"/>
    </row>
    <row r="587" spans="1:34" s="38" customFormat="1" x14ac:dyDescent="0.25">
      <c r="A587" s="39"/>
      <c r="B587" s="58"/>
      <c r="C587" s="58"/>
      <c r="D587" s="59"/>
      <c r="E587" s="59"/>
      <c r="F587" s="59"/>
      <c r="H587" s="39"/>
      <c r="I587" s="39"/>
      <c r="J587" s="39"/>
      <c r="K587" s="39"/>
      <c r="L587" s="39"/>
      <c r="M587" s="39"/>
      <c r="N587" s="39"/>
      <c r="O587" s="39"/>
      <c r="P587" s="39"/>
      <c r="Q587" s="39"/>
      <c r="R587" s="39"/>
      <c r="S587" s="39"/>
      <c r="T587" s="39"/>
      <c r="U587" s="39"/>
      <c r="V587" s="39"/>
      <c r="W587" s="39"/>
      <c r="X587" s="39"/>
      <c r="Y587" s="39"/>
      <c r="Z587" s="39"/>
      <c r="AA587" s="39"/>
      <c r="AB587" s="39"/>
      <c r="AC587" s="39"/>
      <c r="AD587" s="39"/>
      <c r="AE587" s="39"/>
      <c r="AF587" s="39"/>
      <c r="AG587" s="39"/>
      <c r="AH587" s="39"/>
    </row>
    <row r="588" spans="1:34" s="38" customFormat="1" x14ac:dyDescent="0.25">
      <c r="A588" s="39"/>
      <c r="B588" s="58"/>
      <c r="C588" s="58"/>
      <c r="D588" s="59"/>
      <c r="E588" s="59"/>
      <c r="F588" s="59"/>
      <c r="H588" s="39"/>
      <c r="I588" s="39"/>
      <c r="J588" s="39"/>
      <c r="K588" s="39"/>
      <c r="L588" s="39"/>
      <c r="M588" s="39"/>
      <c r="N588" s="39"/>
      <c r="O588" s="39"/>
      <c r="P588" s="39"/>
      <c r="Q588" s="39"/>
      <c r="R588" s="39"/>
      <c r="S588" s="39"/>
      <c r="T588" s="39"/>
      <c r="U588" s="39"/>
      <c r="V588" s="39"/>
      <c r="W588" s="39"/>
      <c r="X588" s="39"/>
      <c r="Y588" s="39"/>
      <c r="Z588" s="39"/>
      <c r="AA588" s="39"/>
      <c r="AB588" s="39"/>
      <c r="AC588" s="39"/>
      <c r="AD588" s="39"/>
      <c r="AE588" s="39"/>
      <c r="AF588" s="39"/>
      <c r="AG588" s="39"/>
      <c r="AH588" s="39"/>
    </row>
    <row r="589" spans="1:34" s="38" customFormat="1" x14ac:dyDescent="0.25">
      <c r="A589" s="39"/>
      <c r="B589" s="58"/>
      <c r="C589" s="58"/>
      <c r="D589" s="59"/>
      <c r="E589" s="59"/>
      <c r="F589" s="59"/>
      <c r="H589" s="39"/>
      <c r="I589" s="39"/>
      <c r="J589" s="39"/>
      <c r="K589" s="39"/>
      <c r="L589" s="39"/>
      <c r="M589" s="39"/>
      <c r="N589" s="39"/>
      <c r="O589" s="39"/>
      <c r="P589" s="39"/>
      <c r="Q589" s="39"/>
      <c r="R589" s="39"/>
      <c r="S589" s="39"/>
      <c r="T589" s="39"/>
      <c r="U589" s="39"/>
      <c r="V589" s="39"/>
      <c r="W589" s="39"/>
      <c r="X589" s="39"/>
      <c r="Y589" s="39"/>
      <c r="Z589" s="39"/>
      <c r="AA589" s="39"/>
      <c r="AB589" s="39"/>
      <c r="AC589" s="39"/>
      <c r="AD589" s="39"/>
      <c r="AE589" s="39"/>
      <c r="AF589" s="39"/>
      <c r="AG589" s="39"/>
      <c r="AH589" s="39"/>
    </row>
    <row r="590" spans="1:34" s="38" customFormat="1" x14ac:dyDescent="0.25">
      <c r="A590" s="39"/>
      <c r="B590" s="58"/>
      <c r="C590" s="58"/>
      <c r="D590" s="59"/>
      <c r="E590" s="39"/>
      <c r="F590" s="39"/>
      <c r="H590" s="39"/>
      <c r="I590" s="39"/>
      <c r="J590" s="39"/>
      <c r="K590" s="39"/>
      <c r="L590" s="39"/>
      <c r="M590" s="39"/>
      <c r="N590" s="39"/>
      <c r="O590" s="39"/>
      <c r="P590" s="39"/>
      <c r="Q590" s="39"/>
      <c r="R590" s="39"/>
      <c r="S590" s="39"/>
      <c r="T590" s="39"/>
      <c r="U590" s="39"/>
      <c r="V590" s="39"/>
      <c r="W590" s="39"/>
      <c r="X590" s="39"/>
      <c r="Y590" s="39"/>
      <c r="Z590" s="39"/>
      <c r="AA590" s="39"/>
      <c r="AB590" s="39"/>
      <c r="AC590" s="39"/>
      <c r="AD590" s="39"/>
      <c r="AE590" s="39"/>
      <c r="AF590" s="39"/>
      <c r="AG590" s="39"/>
      <c r="AH590" s="39"/>
    </row>
    <row r="591" spans="1:34" s="38" customFormat="1" x14ac:dyDescent="0.25">
      <c r="A591" s="39"/>
      <c r="B591" s="58"/>
      <c r="C591" s="58"/>
      <c r="D591" s="59"/>
      <c r="E591" s="39"/>
      <c r="F591" s="39"/>
      <c r="H591" s="39"/>
      <c r="I591" s="39"/>
      <c r="J591" s="39"/>
      <c r="K591" s="39"/>
      <c r="L591" s="39"/>
      <c r="M591" s="39"/>
      <c r="N591" s="39"/>
      <c r="O591" s="39"/>
      <c r="P591" s="39"/>
      <c r="Q591" s="39"/>
      <c r="R591" s="39"/>
      <c r="S591" s="39"/>
      <c r="T591" s="39"/>
      <c r="U591" s="39"/>
      <c r="V591" s="39"/>
      <c r="W591" s="39"/>
      <c r="X591" s="39"/>
      <c r="Y591" s="39"/>
      <c r="Z591" s="39"/>
      <c r="AA591" s="39"/>
      <c r="AB591" s="39"/>
      <c r="AC591" s="39"/>
      <c r="AD591" s="39"/>
      <c r="AE591" s="39"/>
      <c r="AF591" s="39"/>
      <c r="AG591" s="39"/>
      <c r="AH591" s="39"/>
    </row>
    <row r="592" spans="1:34" s="38" customFormat="1" x14ac:dyDescent="0.25">
      <c r="A592" s="39"/>
      <c r="B592" s="58"/>
      <c r="C592" s="58"/>
      <c r="D592" s="59"/>
      <c r="E592" s="39"/>
      <c r="F592" s="39"/>
      <c r="H592" s="39"/>
      <c r="I592" s="39"/>
      <c r="J592" s="39"/>
      <c r="K592" s="39"/>
      <c r="L592" s="39"/>
      <c r="M592" s="39"/>
      <c r="N592" s="39"/>
      <c r="O592" s="39"/>
      <c r="P592" s="39"/>
      <c r="Q592" s="39"/>
      <c r="R592" s="39"/>
      <c r="S592" s="39"/>
      <c r="T592" s="39"/>
      <c r="U592" s="39"/>
      <c r="V592" s="39"/>
      <c r="W592" s="39"/>
      <c r="X592" s="39"/>
      <c r="Y592" s="39"/>
      <c r="Z592" s="39"/>
      <c r="AA592" s="39"/>
      <c r="AB592" s="39"/>
      <c r="AC592" s="39"/>
      <c r="AD592" s="39"/>
      <c r="AE592" s="39"/>
      <c r="AF592" s="39"/>
      <c r="AG592" s="39"/>
      <c r="AH592" s="39"/>
    </row>
    <row r="593" spans="1:34" s="38" customFormat="1" x14ac:dyDescent="0.25">
      <c r="A593" s="39"/>
      <c r="B593" s="58"/>
      <c r="C593" s="58"/>
      <c r="D593" s="59"/>
      <c r="E593" s="39"/>
      <c r="F593" s="39"/>
      <c r="H593" s="39"/>
      <c r="I593" s="39"/>
      <c r="J593" s="39"/>
      <c r="K593" s="39"/>
      <c r="L593" s="39"/>
      <c r="M593" s="39"/>
      <c r="N593" s="39"/>
      <c r="O593" s="39"/>
      <c r="P593" s="39"/>
      <c r="Q593" s="39"/>
      <c r="R593" s="39"/>
      <c r="S593" s="39"/>
      <c r="T593" s="39"/>
      <c r="U593" s="39"/>
      <c r="V593" s="39"/>
      <c r="W593" s="39"/>
      <c r="X593" s="39"/>
      <c r="Y593" s="39"/>
      <c r="Z593" s="39"/>
      <c r="AA593" s="39"/>
      <c r="AB593" s="39"/>
      <c r="AC593" s="39"/>
      <c r="AD593" s="39"/>
      <c r="AE593" s="39"/>
      <c r="AF593" s="39"/>
      <c r="AG593" s="39"/>
      <c r="AH593" s="39"/>
    </row>
    <row r="594" spans="1:34" s="38" customFormat="1" x14ac:dyDescent="0.25">
      <c r="A594" s="39"/>
      <c r="B594" s="58"/>
      <c r="C594" s="58"/>
      <c r="D594" s="59"/>
      <c r="E594" s="39"/>
      <c r="F594" s="39"/>
      <c r="H594" s="39"/>
      <c r="I594" s="39"/>
      <c r="J594" s="39"/>
      <c r="K594" s="39"/>
      <c r="L594" s="39"/>
      <c r="M594" s="39"/>
      <c r="N594" s="39"/>
      <c r="O594" s="39"/>
      <c r="P594" s="39"/>
      <c r="Q594" s="39"/>
      <c r="R594" s="39"/>
      <c r="S594" s="39"/>
      <c r="T594" s="39"/>
      <c r="U594" s="39"/>
      <c r="V594" s="39"/>
      <c r="W594" s="39"/>
      <c r="X594" s="39"/>
      <c r="Y594" s="39"/>
      <c r="Z594" s="39"/>
      <c r="AA594" s="39"/>
      <c r="AB594" s="39"/>
      <c r="AC594" s="39"/>
      <c r="AD594" s="39"/>
      <c r="AE594" s="39"/>
      <c r="AF594" s="39"/>
      <c r="AG594" s="39"/>
      <c r="AH594" s="39"/>
    </row>
    <row r="595" spans="1:34" s="38" customFormat="1" x14ac:dyDescent="0.25">
      <c r="A595" s="39"/>
      <c r="B595" s="58"/>
      <c r="C595" s="58"/>
      <c r="D595" s="59"/>
      <c r="E595" s="39"/>
      <c r="F595" s="39"/>
      <c r="H595" s="39"/>
      <c r="I595" s="39"/>
      <c r="J595" s="39"/>
      <c r="K595" s="39"/>
      <c r="L595" s="39"/>
      <c r="M595" s="39"/>
      <c r="N595" s="39"/>
      <c r="O595" s="39"/>
      <c r="P595" s="39"/>
      <c r="Q595" s="39"/>
      <c r="R595" s="39"/>
      <c r="S595" s="39"/>
      <c r="T595" s="39"/>
      <c r="U595" s="39"/>
      <c r="V595" s="39"/>
      <c r="W595" s="39"/>
      <c r="X595" s="39"/>
      <c r="Y595" s="39"/>
      <c r="Z595" s="39"/>
      <c r="AA595" s="39"/>
      <c r="AB595" s="39"/>
      <c r="AC595" s="39"/>
      <c r="AD595" s="39"/>
      <c r="AE595" s="39"/>
      <c r="AF595" s="39"/>
      <c r="AG595" s="39"/>
      <c r="AH595" s="39"/>
    </row>
    <row r="596" spans="1:34" s="38" customFormat="1" x14ac:dyDescent="0.25">
      <c r="A596" s="39"/>
      <c r="B596" s="58"/>
      <c r="C596" s="58"/>
      <c r="D596" s="59"/>
      <c r="E596" s="39"/>
      <c r="F596" s="39"/>
      <c r="H596" s="39"/>
      <c r="I596" s="39"/>
      <c r="J596" s="39"/>
      <c r="K596" s="39"/>
      <c r="L596" s="39"/>
      <c r="M596" s="39"/>
      <c r="N596" s="39"/>
      <c r="O596" s="39"/>
      <c r="P596" s="39"/>
      <c r="Q596" s="39"/>
      <c r="R596" s="39"/>
      <c r="S596" s="39"/>
      <c r="T596" s="39"/>
      <c r="U596" s="39"/>
      <c r="V596" s="39"/>
      <c r="W596" s="39"/>
      <c r="X596" s="39"/>
      <c r="Y596" s="39"/>
      <c r="Z596" s="39"/>
      <c r="AA596" s="39"/>
      <c r="AB596" s="39"/>
      <c r="AC596" s="39"/>
      <c r="AD596" s="39"/>
      <c r="AE596" s="39"/>
      <c r="AF596" s="39"/>
      <c r="AG596" s="39"/>
      <c r="AH596" s="39"/>
    </row>
    <row r="597" spans="1:34" s="38" customFormat="1" x14ac:dyDescent="0.25">
      <c r="A597" s="39"/>
      <c r="B597" s="58"/>
      <c r="C597" s="58"/>
      <c r="D597" s="59"/>
      <c r="E597" s="39"/>
      <c r="F597" s="39"/>
      <c r="H597" s="39"/>
      <c r="I597" s="39"/>
      <c r="J597" s="39"/>
      <c r="K597" s="39"/>
      <c r="L597" s="39"/>
      <c r="M597" s="39"/>
      <c r="N597" s="39"/>
      <c r="O597" s="39"/>
      <c r="P597" s="39"/>
      <c r="Q597" s="39"/>
      <c r="R597" s="39"/>
      <c r="S597" s="39"/>
      <c r="T597" s="39"/>
      <c r="U597" s="39"/>
      <c r="V597" s="39"/>
      <c r="W597" s="39"/>
      <c r="X597" s="39"/>
      <c r="Y597" s="39"/>
      <c r="Z597" s="39"/>
      <c r="AA597" s="39"/>
      <c r="AB597" s="39"/>
      <c r="AC597" s="39"/>
      <c r="AD597" s="39"/>
      <c r="AE597" s="39"/>
      <c r="AF597" s="39"/>
      <c r="AG597" s="39"/>
      <c r="AH597" s="39"/>
    </row>
    <row r="598" spans="1:34" s="38" customFormat="1" x14ac:dyDescent="0.25">
      <c r="A598" s="39"/>
      <c r="B598" s="58"/>
      <c r="C598" s="58"/>
      <c r="D598" s="59"/>
      <c r="E598" s="39"/>
      <c r="F598" s="39"/>
      <c r="H598" s="39"/>
      <c r="I598" s="39"/>
      <c r="J598" s="39"/>
      <c r="K598" s="39"/>
      <c r="L598" s="39"/>
      <c r="M598" s="39"/>
      <c r="N598" s="39"/>
      <c r="O598" s="39"/>
      <c r="P598" s="39"/>
      <c r="Q598" s="39"/>
      <c r="R598" s="39"/>
      <c r="S598" s="39"/>
      <c r="T598" s="39"/>
      <c r="U598" s="39"/>
      <c r="V598" s="39"/>
      <c r="W598" s="39"/>
      <c r="X598" s="39"/>
      <c r="Y598" s="39"/>
      <c r="Z598" s="39"/>
      <c r="AA598" s="39"/>
      <c r="AB598" s="39"/>
      <c r="AC598" s="39"/>
      <c r="AD598" s="39"/>
      <c r="AE598" s="39"/>
      <c r="AF598" s="39"/>
      <c r="AG598" s="39"/>
      <c r="AH598" s="39"/>
    </row>
    <row r="599" spans="1:34" s="38" customFormat="1" x14ac:dyDescent="0.25">
      <c r="A599" s="39"/>
      <c r="B599" s="58"/>
      <c r="C599" s="58"/>
      <c r="D599" s="59"/>
      <c r="E599" s="39"/>
      <c r="F599" s="39"/>
      <c r="H599" s="39"/>
      <c r="I599" s="39"/>
      <c r="J599" s="39"/>
      <c r="K599" s="39"/>
      <c r="L599" s="39"/>
      <c r="M599" s="39"/>
      <c r="N599" s="39"/>
      <c r="O599" s="39"/>
      <c r="P599" s="39"/>
      <c r="Q599" s="39"/>
      <c r="R599" s="39"/>
      <c r="S599" s="39"/>
      <c r="T599" s="39"/>
      <c r="U599" s="39"/>
      <c r="V599" s="39"/>
      <c r="W599" s="39"/>
      <c r="X599" s="39"/>
      <c r="Y599" s="39"/>
      <c r="Z599" s="39"/>
      <c r="AA599" s="39"/>
      <c r="AB599" s="39"/>
      <c r="AC599" s="39"/>
      <c r="AD599" s="39"/>
      <c r="AE599" s="39"/>
      <c r="AF599" s="39"/>
      <c r="AG599" s="39"/>
      <c r="AH599" s="39"/>
    </row>
    <row r="600" spans="1:34" s="38" customFormat="1" x14ac:dyDescent="0.25">
      <c r="A600" s="39"/>
      <c r="B600" s="58"/>
      <c r="C600" s="58"/>
      <c r="D600" s="59"/>
      <c r="E600" s="39"/>
      <c r="F600" s="39"/>
      <c r="H600" s="39"/>
      <c r="I600" s="39"/>
      <c r="J600" s="39"/>
      <c r="K600" s="39"/>
      <c r="L600" s="39"/>
      <c r="M600" s="39"/>
      <c r="N600" s="39"/>
      <c r="O600" s="39"/>
      <c r="P600" s="39"/>
      <c r="Q600" s="39"/>
      <c r="R600" s="39"/>
      <c r="S600" s="39"/>
      <c r="T600" s="39"/>
      <c r="U600" s="39"/>
      <c r="V600" s="39"/>
      <c r="W600" s="39"/>
      <c r="X600" s="39"/>
      <c r="Y600" s="39"/>
      <c r="Z600" s="39"/>
      <c r="AA600" s="39"/>
      <c r="AB600" s="39"/>
      <c r="AC600" s="39"/>
      <c r="AD600" s="39"/>
      <c r="AE600" s="39"/>
      <c r="AF600" s="39"/>
      <c r="AG600" s="39"/>
      <c r="AH600" s="39"/>
    </row>
    <row r="601" spans="1:34" s="38" customFormat="1" x14ac:dyDescent="0.25">
      <c r="A601" s="39"/>
      <c r="B601" s="58"/>
      <c r="C601" s="58"/>
      <c r="D601" s="59"/>
      <c r="E601" s="39"/>
      <c r="F601" s="39"/>
      <c r="H601" s="39"/>
      <c r="I601" s="39"/>
      <c r="J601" s="39"/>
      <c r="K601" s="39"/>
      <c r="L601" s="39"/>
      <c r="M601" s="39"/>
      <c r="N601" s="39"/>
      <c r="O601" s="39"/>
      <c r="P601" s="39"/>
      <c r="Q601" s="39"/>
      <c r="R601" s="39"/>
      <c r="S601" s="39"/>
      <c r="T601" s="39"/>
      <c r="U601" s="39"/>
      <c r="V601" s="39"/>
      <c r="W601" s="39"/>
      <c r="X601" s="39"/>
      <c r="Y601" s="39"/>
      <c r="Z601" s="39"/>
      <c r="AA601" s="39"/>
      <c r="AB601" s="39"/>
      <c r="AC601" s="39"/>
      <c r="AD601" s="39"/>
      <c r="AE601" s="39"/>
      <c r="AF601" s="39"/>
      <c r="AG601" s="39"/>
      <c r="AH601" s="39"/>
    </row>
    <row r="602" spans="1:34" s="38" customFormat="1" x14ac:dyDescent="0.25">
      <c r="A602" s="39"/>
      <c r="B602" s="58"/>
      <c r="C602" s="58"/>
      <c r="D602" s="59"/>
      <c r="E602" s="39"/>
      <c r="F602" s="39"/>
      <c r="H602" s="39"/>
      <c r="I602" s="39"/>
      <c r="J602" s="39"/>
      <c r="K602" s="39"/>
      <c r="L602" s="39"/>
      <c r="M602" s="39"/>
      <c r="N602" s="39"/>
      <c r="O602" s="39"/>
      <c r="P602" s="39"/>
      <c r="Q602" s="39"/>
      <c r="R602" s="39"/>
      <c r="S602" s="39"/>
      <c r="T602" s="39"/>
      <c r="U602" s="39"/>
      <c r="V602" s="39"/>
      <c r="W602" s="39"/>
      <c r="X602" s="39"/>
      <c r="Y602" s="39"/>
      <c r="Z602" s="39"/>
      <c r="AA602" s="39"/>
      <c r="AB602" s="39"/>
      <c r="AC602" s="39"/>
      <c r="AD602" s="39"/>
      <c r="AE602" s="39"/>
      <c r="AF602" s="39"/>
      <c r="AG602" s="39"/>
      <c r="AH602" s="39"/>
    </row>
    <row r="603" spans="1:34" s="38" customFormat="1" x14ac:dyDescent="0.25">
      <c r="A603" s="39"/>
      <c r="B603" s="58"/>
      <c r="C603" s="58"/>
      <c r="D603" s="59"/>
      <c r="E603" s="39"/>
      <c r="F603" s="39"/>
      <c r="H603" s="39"/>
      <c r="I603" s="39"/>
      <c r="J603" s="39"/>
      <c r="K603" s="39"/>
      <c r="L603" s="39"/>
      <c r="M603" s="39"/>
      <c r="N603" s="39"/>
      <c r="O603" s="39"/>
      <c r="P603" s="39"/>
      <c r="Q603" s="39"/>
      <c r="R603" s="39"/>
      <c r="S603" s="39"/>
      <c r="T603" s="39"/>
      <c r="U603" s="39"/>
      <c r="V603" s="39"/>
      <c r="W603" s="39"/>
      <c r="X603" s="39"/>
      <c r="Y603" s="39"/>
      <c r="Z603" s="39"/>
      <c r="AA603" s="39"/>
      <c r="AB603" s="39"/>
      <c r="AC603" s="39"/>
      <c r="AD603" s="39"/>
      <c r="AE603" s="39"/>
      <c r="AF603" s="39"/>
      <c r="AG603" s="39"/>
      <c r="AH603" s="39"/>
    </row>
    <row r="604" spans="1:34" s="38" customFormat="1" x14ac:dyDescent="0.25">
      <c r="A604" s="39"/>
      <c r="B604" s="58"/>
      <c r="C604" s="58"/>
      <c r="D604" s="59"/>
      <c r="E604" s="39"/>
      <c r="F604" s="39"/>
      <c r="H604" s="39"/>
      <c r="I604" s="39"/>
      <c r="J604" s="39"/>
      <c r="K604" s="39"/>
      <c r="L604" s="39"/>
      <c r="M604" s="39"/>
      <c r="N604" s="39"/>
      <c r="O604" s="39"/>
      <c r="P604" s="39"/>
      <c r="Q604" s="39"/>
      <c r="R604" s="39"/>
      <c r="S604" s="39"/>
      <c r="T604" s="39"/>
      <c r="U604" s="39"/>
      <c r="V604" s="39"/>
      <c r="W604" s="39"/>
      <c r="X604" s="39"/>
      <c r="Y604" s="39"/>
      <c r="Z604" s="39"/>
      <c r="AA604" s="39"/>
      <c r="AB604" s="39"/>
      <c r="AC604" s="39"/>
      <c r="AD604" s="39"/>
      <c r="AE604" s="39"/>
      <c r="AF604" s="39"/>
      <c r="AG604" s="39"/>
      <c r="AH604" s="39"/>
    </row>
    <row r="605" spans="1:34" s="38" customFormat="1" x14ac:dyDescent="0.25">
      <c r="A605" s="39"/>
      <c r="B605" s="58"/>
      <c r="C605" s="58"/>
      <c r="D605" s="59"/>
      <c r="E605" s="39"/>
      <c r="F605" s="39"/>
      <c r="H605" s="39"/>
      <c r="I605" s="39"/>
      <c r="J605" s="39"/>
      <c r="K605" s="39"/>
      <c r="L605" s="39"/>
      <c r="M605" s="39"/>
      <c r="N605" s="39"/>
      <c r="O605" s="39"/>
      <c r="P605" s="39"/>
      <c r="Q605" s="39"/>
      <c r="R605" s="39"/>
      <c r="S605" s="39"/>
      <c r="T605" s="39"/>
      <c r="U605" s="39"/>
      <c r="V605" s="39"/>
      <c r="W605" s="39"/>
      <c r="X605" s="39"/>
      <c r="Y605" s="39"/>
      <c r="Z605" s="39"/>
      <c r="AA605" s="39"/>
      <c r="AB605" s="39"/>
      <c r="AC605" s="39"/>
      <c r="AD605" s="39"/>
      <c r="AE605" s="39"/>
      <c r="AF605" s="39"/>
      <c r="AG605" s="39"/>
      <c r="AH605" s="39"/>
    </row>
    <row r="606" spans="1:34" s="38" customFormat="1" x14ac:dyDescent="0.25">
      <c r="A606" s="39"/>
      <c r="B606" s="58"/>
      <c r="C606" s="58"/>
      <c r="D606" s="59"/>
      <c r="E606" s="39"/>
      <c r="F606" s="39"/>
      <c r="H606" s="39"/>
      <c r="I606" s="39"/>
      <c r="J606" s="39"/>
      <c r="K606" s="39"/>
      <c r="L606" s="39"/>
      <c r="M606" s="39"/>
      <c r="N606" s="39"/>
      <c r="O606" s="39"/>
      <c r="P606" s="39"/>
      <c r="Q606" s="39"/>
      <c r="R606" s="39"/>
      <c r="S606" s="39"/>
      <c r="T606" s="39"/>
      <c r="U606" s="39"/>
      <c r="V606" s="39"/>
      <c r="W606" s="39"/>
      <c r="X606" s="39"/>
      <c r="Y606" s="39"/>
      <c r="Z606" s="39"/>
      <c r="AA606" s="39"/>
      <c r="AB606" s="39"/>
      <c r="AC606" s="39"/>
      <c r="AD606" s="39"/>
      <c r="AE606" s="39"/>
      <c r="AF606" s="39"/>
      <c r="AG606" s="39"/>
      <c r="AH606" s="39"/>
    </row>
    <row r="607" spans="1:34" s="38" customFormat="1" x14ac:dyDescent="0.25">
      <c r="A607" s="39"/>
      <c r="B607" s="58"/>
      <c r="C607" s="58"/>
      <c r="D607" s="59"/>
      <c r="E607" s="39"/>
      <c r="F607" s="39"/>
      <c r="H607" s="39"/>
      <c r="I607" s="39"/>
      <c r="J607" s="39"/>
      <c r="K607" s="39"/>
      <c r="L607" s="39"/>
      <c r="M607" s="39"/>
      <c r="N607" s="39"/>
      <c r="O607" s="39"/>
      <c r="P607" s="39"/>
      <c r="Q607" s="39"/>
      <c r="R607" s="39"/>
      <c r="S607" s="39"/>
      <c r="T607" s="39"/>
      <c r="U607" s="39"/>
      <c r="V607" s="39"/>
      <c r="W607" s="39"/>
      <c r="X607" s="39"/>
      <c r="Y607" s="39"/>
      <c r="Z607" s="39"/>
      <c r="AA607" s="39"/>
      <c r="AB607" s="39"/>
      <c r="AC607" s="39"/>
      <c r="AD607" s="39"/>
      <c r="AE607" s="39"/>
      <c r="AF607" s="39"/>
      <c r="AG607" s="39"/>
      <c r="AH607" s="39"/>
    </row>
    <row r="608" spans="1:34" s="38" customFormat="1" x14ac:dyDescent="0.25">
      <c r="A608" s="39"/>
      <c r="B608" s="58"/>
      <c r="C608" s="58"/>
      <c r="D608" s="59"/>
      <c r="E608" s="39"/>
      <c r="F608" s="39"/>
      <c r="H608" s="39"/>
      <c r="I608" s="39"/>
      <c r="J608" s="39"/>
      <c r="K608" s="39"/>
      <c r="L608" s="39"/>
      <c r="M608" s="39"/>
      <c r="N608" s="39"/>
      <c r="O608" s="39"/>
      <c r="P608" s="39"/>
      <c r="Q608" s="39"/>
      <c r="R608" s="39"/>
      <c r="S608" s="39"/>
      <c r="T608" s="39"/>
      <c r="U608" s="39"/>
      <c r="V608" s="39"/>
      <c r="W608" s="39"/>
      <c r="X608" s="39"/>
      <c r="Y608" s="39"/>
      <c r="Z608" s="39"/>
      <c r="AA608" s="39"/>
      <c r="AB608" s="39"/>
      <c r="AC608" s="39"/>
      <c r="AD608" s="39"/>
      <c r="AE608" s="39"/>
      <c r="AF608" s="39"/>
      <c r="AG608" s="39"/>
      <c r="AH608" s="39"/>
    </row>
    <row r="609" spans="1:34" s="38" customFormat="1" x14ac:dyDescent="0.25">
      <c r="A609" s="39"/>
      <c r="B609" s="58"/>
      <c r="C609" s="58"/>
      <c r="D609" s="59"/>
      <c r="E609" s="39"/>
      <c r="F609" s="39"/>
      <c r="H609" s="39"/>
      <c r="I609" s="39"/>
      <c r="J609" s="39"/>
      <c r="K609" s="39"/>
      <c r="L609" s="39"/>
      <c r="M609" s="39"/>
      <c r="N609" s="39"/>
      <c r="O609" s="39"/>
      <c r="P609" s="39"/>
      <c r="Q609" s="39"/>
      <c r="R609" s="39"/>
      <c r="S609" s="39"/>
      <c r="T609" s="39"/>
      <c r="U609" s="39"/>
      <c r="V609" s="39"/>
      <c r="W609" s="39"/>
      <c r="X609" s="39"/>
      <c r="Y609" s="39"/>
      <c r="Z609" s="39"/>
      <c r="AA609" s="39"/>
      <c r="AB609" s="39"/>
      <c r="AC609" s="39"/>
      <c r="AD609" s="39"/>
      <c r="AE609" s="39"/>
      <c r="AF609" s="39"/>
      <c r="AG609" s="39"/>
      <c r="AH609" s="39"/>
    </row>
    <row r="610" spans="1:34" s="38" customFormat="1" x14ac:dyDescent="0.25">
      <c r="A610" s="39"/>
      <c r="B610" s="58"/>
      <c r="C610" s="58"/>
      <c r="D610" s="59"/>
      <c r="E610" s="59"/>
      <c r="F610" s="59"/>
      <c r="H610" s="39"/>
      <c r="I610" s="39"/>
      <c r="J610" s="39"/>
      <c r="K610" s="39"/>
      <c r="L610" s="39"/>
      <c r="M610" s="39"/>
      <c r="N610" s="39"/>
      <c r="O610" s="39"/>
      <c r="P610" s="39"/>
      <c r="Q610" s="39"/>
      <c r="R610" s="39"/>
      <c r="S610" s="39"/>
      <c r="T610" s="39"/>
      <c r="U610" s="39"/>
      <c r="V610" s="39"/>
      <c r="W610" s="39"/>
      <c r="X610" s="39"/>
      <c r="Y610" s="39"/>
      <c r="Z610" s="39"/>
      <c r="AA610" s="39"/>
      <c r="AB610" s="39"/>
      <c r="AC610" s="39"/>
      <c r="AD610" s="39"/>
      <c r="AE610" s="39"/>
      <c r="AF610" s="39"/>
      <c r="AG610" s="39"/>
      <c r="AH610" s="39"/>
    </row>
    <row r="611" spans="1:34" s="38" customFormat="1" x14ac:dyDescent="0.25">
      <c r="A611" s="39"/>
      <c r="B611" s="58"/>
      <c r="C611" s="58"/>
      <c r="D611" s="59"/>
      <c r="E611" s="59"/>
      <c r="F611" s="59"/>
      <c r="H611" s="39"/>
      <c r="I611" s="39"/>
      <c r="J611" s="39"/>
      <c r="K611" s="39"/>
      <c r="L611" s="39"/>
      <c r="M611" s="39"/>
      <c r="N611" s="39"/>
      <c r="O611" s="39"/>
      <c r="P611" s="39"/>
      <c r="Q611" s="39"/>
      <c r="R611" s="39"/>
      <c r="S611" s="39"/>
      <c r="T611" s="39"/>
      <c r="U611" s="39"/>
      <c r="V611" s="39"/>
      <c r="W611" s="39"/>
      <c r="X611" s="39"/>
      <c r="Y611" s="39"/>
      <c r="Z611" s="39"/>
      <c r="AA611" s="39"/>
      <c r="AB611" s="39"/>
      <c r="AC611" s="39"/>
      <c r="AD611" s="39"/>
      <c r="AE611" s="39"/>
      <c r="AF611" s="39"/>
      <c r="AG611" s="39"/>
      <c r="AH611" s="39"/>
    </row>
    <row r="612" spans="1:34" s="38" customFormat="1" x14ac:dyDescent="0.25">
      <c r="A612" s="39"/>
      <c r="B612" s="58"/>
      <c r="C612" s="58"/>
      <c r="D612" s="59"/>
      <c r="E612" s="59"/>
      <c r="F612" s="59"/>
      <c r="H612" s="39"/>
      <c r="I612" s="39"/>
      <c r="J612" s="39"/>
      <c r="K612" s="39"/>
      <c r="L612" s="39"/>
      <c r="M612" s="39"/>
      <c r="N612" s="39"/>
      <c r="O612" s="39"/>
      <c r="P612" s="39"/>
      <c r="Q612" s="39"/>
      <c r="R612" s="39"/>
      <c r="S612" s="39"/>
      <c r="T612" s="39"/>
      <c r="U612" s="39"/>
      <c r="V612" s="39"/>
      <c r="W612" s="39"/>
      <c r="X612" s="39"/>
      <c r="Y612" s="39"/>
      <c r="Z612" s="39"/>
      <c r="AA612" s="39"/>
      <c r="AB612" s="39"/>
      <c r="AC612" s="39"/>
      <c r="AD612" s="39"/>
      <c r="AE612" s="39"/>
      <c r="AF612" s="39"/>
      <c r="AG612" s="39"/>
      <c r="AH612" s="39"/>
    </row>
    <row r="613" spans="1:34" s="38" customFormat="1" x14ac:dyDescent="0.25">
      <c r="A613" s="39"/>
      <c r="B613" s="58"/>
      <c r="C613" s="58"/>
      <c r="D613" s="59"/>
      <c r="E613" s="59"/>
      <c r="F613" s="59"/>
      <c r="H613" s="39"/>
      <c r="I613" s="39"/>
      <c r="J613" s="39"/>
      <c r="K613" s="39"/>
      <c r="L613" s="39"/>
      <c r="M613" s="39"/>
      <c r="N613" s="39"/>
      <c r="O613" s="39"/>
      <c r="P613" s="39"/>
      <c r="Q613" s="39"/>
      <c r="R613" s="39"/>
      <c r="S613" s="39"/>
      <c r="T613" s="39"/>
      <c r="U613" s="39"/>
      <c r="V613" s="39"/>
      <c r="W613" s="39"/>
      <c r="X613" s="39"/>
      <c r="Y613" s="39"/>
      <c r="Z613" s="39"/>
      <c r="AA613" s="39"/>
      <c r="AB613" s="39"/>
      <c r="AC613" s="39"/>
      <c r="AD613" s="39"/>
      <c r="AE613" s="39"/>
      <c r="AF613" s="39"/>
      <c r="AG613" s="39"/>
      <c r="AH613" s="39"/>
    </row>
    <row r="614" spans="1:34" s="38" customFormat="1" x14ac:dyDescent="0.25">
      <c r="A614" s="39"/>
      <c r="B614" s="58"/>
      <c r="C614" s="58"/>
      <c r="D614" s="59"/>
      <c r="E614" s="59"/>
      <c r="F614" s="59"/>
      <c r="H614" s="39"/>
      <c r="I614" s="39"/>
      <c r="J614" s="39"/>
      <c r="K614" s="39"/>
      <c r="L614" s="39"/>
      <c r="M614" s="39"/>
      <c r="N614" s="39"/>
      <c r="O614" s="39"/>
      <c r="P614" s="39"/>
      <c r="Q614" s="39"/>
      <c r="R614" s="39"/>
      <c r="S614" s="39"/>
      <c r="T614" s="39"/>
      <c r="U614" s="39"/>
      <c r="V614" s="39"/>
      <c r="W614" s="39"/>
      <c r="X614" s="39"/>
      <c r="Y614" s="39"/>
      <c r="Z614" s="39"/>
      <c r="AA614" s="39"/>
      <c r="AB614" s="39"/>
      <c r="AC614" s="39"/>
      <c r="AD614" s="39"/>
      <c r="AE614" s="39"/>
      <c r="AF614" s="39"/>
      <c r="AG614" s="39"/>
      <c r="AH614" s="39"/>
    </row>
    <row r="615" spans="1:34" s="38" customFormat="1" x14ac:dyDescent="0.25">
      <c r="A615" s="39"/>
      <c r="B615" s="58"/>
      <c r="C615" s="58"/>
      <c r="D615" s="59"/>
      <c r="E615" s="39"/>
      <c r="F615" s="39"/>
      <c r="H615" s="39"/>
      <c r="I615" s="39"/>
      <c r="J615" s="39"/>
      <c r="K615" s="39"/>
      <c r="L615" s="39"/>
      <c r="M615" s="39"/>
      <c r="N615" s="39"/>
      <c r="O615" s="39"/>
      <c r="P615" s="39"/>
      <c r="Q615" s="39"/>
      <c r="R615" s="39"/>
      <c r="S615" s="39"/>
      <c r="T615" s="39"/>
      <c r="U615" s="39"/>
      <c r="V615" s="39"/>
      <c r="W615" s="39"/>
      <c r="X615" s="39"/>
      <c r="Y615" s="39"/>
      <c r="Z615" s="39"/>
      <c r="AA615" s="39"/>
      <c r="AB615" s="39"/>
      <c r="AC615" s="39"/>
      <c r="AD615" s="39"/>
      <c r="AE615" s="39"/>
      <c r="AF615" s="39"/>
      <c r="AG615" s="39"/>
      <c r="AH615" s="39"/>
    </row>
    <row r="616" spans="1:34" s="38" customFormat="1" x14ac:dyDescent="0.25">
      <c r="A616" s="39"/>
      <c r="B616" s="58"/>
      <c r="C616" s="58"/>
      <c r="D616" s="59"/>
      <c r="E616" s="39"/>
      <c r="F616" s="39"/>
      <c r="H616" s="39"/>
      <c r="I616" s="39"/>
      <c r="J616" s="39"/>
      <c r="K616" s="39"/>
      <c r="L616" s="39"/>
      <c r="M616" s="39"/>
      <c r="N616" s="39"/>
      <c r="O616" s="39"/>
      <c r="P616" s="39"/>
      <c r="Q616" s="39"/>
      <c r="R616" s="39"/>
      <c r="S616" s="39"/>
      <c r="T616" s="39"/>
      <c r="U616" s="39"/>
      <c r="V616" s="39"/>
      <c r="W616" s="39"/>
      <c r="X616" s="39"/>
      <c r="Y616" s="39"/>
      <c r="Z616" s="39"/>
      <c r="AA616" s="39"/>
      <c r="AB616" s="39"/>
      <c r="AC616" s="39"/>
      <c r="AD616" s="39"/>
      <c r="AE616" s="39"/>
      <c r="AF616" s="39"/>
      <c r="AG616" s="39"/>
      <c r="AH616" s="39"/>
    </row>
    <row r="617" spans="1:34" s="38" customFormat="1" x14ac:dyDescent="0.25">
      <c r="A617" s="39"/>
      <c r="B617" s="58"/>
      <c r="C617" s="58"/>
      <c r="D617" s="59"/>
      <c r="E617" s="39"/>
      <c r="F617" s="39"/>
      <c r="H617" s="39"/>
      <c r="I617" s="39"/>
      <c r="J617" s="39"/>
      <c r="K617" s="39"/>
      <c r="L617" s="39"/>
      <c r="M617" s="39"/>
      <c r="N617" s="39"/>
      <c r="O617" s="39"/>
      <c r="P617" s="39"/>
      <c r="Q617" s="39"/>
      <c r="R617" s="39"/>
      <c r="S617" s="39"/>
      <c r="T617" s="39"/>
      <c r="U617" s="39"/>
      <c r="V617" s="39"/>
      <c r="W617" s="39"/>
      <c r="X617" s="39"/>
      <c r="Y617" s="39"/>
      <c r="Z617" s="39"/>
      <c r="AA617" s="39"/>
      <c r="AB617" s="39"/>
      <c r="AC617" s="39"/>
      <c r="AD617" s="39"/>
      <c r="AE617" s="39"/>
      <c r="AF617" s="39"/>
      <c r="AG617" s="39"/>
      <c r="AH617" s="39"/>
    </row>
    <row r="618" spans="1:34" s="38" customFormat="1" x14ac:dyDescent="0.25">
      <c r="A618" s="39"/>
      <c r="B618" s="58"/>
      <c r="C618" s="58"/>
      <c r="D618" s="59"/>
      <c r="E618" s="39"/>
      <c r="F618" s="39"/>
      <c r="H618" s="39"/>
      <c r="I618" s="39"/>
      <c r="J618" s="39"/>
      <c r="K618" s="39"/>
      <c r="L618" s="39"/>
      <c r="M618" s="39"/>
      <c r="N618" s="39"/>
      <c r="O618" s="39"/>
      <c r="P618" s="39"/>
      <c r="Q618" s="39"/>
      <c r="R618" s="39"/>
      <c r="S618" s="39"/>
      <c r="T618" s="39"/>
      <c r="U618" s="39"/>
      <c r="V618" s="39"/>
      <c r="W618" s="39"/>
      <c r="X618" s="39"/>
      <c r="Y618" s="39"/>
      <c r="Z618" s="39"/>
      <c r="AA618" s="39"/>
      <c r="AB618" s="39"/>
      <c r="AC618" s="39"/>
      <c r="AD618" s="39"/>
      <c r="AE618" s="39"/>
      <c r="AF618" s="39"/>
      <c r="AG618" s="39"/>
      <c r="AH618" s="39"/>
    </row>
    <row r="619" spans="1:34" s="38" customFormat="1" x14ac:dyDescent="0.25">
      <c r="A619" s="39"/>
      <c r="B619" s="58"/>
      <c r="C619" s="58"/>
      <c r="D619" s="59"/>
      <c r="E619" s="39"/>
      <c r="F619" s="39"/>
      <c r="H619" s="39"/>
      <c r="I619" s="39"/>
      <c r="J619" s="39"/>
      <c r="K619" s="39"/>
      <c r="L619" s="39"/>
      <c r="M619" s="39"/>
      <c r="N619" s="39"/>
      <c r="O619" s="39"/>
      <c r="P619" s="39"/>
      <c r="Q619" s="39"/>
      <c r="R619" s="39"/>
      <c r="S619" s="39"/>
      <c r="T619" s="39"/>
      <c r="U619" s="39"/>
      <c r="V619" s="39"/>
      <c r="W619" s="39"/>
      <c r="X619" s="39"/>
      <c r="Y619" s="39"/>
      <c r="Z619" s="39"/>
      <c r="AA619" s="39"/>
      <c r="AB619" s="39"/>
      <c r="AC619" s="39"/>
      <c r="AD619" s="39"/>
      <c r="AE619" s="39"/>
      <c r="AF619" s="39"/>
      <c r="AG619" s="39"/>
      <c r="AH619" s="39"/>
    </row>
    <row r="620" spans="1:34" s="38" customFormat="1" x14ac:dyDescent="0.25">
      <c r="A620" s="39"/>
      <c r="B620" s="58"/>
      <c r="C620" s="58"/>
      <c r="D620" s="59"/>
      <c r="E620" s="39"/>
      <c r="F620" s="39"/>
      <c r="H620" s="39"/>
      <c r="I620" s="39"/>
      <c r="J620" s="39"/>
      <c r="K620" s="39"/>
      <c r="L620" s="39"/>
      <c r="M620" s="39"/>
      <c r="N620" s="39"/>
      <c r="O620" s="39"/>
      <c r="P620" s="39"/>
      <c r="Q620" s="39"/>
      <c r="R620" s="39"/>
      <c r="S620" s="39"/>
      <c r="T620" s="39"/>
      <c r="U620" s="39"/>
      <c r="V620" s="39"/>
      <c r="W620" s="39"/>
      <c r="X620" s="39"/>
      <c r="Y620" s="39"/>
      <c r="Z620" s="39"/>
      <c r="AA620" s="39"/>
      <c r="AB620" s="39"/>
      <c r="AC620" s="39"/>
      <c r="AD620" s="39"/>
      <c r="AE620" s="39"/>
      <c r="AF620" s="39"/>
      <c r="AG620" s="39"/>
      <c r="AH620" s="39"/>
    </row>
    <row r="621" spans="1:34" s="38" customFormat="1" x14ac:dyDescent="0.25">
      <c r="A621" s="39"/>
      <c r="B621" s="58"/>
      <c r="C621" s="58"/>
      <c r="D621" s="59"/>
      <c r="E621" s="39"/>
      <c r="F621" s="39"/>
      <c r="H621" s="39"/>
      <c r="I621" s="39"/>
      <c r="J621" s="39"/>
      <c r="K621" s="39"/>
      <c r="L621" s="39"/>
      <c r="M621" s="39"/>
      <c r="N621" s="39"/>
      <c r="O621" s="39"/>
      <c r="P621" s="39"/>
      <c r="Q621" s="39"/>
      <c r="R621" s="39"/>
      <c r="S621" s="39"/>
      <c r="T621" s="39"/>
      <c r="U621" s="39"/>
      <c r="V621" s="39"/>
      <c r="W621" s="39"/>
      <c r="X621" s="39"/>
      <c r="Y621" s="39"/>
      <c r="Z621" s="39"/>
      <c r="AA621" s="39"/>
      <c r="AB621" s="39"/>
      <c r="AC621" s="39"/>
      <c r="AD621" s="39"/>
      <c r="AE621" s="39"/>
      <c r="AF621" s="39"/>
      <c r="AG621" s="39"/>
      <c r="AH621" s="39"/>
    </row>
    <row r="622" spans="1:34" s="38" customFormat="1" x14ac:dyDescent="0.25">
      <c r="A622" s="39"/>
      <c r="B622" s="58"/>
      <c r="C622" s="58"/>
      <c r="D622" s="59"/>
      <c r="E622" s="39"/>
      <c r="F622" s="39"/>
      <c r="H622" s="39"/>
      <c r="I622" s="39"/>
      <c r="J622" s="39"/>
      <c r="K622" s="39"/>
      <c r="L622" s="39"/>
      <c r="M622" s="39"/>
      <c r="N622" s="39"/>
      <c r="O622" s="39"/>
      <c r="P622" s="39"/>
      <c r="Q622" s="39"/>
      <c r="R622" s="39"/>
      <c r="S622" s="39"/>
      <c r="T622" s="39"/>
      <c r="U622" s="39"/>
      <c r="V622" s="39"/>
      <c r="W622" s="39"/>
      <c r="X622" s="39"/>
      <c r="Y622" s="39"/>
      <c r="Z622" s="39"/>
      <c r="AA622" s="39"/>
      <c r="AB622" s="39"/>
      <c r="AC622" s="39"/>
      <c r="AD622" s="39"/>
      <c r="AE622" s="39"/>
      <c r="AF622" s="39"/>
      <c r="AG622" s="39"/>
      <c r="AH622" s="39"/>
    </row>
    <row r="623" spans="1:34" s="38" customFormat="1" x14ac:dyDescent="0.25">
      <c r="A623" s="39"/>
      <c r="B623" s="58"/>
      <c r="C623" s="58"/>
      <c r="D623" s="59"/>
      <c r="E623" s="39"/>
      <c r="F623" s="39"/>
      <c r="H623" s="39"/>
      <c r="I623" s="39"/>
      <c r="J623" s="39"/>
      <c r="K623" s="39"/>
      <c r="L623" s="39"/>
      <c r="M623" s="39"/>
      <c r="N623" s="39"/>
      <c r="O623" s="39"/>
      <c r="P623" s="39"/>
      <c r="Q623" s="39"/>
      <c r="R623" s="39"/>
      <c r="S623" s="39"/>
      <c r="T623" s="39"/>
      <c r="U623" s="39"/>
      <c r="V623" s="39"/>
      <c r="W623" s="39"/>
      <c r="X623" s="39"/>
      <c r="Y623" s="39"/>
      <c r="Z623" s="39"/>
      <c r="AA623" s="39"/>
      <c r="AB623" s="39"/>
      <c r="AC623" s="39"/>
      <c r="AD623" s="39"/>
      <c r="AE623" s="39"/>
      <c r="AF623" s="39"/>
      <c r="AG623" s="39"/>
      <c r="AH623" s="39"/>
    </row>
    <row r="624" spans="1:34" s="38" customFormat="1" x14ac:dyDescent="0.25">
      <c r="A624" s="39"/>
      <c r="B624" s="58"/>
      <c r="C624" s="58"/>
      <c r="D624" s="59"/>
      <c r="E624" s="39"/>
      <c r="F624" s="39"/>
      <c r="H624" s="39"/>
      <c r="I624" s="39"/>
      <c r="J624" s="39"/>
      <c r="K624" s="39"/>
      <c r="L624" s="39"/>
      <c r="M624" s="39"/>
      <c r="N624" s="39"/>
      <c r="O624" s="39"/>
      <c r="P624" s="39"/>
      <c r="Q624" s="39"/>
      <c r="R624" s="39"/>
      <c r="S624" s="39"/>
      <c r="T624" s="39"/>
      <c r="U624" s="39"/>
      <c r="V624" s="39"/>
      <c r="W624" s="39"/>
      <c r="X624" s="39"/>
      <c r="Y624" s="39"/>
      <c r="Z624" s="39"/>
      <c r="AA624" s="39"/>
      <c r="AB624" s="39"/>
      <c r="AC624" s="39"/>
      <c r="AD624" s="39"/>
      <c r="AE624" s="39"/>
      <c r="AF624" s="39"/>
      <c r="AG624" s="39"/>
      <c r="AH624" s="39"/>
    </row>
    <row r="625" spans="1:34" s="38" customFormat="1" x14ac:dyDescent="0.25">
      <c r="A625" s="39"/>
      <c r="B625" s="58"/>
      <c r="C625" s="58"/>
      <c r="D625" s="59"/>
      <c r="E625" s="39"/>
      <c r="F625" s="39"/>
      <c r="H625" s="39"/>
      <c r="I625" s="39"/>
      <c r="J625" s="39"/>
      <c r="K625" s="39"/>
      <c r="L625" s="39"/>
      <c r="M625" s="39"/>
      <c r="N625" s="39"/>
      <c r="O625" s="39"/>
      <c r="P625" s="39"/>
      <c r="Q625" s="39"/>
      <c r="R625" s="39"/>
      <c r="S625" s="39"/>
      <c r="T625" s="39"/>
      <c r="U625" s="39"/>
      <c r="V625" s="39"/>
      <c r="W625" s="39"/>
      <c r="X625" s="39"/>
      <c r="Y625" s="39"/>
      <c r="Z625" s="39"/>
      <c r="AA625" s="39"/>
      <c r="AB625" s="39"/>
      <c r="AC625" s="39"/>
      <c r="AD625" s="39"/>
      <c r="AE625" s="39"/>
      <c r="AF625" s="39"/>
      <c r="AG625" s="39"/>
      <c r="AH625" s="39"/>
    </row>
    <row r="626" spans="1:34" s="38" customFormat="1" x14ac:dyDescent="0.25">
      <c r="A626" s="39"/>
      <c r="B626" s="58"/>
      <c r="C626" s="58"/>
      <c r="D626" s="59"/>
      <c r="E626" s="39"/>
      <c r="F626" s="39"/>
      <c r="H626" s="39"/>
      <c r="I626" s="39"/>
      <c r="J626" s="39"/>
      <c r="K626" s="39"/>
      <c r="L626" s="39"/>
      <c r="M626" s="39"/>
      <c r="N626" s="39"/>
      <c r="O626" s="39"/>
      <c r="P626" s="39"/>
      <c r="Q626" s="39"/>
      <c r="R626" s="39"/>
      <c r="S626" s="39"/>
      <c r="T626" s="39"/>
      <c r="U626" s="39"/>
      <c r="V626" s="39"/>
      <c r="W626" s="39"/>
      <c r="X626" s="39"/>
      <c r="Y626" s="39"/>
      <c r="Z626" s="39"/>
      <c r="AA626" s="39"/>
      <c r="AB626" s="39"/>
      <c r="AC626" s="39"/>
      <c r="AD626" s="39"/>
      <c r="AE626" s="39"/>
      <c r="AF626" s="39"/>
      <c r="AG626" s="39"/>
      <c r="AH626" s="39"/>
    </row>
    <row r="627" spans="1:34" s="38" customFormat="1" x14ac:dyDescent="0.25">
      <c r="A627" s="39"/>
      <c r="B627" s="58"/>
      <c r="C627" s="58"/>
      <c r="D627" s="59"/>
      <c r="E627" s="39"/>
      <c r="F627" s="39"/>
      <c r="H627" s="39"/>
      <c r="I627" s="39"/>
      <c r="J627" s="39"/>
      <c r="K627" s="39"/>
      <c r="L627" s="39"/>
      <c r="M627" s="39"/>
      <c r="N627" s="39"/>
      <c r="O627" s="39"/>
      <c r="P627" s="39"/>
      <c r="Q627" s="39"/>
      <c r="R627" s="39"/>
      <c r="S627" s="39"/>
      <c r="T627" s="39"/>
      <c r="U627" s="39"/>
      <c r="V627" s="39"/>
      <c r="W627" s="39"/>
      <c r="X627" s="39"/>
      <c r="Y627" s="39"/>
      <c r="Z627" s="39"/>
      <c r="AA627" s="39"/>
      <c r="AB627" s="39"/>
      <c r="AC627" s="39"/>
      <c r="AD627" s="39"/>
      <c r="AE627" s="39"/>
      <c r="AF627" s="39"/>
      <c r="AG627" s="39"/>
      <c r="AH627" s="39"/>
    </row>
    <row r="628" spans="1:34" s="38" customFormat="1" x14ac:dyDescent="0.25">
      <c r="A628" s="39"/>
      <c r="B628" s="58"/>
      <c r="C628" s="58"/>
      <c r="D628" s="59"/>
      <c r="E628" s="39"/>
      <c r="F628" s="39"/>
      <c r="H628" s="39"/>
      <c r="I628" s="39"/>
      <c r="J628" s="39"/>
      <c r="K628" s="39"/>
      <c r="L628" s="39"/>
      <c r="M628" s="39"/>
      <c r="N628" s="39"/>
      <c r="O628" s="39"/>
      <c r="P628" s="39"/>
      <c r="Q628" s="39"/>
      <c r="R628" s="39"/>
      <c r="S628" s="39"/>
      <c r="T628" s="39"/>
      <c r="U628" s="39"/>
      <c r="V628" s="39"/>
      <c r="W628" s="39"/>
      <c r="X628" s="39"/>
      <c r="Y628" s="39"/>
      <c r="Z628" s="39"/>
      <c r="AA628" s="39"/>
      <c r="AB628" s="39"/>
      <c r="AC628" s="39"/>
      <c r="AD628" s="39"/>
      <c r="AE628" s="39"/>
      <c r="AF628" s="39"/>
      <c r="AG628" s="39"/>
      <c r="AH628" s="39"/>
    </row>
    <row r="629" spans="1:34" s="38" customFormat="1" x14ac:dyDescent="0.25">
      <c r="A629" s="39"/>
      <c r="B629" s="58"/>
      <c r="C629" s="58"/>
      <c r="D629" s="59"/>
      <c r="E629" s="39"/>
      <c r="F629" s="39"/>
      <c r="H629" s="39"/>
      <c r="I629" s="39"/>
      <c r="J629" s="39"/>
      <c r="K629" s="39"/>
      <c r="L629" s="39"/>
      <c r="M629" s="39"/>
      <c r="N629" s="39"/>
      <c r="O629" s="39"/>
      <c r="P629" s="39"/>
      <c r="Q629" s="39"/>
      <c r="R629" s="39"/>
      <c r="S629" s="39"/>
      <c r="T629" s="39"/>
      <c r="U629" s="39"/>
      <c r="V629" s="39"/>
      <c r="W629" s="39"/>
      <c r="X629" s="39"/>
      <c r="Y629" s="39"/>
      <c r="Z629" s="39"/>
      <c r="AA629" s="39"/>
      <c r="AB629" s="39"/>
      <c r="AC629" s="39"/>
      <c r="AD629" s="39"/>
      <c r="AE629" s="39"/>
      <c r="AF629" s="39"/>
      <c r="AG629" s="39"/>
      <c r="AH629" s="39"/>
    </row>
    <row r="630" spans="1:34" s="38" customFormat="1" x14ac:dyDescent="0.25">
      <c r="A630" s="39"/>
      <c r="B630" s="58"/>
      <c r="C630" s="58"/>
      <c r="D630" s="59"/>
      <c r="E630" s="39"/>
      <c r="F630" s="39"/>
      <c r="H630" s="39"/>
      <c r="I630" s="39"/>
      <c r="J630" s="39"/>
      <c r="K630" s="39"/>
      <c r="L630" s="39"/>
      <c r="M630" s="39"/>
      <c r="N630" s="39"/>
      <c r="O630" s="39"/>
      <c r="P630" s="39"/>
      <c r="Q630" s="39"/>
      <c r="R630" s="39"/>
      <c r="S630" s="39"/>
      <c r="T630" s="39"/>
      <c r="U630" s="39"/>
      <c r="V630" s="39"/>
      <c r="W630" s="39"/>
      <c r="X630" s="39"/>
      <c r="Y630" s="39"/>
      <c r="Z630" s="39"/>
      <c r="AA630" s="39"/>
      <c r="AB630" s="39"/>
      <c r="AC630" s="39"/>
      <c r="AD630" s="39"/>
      <c r="AE630" s="39"/>
      <c r="AF630" s="39"/>
      <c r="AG630" s="39"/>
      <c r="AH630" s="39"/>
    </row>
    <row r="631" spans="1:34" s="38" customFormat="1" x14ac:dyDescent="0.25">
      <c r="A631" s="39"/>
      <c r="B631" s="58"/>
      <c r="C631" s="58"/>
      <c r="D631" s="59"/>
      <c r="E631" s="39"/>
      <c r="F631" s="39"/>
      <c r="H631" s="39"/>
      <c r="I631" s="39"/>
      <c r="J631" s="39"/>
      <c r="K631" s="39"/>
      <c r="L631" s="39"/>
      <c r="M631" s="39"/>
      <c r="N631" s="39"/>
      <c r="O631" s="39"/>
      <c r="P631" s="39"/>
      <c r="Q631" s="39"/>
      <c r="R631" s="39"/>
      <c r="S631" s="39"/>
      <c r="T631" s="39"/>
      <c r="U631" s="39"/>
      <c r="V631" s="39"/>
      <c r="W631" s="39"/>
      <c r="X631" s="39"/>
      <c r="Y631" s="39"/>
      <c r="Z631" s="39"/>
      <c r="AA631" s="39"/>
      <c r="AB631" s="39"/>
      <c r="AC631" s="39"/>
      <c r="AD631" s="39"/>
      <c r="AE631" s="39"/>
      <c r="AF631" s="39"/>
      <c r="AG631" s="39"/>
      <c r="AH631" s="39"/>
    </row>
    <row r="632" spans="1:34" s="38" customFormat="1" x14ac:dyDescent="0.25">
      <c r="A632" s="39"/>
      <c r="B632" s="58"/>
      <c r="C632" s="58"/>
      <c r="D632" s="59"/>
      <c r="E632" s="39"/>
      <c r="F632" s="39"/>
      <c r="H632" s="39"/>
      <c r="I632" s="39"/>
      <c r="J632" s="39"/>
      <c r="K632" s="39"/>
      <c r="L632" s="39"/>
      <c r="M632" s="39"/>
      <c r="N632" s="39"/>
      <c r="O632" s="39"/>
      <c r="P632" s="39"/>
      <c r="Q632" s="39"/>
      <c r="R632" s="39"/>
      <c r="S632" s="39"/>
      <c r="T632" s="39"/>
      <c r="U632" s="39"/>
      <c r="V632" s="39"/>
      <c r="W632" s="39"/>
      <c r="X632" s="39"/>
      <c r="Y632" s="39"/>
      <c r="Z632" s="39"/>
      <c r="AA632" s="39"/>
      <c r="AB632" s="39"/>
      <c r="AC632" s="39"/>
      <c r="AD632" s="39"/>
      <c r="AE632" s="39"/>
      <c r="AF632" s="39"/>
      <c r="AG632" s="39"/>
      <c r="AH632" s="39"/>
    </row>
    <row r="633" spans="1:34" s="38" customFormat="1" x14ac:dyDescent="0.25">
      <c r="A633" s="39"/>
      <c r="B633" s="58"/>
      <c r="C633" s="58"/>
      <c r="D633" s="59"/>
      <c r="E633" s="39"/>
      <c r="F633" s="39"/>
      <c r="H633" s="39"/>
      <c r="I633" s="39"/>
      <c r="J633" s="39"/>
      <c r="K633" s="39"/>
      <c r="L633" s="39"/>
      <c r="M633" s="39"/>
      <c r="N633" s="39"/>
      <c r="O633" s="39"/>
      <c r="P633" s="39"/>
      <c r="Q633" s="39"/>
      <c r="R633" s="39"/>
      <c r="S633" s="39"/>
      <c r="T633" s="39"/>
      <c r="U633" s="39"/>
      <c r="V633" s="39"/>
      <c r="W633" s="39"/>
      <c r="X633" s="39"/>
      <c r="Y633" s="39"/>
      <c r="Z633" s="39"/>
      <c r="AA633" s="39"/>
      <c r="AB633" s="39"/>
      <c r="AC633" s="39"/>
      <c r="AD633" s="39"/>
      <c r="AE633" s="39"/>
      <c r="AF633" s="39"/>
      <c r="AG633" s="39"/>
      <c r="AH633" s="39"/>
    </row>
    <row r="634" spans="1:34" s="38" customFormat="1" x14ac:dyDescent="0.25">
      <c r="A634" s="39"/>
      <c r="B634" s="58"/>
      <c r="C634" s="58"/>
      <c r="D634" s="59"/>
      <c r="E634" s="39"/>
      <c r="F634" s="39"/>
      <c r="H634" s="39"/>
      <c r="I634" s="39"/>
      <c r="J634" s="39"/>
      <c r="K634" s="39"/>
      <c r="L634" s="39"/>
      <c r="M634" s="39"/>
      <c r="N634" s="39"/>
      <c r="O634" s="39"/>
      <c r="P634" s="39"/>
      <c r="Q634" s="39"/>
      <c r="R634" s="39"/>
      <c r="S634" s="39"/>
      <c r="T634" s="39"/>
      <c r="U634" s="39"/>
      <c r="V634" s="39"/>
      <c r="W634" s="39"/>
      <c r="X634" s="39"/>
      <c r="Y634" s="39"/>
      <c r="Z634" s="39"/>
      <c r="AA634" s="39"/>
      <c r="AB634" s="39"/>
      <c r="AC634" s="39"/>
      <c r="AD634" s="39"/>
      <c r="AE634" s="39"/>
      <c r="AF634" s="39"/>
      <c r="AG634" s="39"/>
      <c r="AH634" s="39"/>
    </row>
    <row r="635" spans="1:34" s="38" customFormat="1" x14ac:dyDescent="0.25">
      <c r="A635" s="39"/>
      <c r="B635" s="58"/>
      <c r="C635" s="58"/>
      <c r="D635" s="59"/>
      <c r="E635" s="59"/>
      <c r="F635" s="59"/>
      <c r="H635" s="39"/>
      <c r="I635" s="39"/>
      <c r="J635" s="39"/>
      <c r="K635" s="39"/>
      <c r="L635" s="39"/>
      <c r="M635" s="39"/>
      <c r="N635" s="39"/>
      <c r="O635" s="39"/>
      <c r="P635" s="39"/>
      <c r="Q635" s="39"/>
      <c r="R635" s="39"/>
      <c r="S635" s="39"/>
      <c r="T635" s="39"/>
      <c r="U635" s="39"/>
      <c r="V635" s="39"/>
      <c r="W635" s="39"/>
      <c r="X635" s="39"/>
      <c r="Y635" s="39"/>
      <c r="Z635" s="39"/>
      <c r="AA635" s="39"/>
      <c r="AB635" s="39"/>
      <c r="AC635" s="39"/>
      <c r="AD635" s="39"/>
      <c r="AE635" s="39"/>
      <c r="AF635" s="39"/>
      <c r="AG635" s="39"/>
      <c r="AH635" s="39"/>
    </row>
    <row r="636" spans="1:34" s="38" customFormat="1" x14ac:dyDescent="0.25">
      <c r="A636" s="39"/>
      <c r="B636" s="58"/>
      <c r="C636" s="58"/>
      <c r="D636" s="59"/>
      <c r="E636" s="59"/>
      <c r="F636" s="59"/>
      <c r="H636" s="39"/>
      <c r="I636" s="39"/>
      <c r="J636" s="39"/>
      <c r="K636" s="39"/>
      <c r="L636" s="39"/>
      <c r="M636" s="39"/>
      <c r="N636" s="39"/>
      <c r="O636" s="39"/>
      <c r="P636" s="39"/>
      <c r="Q636" s="39"/>
      <c r="R636" s="39"/>
      <c r="S636" s="39"/>
      <c r="T636" s="39"/>
      <c r="U636" s="39"/>
      <c r="V636" s="39"/>
      <c r="W636" s="39"/>
      <c r="X636" s="39"/>
      <c r="Y636" s="39"/>
      <c r="Z636" s="39"/>
      <c r="AA636" s="39"/>
      <c r="AB636" s="39"/>
      <c r="AC636" s="39"/>
      <c r="AD636" s="39"/>
      <c r="AE636" s="39"/>
      <c r="AF636" s="39"/>
      <c r="AG636" s="39"/>
      <c r="AH636" s="39"/>
    </row>
    <row r="637" spans="1:34" s="38" customFormat="1" x14ac:dyDescent="0.25">
      <c r="A637" s="39"/>
      <c r="B637" s="58"/>
      <c r="C637" s="58"/>
      <c r="D637" s="59"/>
      <c r="E637" s="59"/>
      <c r="F637" s="59"/>
      <c r="H637" s="39"/>
      <c r="I637" s="39"/>
      <c r="J637" s="39"/>
      <c r="K637" s="39"/>
      <c r="L637" s="39"/>
      <c r="M637" s="39"/>
      <c r="N637" s="39"/>
      <c r="O637" s="39"/>
      <c r="P637" s="39"/>
      <c r="Q637" s="39"/>
      <c r="R637" s="39"/>
      <c r="S637" s="39"/>
      <c r="T637" s="39"/>
      <c r="U637" s="39"/>
      <c r="V637" s="39"/>
      <c r="W637" s="39"/>
      <c r="X637" s="39"/>
      <c r="Y637" s="39"/>
      <c r="Z637" s="39"/>
      <c r="AA637" s="39"/>
      <c r="AB637" s="39"/>
      <c r="AC637" s="39"/>
      <c r="AD637" s="39"/>
      <c r="AE637" s="39"/>
      <c r="AF637" s="39"/>
      <c r="AG637" s="39"/>
      <c r="AH637" s="39"/>
    </row>
    <row r="638" spans="1:34" s="38" customFormat="1" x14ac:dyDescent="0.25">
      <c r="A638" s="39"/>
      <c r="B638" s="58"/>
      <c r="C638" s="58"/>
      <c r="D638" s="59"/>
      <c r="E638" s="39"/>
      <c r="F638" s="39"/>
      <c r="H638" s="39"/>
      <c r="I638" s="39"/>
      <c r="J638" s="39"/>
      <c r="K638" s="39"/>
      <c r="L638" s="39"/>
      <c r="M638" s="39"/>
      <c r="N638" s="39"/>
      <c r="O638" s="39"/>
      <c r="P638" s="39"/>
      <c r="Q638" s="39"/>
      <c r="R638" s="39"/>
      <c r="S638" s="39"/>
      <c r="T638" s="39"/>
      <c r="U638" s="39"/>
      <c r="V638" s="39"/>
      <c r="W638" s="39"/>
      <c r="X638" s="39"/>
      <c r="Y638" s="39"/>
      <c r="Z638" s="39"/>
      <c r="AA638" s="39"/>
      <c r="AB638" s="39"/>
      <c r="AC638" s="39"/>
      <c r="AD638" s="39"/>
      <c r="AE638" s="39"/>
      <c r="AF638" s="39"/>
      <c r="AG638" s="39"/>
      <c r="AH638" s="39"/>
    </row>
    <row r="639" spans="1:34" s="38" customFormat="1" x14ac:dyDescent="0.25">
      <c r="A639" s="39"/>
      <c r="B639" s="58"/>
      <c r="C639" s="58"/>
      <c r="D639" s="59"/>
      <c r="E639" s="39"/>
      <c r="F639" s="39"/>
      <c r="H639" s="39"/>
      <c r="I639" s="39"/>
      <c r="J639" s="39"/>
      <c r="K639" s="39"/>
      <c r="L639" s="39"/>
      <c r="M639" s="39"/>
      <c r="N639" s="39"/>
      <c r="O639" s="39"/>
      <c r="P639" s="39"/>
      <c r="Q639" s="39"/>
      <c r="R639" s="39"/>
      <c r="S639" s="39"/>
      <c r="T639" s="39"/>
      <c r="U639" s="39"/>
      <c r="V639" s="39"/>
      <c r="W639" s="39"/>
      <c r="X639" s="39"/>
      <c r="Y639" s="39"/>
      <c r="Z639" s="39"/>
      <c r="AA639" s="39"/>
      <c r="AB639" s="39"/>
      <c r="AC639" s="39"/>
      <c r="AD639" s="39"/>
      <c r="AE639" s="39"/>
      <c r="AF639" s="39"/>
      <c r="AG639" s="39"/>
      <c r="AH639" s="39"/>
    </row>
    <row r="640" spans="1:34" s="38" customFormat="1" x14ac:dyDescent="0.25">
      <c r="A640" s="39"/>
      <c r="B640" s="58"/>
      <c r="C640" s="58"/>
      <c r="D640" s="59"/>
      <c r="E640" s="39"/>
      <c r="F640" s="39"/>
      <c r="H640" s="39"/>
      <c r="I640" s="39"/>
      <c r="J640" s="39"/>
      <c r="K640" s="39"/>
      <c r="L640" s="39"/>
      <c r="M640" s="39"/>
      <c r="N640" s="39"/>
      <c r="O640" s="39"/>
      <c r="P640" s="39"/>
      <c r="Q640" s="39"/>
      <c r="R640" s="39"/>
      <c r="S640" s="39"/>
      <c r="T640" s="39"/>
      <c r="U640" s="39"/>
      <c r="V640" s="39"/>
      <c r="W640" s="39"/>
      <c r="X640" s="39"/>
      <c r="Y640" s="39"/>
      <c r="Z640" s="39"/>
      <c r="AA640" s="39"/>
      <c r="AB640" s="39"/>
      <c r="AC640" s="39"/>
      <c r="AD640" s="39"/>
      <c r="AE640" s="39"/>
      <c r="AF640" s="39"/>
      <c r="AG640" s="39"/>
      <c r="AH640" s="39"/>
    </row>
    <row r="641" spans="1:34" s="38" customFormat="1" x14ac:dyDescent="0.25">
      <c r="A641" s="39"/>
      <c r="B641" s="58"/>
      <c r="C641" s="58"/>
      <c r="D641" s="59"/>
      <c r="E641" s="39"/>
      <c r="F641" s="39"/>
      <c r="H641" s="39"/>
      <c r="I641" s="39"/>
      <c r="J641" s="39"/>
      <c r="K641" s="39"/>
      <c r="L641" s="39"/>
      <c r="M641" s="39"/>
      <c r="N641" s="39"/>
      <c r="O641" s="39"/>
      <c r="P641" s="39"/>
      <c r="Q641" s="39"/>
      <c r="R641" s="39"/>
      <c r="S641" s="39"/>
      <c r="T641" s="39"/>
      <c r="U641" s="39"/>
      <c r="V641" s="39"/>
      <c r="W641" s="39"/>
      <c r="X641" s="39"/>
      <c r="Y641" s="39"/>
      <c r="Z641" s="39"/>
      <c r="AA641" s="39"/>
      <c r="AB641" s="39"/>
      <c r="AC641" s="39"/>
      <c r="AD641" s="39"/>
      <c r="AE641" s="39"/>
      <c r="AF641" s="39"/>
      <c r="AG641" s="39"/>
      <c r="AH641" s="39"/>
    </row>
    <row r="642" spans="1:34" s="38" customFormat="1" x14ac:dyDescent="0.25">
      <c r="A642" s="39"/>
      <c r="B642" s="58"/>
      <c r="C642" s="58"/>
      <c r="D642" s="59"/>
      <c r="E642" s="39"/>
      <c r="F642" s="39"/>
      <c r="H642" s="39"/>
      <c r="I642" s="39"/>
      <c r="J642" s="39"/>
      <c r="K642" s="39"/>
      <c r="L642" s="39"/>
      <c r="M642" s="39"/>
      <c r="N642" s="39"/>
      <c r="O642" s="39"/>
      <c r="P642" s="39"/>
      <c r="Q642" s="39"/>
      <c r="R642" s="39"/>
      <c r="S642" s="39"/>
      <c r="T642" s="39"/>
      <c r="U642" s="39"/>
      <c r="V642" s="39"/>
      <c r="W642" s="39"/>
      <c r="X642" s="39"/>
      <c r="Y642" s="39"/>
      <c r="Z642" s="39"/>
      <c r="AA642" s="39"/>
      <c r="AB642" s="39"/>
      <c r="AC642" s="39"/>
      <c r="AD642" s="39"/>
      <c r="AE642" s="39"/>
      <c r="AF642" s="39"/>
      <c r="AG642" s="39"/>
      <c r="AH642" s="39"/>
    </row>
    <row r="643" spans="1:34" s="38" customFormat="1" x14ac:dyDescent="0.25">
      <c r="A643" s="39"/>
      <c r="B643" s="58"/>
      <c r="C643" s="58"/>
      <c r="D643" s="59"/>
      <c r="E643" s="39"/>
      <c r="F643" s="39"/>
      <c r="H643" s="39"/>
      <c r="I643" s="39"/>
      <c r="J643" s="39"/>
      <c r="K643" s="39"/>
      <c r="L643" s="39"/>
      <c r="M643" s="39"/>
      <c r="N643" s="39"/>
      <c r="O643" s="39"/>
      <c r="P643" s="39"/>
      <c r="Q643" s="39"/>
      <c r="R643" s="39"/>
      <c r="S643" s="39"/>
      <c r="T643" s="39"/>
      <c r="U643" s="39"/>
      <c r="V643" s="39"/>
      <c r="W643" s="39"/>
      <c r="X643" s="39"/>
      <c r="Y643" s="39"/>
      <c r="Z643" s="39"/>
      <c r="AA643" s="39"/>
      <c r="AB643" s="39"/>
      <c r="AC643" s="39"/>
      <c r="AD643" s="39"/>
      <c r="AE643" s="39"/>
      <c r="AF643" s="39"/>
      <c r="AG643" s="39"/>
      <c r="AH643" s="39"/>
    </row>
    <row r="644" spans="1:34" s="38" customFormat="1" x14ac:dyDescent="0.25">
      <c r="A644" s="39"/>
      <c r="B644" s="58"/>
      <c r="C644" s="58"/>
      <c r="D644" s="59"/>
      <c r="E644" s="39"/>
      <c r="F644" s="39"/>
      <c r="H644" s="39"/>
      <c r="I644" s="39"/>
      <c r="J644" s="39"/>
      <c r="K644" s="39"/>
      <c r="L644" s="39"/>
      <c r="M644" s="39"/>
      <c r="N644" s="39"/>
      <c r="O644" s="39"/>
      <c r="P644" s="39"/>
      <c r="Q644" s="39"/>
      <c r="R644" s="39"/>
      <c r="S644" s="39"/>
      <c r="T644" s="39"/>
      <c r="U644" s="39"/>
      <c r="V644" s="39"/>
      <c r="W644" s="39"/>
      <c r="X644" s="39"/>
      <c r="Y644" s="39"/>
      <c r="Z644" s="39"/>
      <c r="AA644" s="39"/>
      <c r="AB644" s="39"/>
      <c r="AC644" s="39"/>
      <c r="AD644" s="39"/>
      <c r="AE644" s="39"/>
      <c r="AF644" s="39"/>
      <c r="AG644" s="39"/>
      <c r="AH644" s="39"/>
    </row>
    <row r="645" spans="1:34" s="38" customFormat="1" x14ac:dyDescent="0.25">
      <c r="A645" s="39"/>
      <c r="B645" s="58"/>
      <c r="C645" s="58"/>
      <c r="D645" s="59"/>
      <c r="E645" s="39"/>
      <c r="F645" s="39"/>
      <c r="H645" s="39"/>
      <c r="I645" s="39"/>
      <c r="J645" s="39"/>
      <c r="K645" s="39"/>
      <c r="L645" s="39"/>
      <c r="M645" s="39"/>
      <c r="N645" s="39"/>
      <c r="O645" s="39"/>
      <c r="P645" s="39"/>
      <c r="Q645" s="39"/>
      <c r="R645" s="39"/>
      <c r="S645" s="39"/>
      <c r="T645" s="39"/>
      <c r="U645" s="39"/>
      <c r="V645" s="39"/>
      <c r="W645" s="39"/>
      <c r="X645" s="39"/>
      <c r="Y645" s="39"/>
      <c r="Z645" s="39"/>
      <c r="AA645" s="39"/>
      <c r="AB645" s="39"/>
      <c r="AC645" s="39"/>
      <c r="AD645" s="39"/>
      <c r="AE645" s="39"/>
      <c r="AF645" s="39"/>
      <c r="AG645" s="39"/>
      <c r="AH645" s="39"/>
    </row>
    <row r="646" spans="1:34" s="38" customFormat="1" x14ac:dyDescent="0.25">
      <c r="A646" s="39"/>
      <c r="B646" s="58"/>
      <c r="C646" s="58"/>
      <c r="D646" s="59"/>
      <c r="E646" s="39"/>
      <c r="F646" s="39"/>
      <c r="H646" s="39"/>
      <c r="I646" s="39"/>
      <c r="J646" s="39"/>
      <c r="K646" s="39"/>
      <c r="L646" s="39"/>
      <c r="M646" s="39"/>
      <c r="N646" s="39"/>
      <c r="O646" s="39"/>
      <c r="P646" s="39"/>
      <c r="Q646" s="39"/>
      <c r="R646" s="39"/>
      <c r="S646" s="39"/>
      <c r="T646" s="39"/>
      <c r="U646" s="39"/>
      <c r="V646" s="39"/>
      <c r="W646" s="39"/>
      <c r="X646" s="39"/>
      <c r="Y646" s="39"/>
      <c r="Z646" s="39"/>
      <c r="AA646" s="39"/>
      <c r="AB646" s="39"/>
      <c r="AC646" s="39"/>
      <c r="AD646" s="39"/>
      <c r="AE646" s="39"/>
      <c r="AF646" s="39"/>
      <c r="AG646" s="39"/>
      <c r="AH646" s="39"/>
    </row>
    <row r="647" spans="1:34" s="38" customFormat="1" x14ac:dyDescent="0.25">
      <c r="A647" s="39"/>
      <c r="B647" s="58"/>
      <c r="C647" s="58"/>
      <c r="D647" s="59"/>
      <c r="E647" s="39"/>
      <c r="F647" s="39"/>
      <c r="H647" s="39"/>
      <c r="I647" s="39"/>
      <c r="J647" s="39"/>
      <c r="K647" s="39"/>
      <c r="L647" s="39"/>
      <c r="M647" s="39"/>
      <c r="N647" s="39"/>
      <c r="O647" s="39"/>
      <c r="P647" s="39"/>
      <c r="Q647" s="39"/>
      <c r="R647" s="39"/>
      <c r="S647" s="39"/>
      <c r="T647" s="39"/>
      <c r="U647" s="39"/>
      <c r="V647" s="39"/>
      <c r="W647" s="39"/>
      <c r="X647" s="39"/>
      <c r="Y647" s="39"/>
      <c r="Z647" s="39"/>
      <c r="AA647" s="39"/>
      <c r="AB647" s="39"/>
      <c r="AC647" s="39"/>
      <c r="AD647" s="39"/>
      <c r="AE647" s="39"/>
      <c r="AF647" s="39"/>
      <c r="AG647" s="39"/>
      <c r="AH647" s="39"/>
    </row>
    <row r="648" spans="1:34" s="38" customFormat="1" x14ac:dyDescent="0.25">
      <c r="A648" s="39"/>
      <c r="B648" s="58"/>
      <c r="C648" s="58"/>
      <c r="D648" s="59"/>
      <c r="E648" s="39"/>
      <c r="F648" s="39"/>
      <c r="H648" s="39"/>
      <c r="I648" s="39"/>
      <c r="J648" s="39"/>
      <c r="K648" s="39"/>
      <c r="L648" s="39"/>
      <c r="M648" s="39"/>
      <c r="N648" s="39"/>
      <c r="O648" s="39"/>
      <c r="P648" s="39"/>
      <c r="Q648" s="39"/>
      <c r="R648" s="39"/>
      <c r="S648" s="39"/>
      <c r="T648" s="39"/>
      <c r="U648" s="39"/>
      <c r="V648" s="39"/>
      <c r="W648" s="39"/>
      <c r="X648" s="39"/>
      <c r="Y648" s="39"/>
      <c r="Z648" s="39"/>
      <c r="AA648" s="39"/>
      <c r="AB648" s="39"/>
      <c r="AC648" s="39"/>
      <c r="AD648" s="39"/>
      <c r="AE648" s="39"/>
      <c r="AF648" s="39"/>
      <c r="AG648" s="39"/>
      <c r="AH648" s="39"/>
    </row>
    <row r="649" spans="1:34" s="38" customFormat="1" x14ac:dyDescent="0.25">
      <c r="A649" s="39"/>
      <c r="B649" s="58"/>
      <c r="C649" s="58"/>
      <c r="D649" s="59"/>
      <c r="E649" s="39"/>
      <c r="F649" s="39"/>
      <c r="H649" s="39"/>
      <c r="I649" s="39"/>
      <c r="J649" s="39"/>
      <c r="K649" s="39"/>
      <c r="L649" s="39"/>
      <c r="M649" s="39"/>
      <c r="N649" s="39"/>
      <c r="O649" s="39"/>
      <c r="P649" s="39"/>
      <c r="Q649" s="39"/>
      <c r="R649" s="39"/>
      <c r="S649" s="39"/>
      <c r="T649" s="39"/>
      <c r="U649" s="39"/>
      <c r="V649" s="39"/>
      <c r="W649" s="39"/>
      <c r="X649" s="39"/>
      <c r="Y649" s="39"/>
      <c r="Z649" s="39"/>
      <c r="AA649" s="39"/>
      <c r="AB649" s="39"/>
      <c r="AC649" s="39"/>
      <c r="AD649" s="39"/>
      <c r="AE649" s="39"/>
      <c r="AF649" s="39"/>
      <c r="AG649" s="39"/>
      <c r="AH649" s="39"/>
    </row>
    <row r="650" spans="1:34" s="38" customFormat="1" x14ac:dyDescent="0.25">
      <c r="A650" s="39"/>
      <c r="B650" s="58"/>
      <c r="C650" s="58"/>
      <c r="D650" s="59"/>
      <c r="E650" s="39"/>
      <c r="F650" s="39"/>
      <c r="H650" s="39"/>
      <c r="I650" s="39"/>
      <c r="J650" s="39"/>
      <c r="K650" s="39"/>
      <c r="L650" s="39"/>
      <c r="M650" s="39"/>
      <c r="N650" s="39"/>
      <c r="O650" s="39"/>
      <c r="P650" s="39"/>
      <c r="Q650" s="39"/>
      <c r="R650" s="39"/>
      <c r="S650" s="39"/>
      <c r="T650" s="39"/>
      <c r="U650" s="39"/>
      <c r="V650" s="39"/>
      <c r="W650" s="39"/>
      <c r="X650" s="39"/>
      <c r="Y650" s="39"/>
      <c r="Z650" s="39"/>
      <c r="AA650" s="39"/>
      <c r="AB650" s="39"/>
      <c r="AC650" s="39"/>
      <c r="AD650" s="39"/>
      <c r="AE650" s="39"/>
      <c r="AF650" s="39"/>
      <c r="AG650" s="39"/>
      <c r="AH650" s="39"/>
    </row>
    <row r="651" spans="1:34" s="38" customFormat="1" x14ac:dyDescent="0.25">
      <c r="A651" s="39"/>
      <c r="B651" s="58"/>
      <c r="C651" s="58"/>
      <c r="D651" s="59"/>
      <c r="E651" s="39"/>
      <c r="F651" s="39"/>
      <c r="H651" s="39"/>
      <c r="I651" s="39"/>
      <c r="J651" s="39"/>
      <c r="K651" s="39"/>
      <c r="L651" s="39"/>
      <c r="M651" s="39"/>
      <c r="N651" s="39"/>
      <c r="O651" s="39"/>
      <c r="P651" s="39"/>
      <c r="Q651" s="39"/>
      <c r="R651" s="39"/>
      <c r="S651" s="39"/>
      <c r="T651" s="39"/>
      <c r="U651" s="39"/>
      <c r="V651" s="39"/>
      <c r="W651" s="39"/>
      <c r="X651" s="39"/>
      <c r="Y651" s="39"/>
      <c r="Z651" s="39"/>
      <c r="AA651" s="39"/>
      <c r="AB651" s="39"/>
      <c r="AC651" s="39"/>
      <c r="AD651" s="39"/>
      <c r="AE651" s="39"/>
      <c r="AF651" s="39"/>
      <c r="AG651" s="39"/>
      <c r="AH651" s="39"/>
    </row>
    <row r="652" spans="1:34" s="38" customFormat="1" x14ac:dyDescent="0.25">
      <c r="A652" s="39"/>
      <c r="B652" s="58"/>
      <c r="C652" s="58"/>
      <c r="D652" s="59"/>
      <c r="E652" s="39"/>
      <c r="F652" s="39"/>
      <c r="H652" s="39"/>
      <c r="I652" s="39"/>
      <c r="J652" s="39"/>
      <c r="K652" s="39"/>
      <c r="L652" s="39"/>
      <c r="M652" s="39"/>
      <c r="N652" s="39"/>
      <c r="O652" s="39"/>
      <c r="P652" s="39"/>
      <c r="Q652" s="39"/>
      <c r="R652" s="39"/>
      <c r="S652" s="39"/>
      <c r="T652" s="39"/>
      <c r="U652" s="39"/>
      <c r="V652" s="39"/>
      <c r="W652" s="39"/>
      <c r="X652" s="39"/>
      <c r="Y652" s="39"/>
      <c r="Z652" s="39"/>
      <c r="AA652" s="39"/>
      <c r="AB652" s="39"/>
      <c r="AC652" s="39"/>
      <c r="AD652" s="39"/>
      <c r="AE652" s="39"/>
      <c r="AF652" s="39"/>
      <c r="AG652" s="39"/>
      <c r="AH652" s="39"/>
    </row>
    <row r="653" spans="1:34" s="38" customFormat="1" x14ac:dyDescent="0.25">
      <c r="A653" s="39"/>
      <c r="B653" s="58"/>
      <c r="C653" s="58"/>
      <c r="D653" s="59"/>
      <c r="E653" s="39"/>
      <c r="F653" s="39"/>
      <c r="H653" s="39"/>
      <c r="I653" s="39"/>
      <c r="J653" s="39"/>
      <c r="K653" s="39"/>
      <c r="L653" s="39"/>
      <c r="M653" s="39"/>
      <c r="N653" s="39"/>
      <c r="O653" s="39"/>
      <c r="P653" s="39"/>
      <c r="Q653" s="39"/>
      <c r="R653" s="39"/>
      <c r="S653" s="39"/>
      <c r="T653" s="39"/>
      <c r="U653" s="39"/>
      <c r="V653" s="39"/>
      <c r="W653" s="39"/>
      <c r="X653" s="39"/>
      <c r="Y653" s="39"/>
      <c r="Z653" s="39"/>
      <c r="AA653" s="39"/>
      <c r="AB653" s="39"/>
      <c r="AC653" s="39"/>
      <c r="AD653" s="39"/>
      <c r="AE653" s="39"/>
      <c r="AF653" s="39"/>
      <c r="AG653" s="39"/>
      <c r="AH653" s="39"/>
    </row>
    <row r="654" spans="1:34" s="38" customFormat="1" x14ac:dyDescent="0.25">
      <c r="A654" s="39"/>
      <c r="B654" s="58"/>
      <c r="C654" s="58"/>
      <c r="D654" s="59"/>
      <c r="E654" s="39"/>
      <c r="F654" s="39"/>
      <c r="H654" s="39"/>
      <c r="I654" s="39"/>
      <c r="J654" s="39"/>
      <c r="K654" s="39"/>
      <c r="L654" s="39"/>
      <c r="M654" s="39"/>
      <c r="N654" s="39"/>
      <c r="O654" s="39"/>
      <c r="P654" s="39"/>
      <c r="Q654" s="39"/>
      <c r="R654" s="39"/>
      <c r="S654" s="39"/>
      <c r="T654" s="39"/>
      <c r="U654" s="39"/>
      <c r="V654" s="39"/>
      <c r="W654" s="39"/>
      <c r="X654" s="39"/>
      <c r="Y654" s="39"/>
      <c r="Z654" s="39"/>
      <c r="AA654" s="39"/>
      <c r="AB654" s="39"/>
      <c r="AC654" s="39"/>
      <c r="AD654" s="39"/>
      <c r="AE654" s="39"/>
      <c r="AF654" s="39"/>
      <c r="AG654" s="39"/>
      <c r="AH654" s="39"/>
    </row>
    <row r="655" spans="1:34" s="38" customFormat="1" x14ac:dyDescent="0.25">
      <c r="A655" s="39"/>
      <c r="B655" s="58"/>
      <c r="C655" s="58"/>
      <c r="D655" s="59"/>
      <c r="E655" s="39"/>
      <c r="F655" s="39"/>
      <c r="H655" s="39"/>
      <c r="I655" s="39"/>
      <c r="J655" s="39"/>
      <c r="K655" s="39"/>
      <c r="L655" s="39"/>
      <c r="M655" s="39"/>
      <c r="N655" s="39"/>
      <c r="O655" s="39"/>
      <c r="P655" s="39"/>
      <c r="Q655" s="39"/>
      <c r="R655" s="39"/>
      <c r="S655" s="39"/>
      <c r="T655" s="39"/>
      <c r="U655" s="39"/>
      <c r="V655" s="39"/>
      <c r="W655" s="39"/>
      <c r="X655" s="39"/>
      <c r="Y655" s="39"/>
      <c r="Z655" s="39"/>
      <c r="AA655" s="39"/>
      <c r="AB655" s="39"/>
      <c r="AC655" s="39"/>
      <c r="AD655" s="39"/>
      <c r="AE655" s="39"/>
      <c r="AF655" s="39"/>
      <c r="AG655" s="39"/>
      <c r="AH655" s="39"/>
    </row>
    <row r="656" spans="1:34" s="38" customFormat="1" x14ac:dyDescent="0.25">
      <c r="A656" s="39"/>
      <c r="B656" s="58"/>
      <c r="C656" s="58"/>
      <c r="D656" s="59"/>
      <c r="E656" s="39"/>
      <c r="F656" s="39"/>
      <c r="H656" s="39"/>
      <c r="I656" s="39"/>
      <c r="J656" s="39"/>
      <c r="K656" s="39"/>
      <c r="L656" s="39"/>
      <c r="M656" s="39"/>
      <c r="N656" s="39"/>
      <c r="O656" s="39"/>
      <c r="P656" s="39"/>
      <c r="Q656" s="39"/>
      <c r="R656" s="39"/>
      <c r="S656" s="39"/>
      <c r="T656" s="39"/>
      <c r="U656" s="39"/>
      <c r="V656" s="39"/>
      <c r="W656" s="39"/>
      <c r="X656" s="39"/>
      <c r="Y656" s="39"/>
      <c r="Z656" s="39"/>
      <c r="AA656" s="39"/>
      <c r="AB656" s="39"/>
      <c r="AC656" s="39"/>
      <c r="AD656" s="39"/>
      <c r="AE656" s="39"/>
      <c r="AF656" s="39"/>
      <c r="AG656" s="39"/>
      <c r="AH656" s="39"/>
    </row>
    <row r="657" spans="1:34" s="38" customFormat="1" x14ac:dyDescent="0.25">
      <c r="A657" s="39"/>
      <c r="B657" s="58"/>
      <c r="C657" s="58"/>
      <c r="D657" s="59"/>
      <c r="E657" s="39"/>
      <c r="F657" s="39"/>
      <c r="H657" s="39"/>
      <c r="I657" s="39"/>
      <c r="J657" s="39"/>
      <c r="K657" s="39"/>
      <c r="L657" s="39"/>
      <c r="M657" s="39"/>
      <c r="N657" s="39"/>
      <c r="O657" s="39"/>
      <c r="P657" s="39"/>
      <c r="Q657" s="39"/>
      <c r="R657" s="39"/>
      <c r="S657" s="39"/>
      <c r="T657" s="39"/>
      <c r="U657" s="39"/>
      <c r="V657" s="39"/>
      <c r="W657" s="39"/>
      <c r="X657" s="39"/>
      <c r="Y657" s="39"/>
      <c r="Z657" s="39"/>
      <c r="AA657" s="39"/>
      <c r="AB657" s="39"/>
      <c r="AC657" s="39"/>
      <c r="AD657" s="39"/>
      <c r="AE657" s="39"/>
      <c r="AF657" s="39"/>
      <c r="AG657" s="39"/>
      <c r="AH657" s="39"/>
    </row>
    <row r="658" spans="1:34" s="38" customFormat="1" x14ac:dyDescent="0.25">
      <c r="A658" s="39"/>
      <c r="B658" s="58"/>
      <c r="C658" s="58"/>
      <c r="D658" s="59"/>
      <c r="E658" s="39"/>
      <c r="F658" s="39"/>
      <c r="H658" s="39"/>
      <c r="I658" s="39"/>
      <c r="J658" s="39"/>
      <c r="K658" s="39"/>
      <c r="L658" s="39"/>
      <c r="M658" s="39"/>
      <c r="N658" s="39"/>
      <c r="O658" s="39"/>
      <c r="P658" s="39"/>
      <c r="Q658" s="39"/>
      <c r="R658" s="39"/>
      <c r="S658" s="39"/>
      <c r="T658" s="39"/>
      <c r="U658" s="39"/>
      <c r="V658" s="39"/>
      <c r="W658" s="39"/>
      <c r="X658" s="39"/>
      <c r="Y658" s="39"/>
      <c r="Z658" s="39"/>
      <c r="AA658" s="39"/>
      <c r="AB658" s="39"/>
      <c r="AC658" s="39"/>
      <c r="AD658" s="39"/>
      <c r="AE658" s="39"/>
      <c r="AF658" s="39"/>
      <c r="AG658" s="39"/>
      <c r="AH658" s="39"/>
    </row>
    <row r="659" spans="1:34" s="38" customFormat="1" x14ac:dyDescent="0.25">
      <c r="A659" s="39"/>
      <c r="B659" s="58"/>
      <c r="C659" s="58"/>
      <c r="D659" s="59"/>
      <c r="E659" s="39"/>
      <c r="F659" s="39"/>
      <c r="H659" s="39"/>
      <c r="I659" s="39"/>
      <c r="J659" s="39"/>
      <c r="K659" s="39"/>
      <c r="L659" s="39"/>
      <c r="M659" s="39"/>
      <c r="N659" s="39"/>
      <c r="O659" s="39"/>
      <c r="P659" s="39"/>
      <c r="Q659" s="39"/>
      <c r="R659" s="39"/>
      <c r="S659" s="39"/>
      <c r="T659" s="39"/>
      <c r="U659" s="39"/>
      <c r="V659" s="39"/>
      <c r="W659" s="39"/>
      <c r="X659" s="39"/>
      <c r="Y659" s="39"/>
      <c r="Z659" s="39"/>
      <c r="AA659" s="39"/>
      <c r="AB659" s="39"/>
      <c r="AC659" s="39"/>
      <c r="AD659" s="39"/>
      <c r="AE659" s="39"/>
      <c r="AF659" s="39"/>
      <c r="AG659" s="39"/>
      <c r="AH659" s="39"/>
    </row>
    <row r="660" spans="1:34" s="38" customFormat="1" x14ac:dyDescent="0.25">
      <c r="A660" s="39"/>
      <c r="B660" s="58"/>
      <c r="C660" s="58"/>
      <c r="D660" s="59"/>
      <c r="E660" s="59"/>
      <c r="F660" s="59"/>
      <c r="H660" s="39"/>
      <c r="I660" s="39"/>
      <c r="J660" s="39"/>
      <c r="K660" s="39"/>
      <c r="L660" s="39"/>
      <c r="M660" s="39"/>
      <c r="N660" s="39"/>
      <c r="O660" s="39"/>
      <c r="P660" s="39"/>
      <c r="Q660" s="39"/>
      <c r="R660" s="39"/>
      <c r="S660" s="39"/>
      <c r="T660" s="39"/>
      <c r="U660" s="39"/>
      <c r="V660" s="39"/>
      <c r="W660" s="39"/>
      <c r="X660" s="39"/>
      <c r="Y660" s="39"/>
      <c r="Z660" s="39"/>
      <c r="AA660" s="39"/>
      <c r="AB660" s="39"/>
      <c r="AC660" s="39"/>
      <c r="AD660" s="39"/>
      <c r="AE660" s="39"/>
      <c r="AF660" s="39"/>
      <c r="AG660" s="39"/>
      <c r="AH660" s="39"/>
    </row>
    <row r="661" spans="1:34" s="38" customFormat="1" x14ac:dyDescent="0.25">
      <c r="A661" s="39"/>
      <c r="B661" s="58"/>
      <c r="C661" s="58"/>
      <c r="D661" s="59"/>
      <c r="E661" s="59"/>
      <c r="F661" s="59"/>
      <c r="H661" s="39"/>
      <c r="I661" s="39"/>
      <c r="J661" s="39"/>
      <c r="K661" s="39"/>
      <c r="L661" s="39"/>
      <c r="M661" s="39"/>
      <c r="N661" s="39"/>
      <c r="O661" s="39"/>
      <c r="P661" s="39"/>
      <c r="Q661" s="39"/>
      <c r="R661" s="39"/>
      <c r="S661" s="39"/>
      <c r="T661" s="39"/>
      <c r="U661" s="39"/>
      <c r="V661" s="39"/>
      <c r="W661" s="39"/>
      <c r="X661" s="39"/>
      <c r="Y661" s="39"/>
      <c r="Z661" s="39"/>
      <c r="AA661" s="39"/>
      <c r="AB661" s="39"/>
      <c r="AC661" s="39"/>
      <c r="AD661" s="39"/>
      <c r="AE661" s="39"/>
      <c r="AF661" s="39"/>
      <c r="AG661" s="39"/>
      <c r="AH661" s="39"/>
    </row>
    <row r="662" spans="1:34" s="38" customFormat="1" x14ac:dyDescent="0.25">
      <c r="A662" s="39"/>
      <c r="B662" s="58"/>
      <c r="C662" s="58"/>
      <c r="D662" s="59"/>
      <c r="E662" s="39"/>
      <c r="F662" s="39"/>
      <c r="H662" s="39"/>
      <c r="I662" s="39"/>
      <c r="J662" s="39"/>
      <c r="K662" s="39"/>
      <c r="L662" s="39"/>
      <c r="M662" s="39"/>
      <c r="N662" s="39"/>
      <c r="O662" s="39"/>
      <c r="P662" s="39"/>
      <c r="Q662" s="39"/>
      <c r="R662" s="39"/>
      <c r="S662" s="39"/>
      <c r="T662" s="39"/>
      <c r="U662" s="39"/>
      <c r="V662" s="39"/>
      <c r="W662" s="39"/>
      <c r="X662" s="39"/>
      <c r="Y662" s="39"/>
      <c r="Z662" s="39"/>
      <c r="AA662" s="39"/>
      <c r="AB662" s="39"/>
      <c r="AC662" s="39"/>
      <c r="AD662" s="39"/>
      <c r="AE662" s="39"/>
      <c r="AF662" s="39"/>
      <c r="AG662" s="39"/>
      <c r="AH662" s="39"/>
    </row>
    <row r="663" spans="1:34" s="38" customFormat="1" x14ac:dyDescent="0.25">
      <c r="A663" s="39"/>
      <c r="B663" s="58"/>
      <c r="C663" s="58"/>
      <c r="D663" s="59"/>
      <c r="E663" s="39"/>
      <c r="F663" s="39"/>
      <c r="H663" s="39"/>
      <c r="I663" s="39"/>
      <c r="J663" s="39"/>
      <c r="K663" s="39"/>
      <c r="L663" s="39"/>
      <c r="M663" s="39"/>
      <c r="N663" s="39"/>
      <c r="O663" s="39"/>
      <c r="P663" s="39"/>
      <c r="Q663" s="39"/>
      <c r="R663" s="39"/>
      <c r="S663" s="39"/>
      <c r="T663" s="39"/>
      <c r="U663" s="39"/>
      <c r="V663" s="39"/>
      <c r="W663" s="39"/>
      <c r="X663" s="39"/>
      <c r="Y663" s="39"/>
      <c r="Z663" s="39"/>
      <c r="AA663" s="39"/>
      <c r="AB663" s="39"/>
      <c r="AC663" s="39"/>
      <c r="AD663" s="39"/>
      <c r="AE663" s="39"/>
      <c r="AF663" s="39"/>
      <c r="AG663" s="39"/>
      <c r="AH663" s="39"/>
    </row>
    <row r="664" spans="1:34" s="38" customFormat="1" x14ac:dyDescent="0.25">
      <c r="A664" s="39"/>
      <c r="B664" s="58"/>
      <c r="C664" s="58"/>
      <c r="D664" s="59"/>
      <c r="E664" s="39"/>
      <c r="F664" s="39"/>
      <c r="H664" s="39"/>
      <c r="I664" s="39"/>
      <c r="J664" s="39"/>
      <c r="K664" s="39"/>
      <c r="L664" s="39"/>
      <c r="M664" s="39"/>
      <c r="N664" s="39"/>
      <c r="O664" s="39"/>
      <c r="P664" s="39"/>
      <c r="Q664" s="39"/>
      <c r="R664" s="39"/>
      <c r="S664" s="39"/>
      <c r="T664" s="39"/>
      <c r="U664" s="39"/>
      <c r="V664" s="39"/>
      <c r="W664" s="39"/>
      <c r="X664" s="39"/>
      <c r="Y664" s="39"/>
      <c r="Z664" s="39"/>
      <c r="AA664" s="39"/>
      <c r="AB664" s="39"/>
      <c r="AC664" s="39"/>
      <c r="AD664" s="39"/>
      <c r="AE664" s="39"/>
      <c r="AF664" s="39"/>
      <c r="AG664" s="39"/>
      <c r="AH664" s="39"/>
    </row>
    <row r="665" spans="1:34" s="38" customFormat="1" x14ac:dyDescent="0.25">
      <c r="A665" s="39"/>
      <c r="B665" s="58"/>
      <c r="C665" s="58"/>
      <c r="D665" s="59"/>
      <c r="E665" s="39"/>
      <c r="F665" s="39"/>
      <c r="H665" s="39"/>
      <c r="I665" s="39"/>
      <c r="J665" s="39"/>
      <c r="K665" s="39"/>
      <c r="L665" s="39"/>
      <c r="M665" s="39"/>
      <c r="N665" s="39"/>
      <c r="O665" s="39"/>
      <c r="P665" s="39"/>
      <c r="Q665" s="39"/>
      <c r="R665" s="39"/>
      <c r="S665" s="39"/>
      <c r="T665" s="39"/>
      <c r="U665" s="39"/>
      <c r="V665" s="39"/>
      <c r="W665" s="39"/>
      <c r="X665" s="39"/>
      <c r="Y665" s="39"/>
      <c r="Z665" s="39"/>
      <c r="AA665" s="39"/>
      <c r="AB665" s="39"/>
      <c r="AC665" s="39"/>
      <c r="AD665" s="39"/>
      <c r="AE665" s="39"/>
      <c r="AF665" s="39"/>
      <c r="AG665" s="39"/>
      <c r="AH665" s="39"/>
    </row>
    <row r="666" spans="1:34" s="38" customFormat="1" x14ac:dyDescent="0.25">
      <c r="A666" s="39"/>
      <c r="B666" s="58"/>
      <c r="C666" s="58"/>
      <c r="D666" s="59"/>
      <c r="E666" s="39"/>
      <c r="F666" s="39"/>
      <c r="H666" s="39"/>
      <c r="I666" s="39"/>
      <c r="J666" s="39"/>
      <c r="K666" s="39"/>
      <c r="L666" s="39"/>
      <c r="M666" s="39"/>
      <c r="N666" s="39"/>
      <c r="O666" s="39"/>
      <c r="P666" s="39"/>
      <c r="Q666" s="39"/>
      <c r="R666" s="39"/>
      <c r="S666" s="39"/>
      <c r="T666" s="39"/>
      <c r="U666" s="39"/>
      <c r="V666" s="39"/>
      <c r="W666" s="39"/>
      <c r="X666" s="39"/>
      <c r="Y666" s="39"/>
      <c r="Z666" s="39"/>
      <c r="AA666" s="39"/>
      <c r="AB666" s="39"/>
      <c r="AC666" s="39"/>
      <c r="AD666" s="39"/>
      <c r="AE666" s="39"/>
      <c r="AF666" s="39"/>
      <c r="AG666" s="39"/>
      <c r="AH666" s="39"/>
    </row>
    <row r="667" spans="1:34" s="38" customFormat="1" x14ac:dyDescent="0.25">
      <c r="A667" s="39"/>
      <c r="B667" s="58"/>
      <c r="C667" s="58"/>
      <c r="D667" s="59"/>
      <c r="E667" s="39"/>
      <c r="F667" s="39"/>
      <c r="H667" s="39"/>
      <c r="I667" s="39"/>
      <c r="J667" s="39"/>
      <c r="K667" s="39"/>
      <c r="L667" s="39"/>
      <c r="M667" s="39"/>
      <c r="N667" s="39"/>
      <c r="O667" s="39"/>
      <c r="P667" s="39"/>
      <c r="Q667" s="39"/>
      <c r="R667" s="39"/>
      <c r="S667" s="39"/>
      <c r="T667" s="39"/>
      <c r="U667" s="39"/>
      <c r="V667" s="39"/>
      <c r="W667" s="39"/>
      <c r="X667" s="39"/>
      <c r="Y667" s="39"/>
      <c r="Z667" s="39"/>
      <c r="AA667" s="39"/>
      <c r="AB667" s="39"/>
      <c r="AC667" s="39"/>
      <c r="AD667" s="39"/>
      <c r="AE667" s="39"/>
      <c r="AF667" s="39"/>
      <c r="AG667" s="39"/>
      <c r="AH667" s="39"/>
    </row>
    <row r="668" spans="1:34" s="38" customFormat="1" x14ac:dyDescent="0.25">
      <c r="A668" s="39"/>
      <c r="B668" s="58"/>
      <c r="C668" s="58"/>
      <c r="D668" s="59"/>
      <c r="E668" s="39"/>
      <c r="F668" s="39"/>
      <c r="H668" s="39"/>
      <c r="I668" s="39"/>
      <c r="J668" s="39"/>
      <c r="K668" s="39"/>
      <c r="L668" s="39"/>
      <c r="M668" s="39"/>
      <c r="N668" s="39"/>
      <c r="O668" s="39"/>
      <c r="P668" s="39"/>
      <c r="Q668" s="39"/>
      <c r="R668" s="39"/>
      <c r="S668" s="39"/>
      <c r="T668" s="39"/>
      <c r="U668" s="39"/>
      <c r="V668" s="39"/>
      <c r="W668" s="39"/>
      <c r="X668" s="39"/>
      <c r="Y668" s="39"/>
      <c r="Z668" s="39"/>
      <c r="AA668" s="39"/>
      <c r="AB668" s="39"/>
      <c r="AC668" s="39"/>
      <c r="AD668" s="39"/>
      <c r="AE668" s="39"/>
      <c r="AF668" s="39"/>
      <c r="AG668" s="39"/>
      <c r="AH668" s="39"/>
    </row>
    <row r="669" spans="1:34" s="38" customFormat="1" x14ac:dyDescent="0.25">
      <c r="A669" s="39"/>
      <c r="B669" s="58"/>
      <c r="C669" s="58"/>
      <c r="D669" s="59"/>
      <c r="E669" s="39"/>
      <c r="F669" s="39"/>
      <c r="H669" s="39"/>
      <c r="I669" s="39"/>
      <c r="J669" s="39"/>
      <c r="K669" s="39"/>
      <c r="L669" s="39"/>
      <c r="M669" s="39"/>
      <c r="N669" s="39"/>
      <c r="O669" s="39"/>
      <c r="P669" s="39"/>
      <c r="Q669" s="39"/>
      <c r="R669" s="39"/>
      <c r="S669" s="39"/>
      <c r="T669" s="39"/>
      <c r="U669" s="39"/>
      <c r="V669" s="39"/>
      <c r="W669" s="39"/>
      <c r="X669" s="39"/>
      <c r="Y669" s="39"/>
      <c r="Z669" s="39"/>
      <c r="AA669" s="39"/>
      <c r="AB669" s="39"/>
      <c r="AC669" s="39"/>
      <c r="AD669" s="39"/>
      <c r="AE669" s="39"/>
      <c r="AF669" s="39"/>
      <c r="AG669" s="39"/>
      <c r="AH669" s="39"/>
    </row>
    <row r="670" spans="1:34" s="38" customFormat="1" x14ac:dyDescent="0.25">
      <c r="A670" s="39"/>
      <c r="B670" s="58"/>
      <c r="C670" s="58"/>
      <c r="D670" s="59"/>
      <c r="E670" s="39"/>
      <c r="F670" s="39"/>
      <c r="H670" s="39"/>
      <c r="I670" s="39"/>
      <c r="J670" s="39"/>
      <c r="K670" s="39"/>
      <c r="L670" s="39"/>
      <c r="M670" s="39"/>
      <c r="N670" s="39"/>
      <c r="O670" s="39"/>
      <c r="P670" s="39"/>
      <c r="Q670" s="39"/>
      <c r="R670" s="39"/>
      <c r="S670" s="39"/>
      <c r="T670" s="39"/>
      <c r="U670" s="39"/>
      <c r="V670" s="39"/>
      <c r="W670" s="39"/>
      <c r="X670" s="39"/>
      <c r="Y670" s="39"/>
      <c r="Z670" s="39"/>
      <c r="AA670" s="39"/>
      <c r="AB670" s="39"/>
      <c r="AC670" s="39"/>
      <c r="AD670" s="39"/>
      <c r="AE670" s="39"/>
      <c r="AF670" s="39"/>
      <c r="AG670" s="39"/>
      <c r="AH670" s="39"/>
    </row>
    <row r="671" spans="1:34" s="38" customFormat="1" x14ac:dyDescent="0.25">
      <c r="A671" s="39"/>
      <c r="B671" s="58"/>
      <c r="C671" s="58"/>
      <c r="D671" s="59"/>
      <c r="E671" s="39"/>
      <c r="F671" s="39"/>
      <c r="H671" s="39"/>
      <c r="I671" s="39"/>
      <c r="J671" s="39"/>
      <c r="K671" s="39"/>
      <c r="L671" s="39"/>
      <c r="M671" s="39"/>
      <c r="N671" s="39"/>
      <c r="O671" s="39"/>
      <c r="P671" s="39"/>
      <c r="Q671" s="39"/>
      <c r="R671" s="39"/>
      <c r="S671" s="39"/>
      <c r="T671" s="39"/>
      <c r="U671" s="39"/>
      <c r="V671" s="39"/>
      <c r="W671" s="39"/>
      <c r="X671" s="39"/>
      <c r="Y671" s="39"/>
      <c r="Z671" s="39"/>
      <c r="AA671" s="39"/>
      <c r="AB671" s="39"/>
      <c r="AC671" s="39"/>
      <c r="AD671" s="39"/>
      <c r="AE671" s="39"/>
      <c r="AF671" s="39"/>
      <c r="AG671" s="39"/>
      <c r="AH671" s="39"/>
    </row>
    <row r="672" spans="1:34" s="38" customFormat="1" x14ac:dyDescent="0.25">
      <c r="A672" s="39"/>
      <c r="B672" s="58"/>
      <c r="C672" s="58"/>
      <c r="D672" s="59"/>
      <c r="E672" s="39"/>
      <c r="F672" s="39"/>
      <c r="H672" s="39"/>
      <c r="I672" s="39"/>
      <c r="J672" s="39"/>
      <c r="K672" s="39"/>
      <c r="L672" s="39"/>
      <c r="M672" s="39"/>
      <c r="N672" s="39"/>
      <c r="O672" s="39"/>
      <c r="P672" s="39"/>
      <c r="Q672" s="39"/>
      <c r="R672" s="39"/>
      <c r="S672" s="39"/>
      <c r="T672" s="39"/>
      <c r="U672" s="39"/>
      <c r="V672" s="39"/>
      <c r="W672" s="39"/>
      <c r="X672" s="39"/>
      <c r="Y672" s="39"/>
      <c r="Z672" s="39"/>
      <c r="AA672" s="39"/>
      <c r="AB672" s="39"/>
      <c r="AC672" s="39"/>
      <c r="AD672" s="39"/>
      <c r="AE672" s="39"/>
      <c r="AF672" s="39"/>
      <c r="AG672" s="39"/>
      <c r="AH672" s="39"/>
    </row>
    <row r="673" spans="1:34" s="38" customFormat="1" x14ac:dyDescent="0.25">
      <c r="A673" s="39"/>
      <c r="B673" s="58"/>
      <c r="C673" s="58"/>
      <c r="D673" s="59"/>
      <c r="E673" s="39"/>
      <c r="F673" s="39"/>
      <c r="H673" s="39"/>
      <c r="I673" s="39"/>
      <c r="J673" s="39"/>
      <c r="K673" s="39"/>
      <c r="L673" s="39"/>
      <c r="M673" s="39"/>
      <c r="N673" s="39"/>
      <c r="O673" s="39"/>
      <c r="P673" s="39"/>
      <c r="Q673" s="39"/>
      <c r="R673" s="39"/>
      <c r="S673" s="39"/>
      <c r="T673" s="39"/>
      <c r="U673" s="39"/>
      <c r="V673" s="39"/>
      <c r="W673" s="39"/>
      <c r="X673" s="39"/>
      <c r="Y673" s="39"/>
      <c r="Z673" s="39"/>
      <c r="AA673" s="39"/>
      <c r="AB673" s="39"/>
      <c r="AC673" s="39"/>
      <c r="AD673" s="39"/>
      <c r="AE673" s="39"/>
      <c r="AF673" s="39"/>
      <c r="AG673" s="39"/>
      <c r="AH673" s="39"/>
    </row>
    <row r="674" spans="1:34" s="38" customFormat="1" x14ac:dyDescent="0.25">
      <c r="A674" s="39"/>
      <c r="B674" s="58"/>
      <c r="C674" s="58"/>
      <c r="D674" s="59"/>
      <c r="E674" s="39"/>
      <c r="F674" s="39"/>
      <c r="H674" s="39"/>
      <c r="I674" s="39"/>
      <c r="J674" s="39"/>
      <c r="K674" s="39"/>
      <c r="L674" s="39"/>
      <c r="M674" s="39"/>
      <c r="N674" s="39"/>
      <c r="O674" s="39"/>
      <c r="P674" s="39"/>
      <c r="Q674" s="39"/>
      <c r="R674" s="39"/>
      <c r="S674" s="39"/>
      <c r="T674" s="39"/>
      <c r="U674" s="39"/>
      <c r="V674" s="39"/>
      <c r="W674" s="39"/>
      <c r="X674" s="39"/>
      <c r="Y674" s="39"/>
      <c r="Z674" s="39"/>
      <c r="AA674" s="39"/>
      <c r="AB674" s="39"/>
      <c r="AC674" s="39"/>
      <c r="AD674" s="39"/>
      <c r="AE674" s="39"/>
      <c r="AF674" s="39"/>
      <c r="AG674" s="39"/>
      <c r="AH674" s="39"/>
    </row>
    <row r="675" spans="1:34" s="38" customFormat="1" x14ac:dyDescent="0.25">
      <c r="A675" s="39"/>
      <c r="B675" s="58"/>
      <c r="C675" s="58"/>
      <c r="D675" s="59"/>
      <c r="E675" s="39"/>
      <c r="F675" s="39"/>
      <c r="H675" s="39"/>
      <c r="I675" s="39"/>
      <c r="J675" s="39"/>
      <c r="K675" s="39"/>
      <c r="L675" s="39"/>
      <c r="M675" s="39"/>
      <c r="N675" s="39"/>
      <c r="O675" s="39"/>
      <c r="P675" s="39"/>
      <c r="Q675" s="39"/>
      <c r="R675" s="39"/>
      <c r="S675" s="39"/>
      <c r="T675" s="39"/>
      <c r="U675" s="39"/>
      <c r="V675" s="39"/>
      <c r="W675" s="39"/>
      <c r="X675" s="39"/>
      <c r="Y675" s="39"/>
      <c r="Z675" s="39"/>
      <c r="AA675" s="39"/>
      <c r="AB675" s="39"/>
      <c r="AC675" s="39"/>
      <c r="AD675" s="39"/>
      <c r="AE675" s="39"/>
      <c r="AF675" s="39"/>
      <c r="AG675" s="39"/>
      <c r="AH675" s="39"/>
    </row>
    <row r="676" spans="1:34" s="38" customFormat="1" x14ac:dyDescent="0.25">
      <c r="A676" s="39"/>
      <c r="B676" s="58"/>
      <c r="C676" s="58"/>
      <c r="D676" s="59"/>
      <c r="E676" s="39"/>
      <c r="F676" s="39"/>
      <c r="H676" s="39"/>
      <c r="I676" s="39"/>
      <c r="J676" s="39"/>
      <c r="K676" s="39"/>
      <c r="L676" s="39"/>
      <c r="M676" s="39"/>
      <c r="N676" s="39"/>
      <c r="O676" s="39"/>
      <c r="P676" s="39"/>
      <c r="Q676" s="39"/>
      <c r="R676" s="39"/>
      <c r="S676" s="39"/>
      <c r="T676" s="39"/>
      <c r="U676" s="39"/>
      <c r="V676" s="39"/>
      <c r="W676" s="39"/>
      <c r="X676" s="39"/>
      <c r="Y676" s="39"/>
      <c r="Z676" s="39"/>
      <c r="AA676" s="39"/>
      <c r="AB676" s="39"/>
      <c r="AC676" s="39"/>
      <c r="AD676" s="39"/>
      <c r="AE676" s="39"/>
      <c r="AF676" s="39"/>
      <c r="AG676" s="39"/>
      <c r="AH676" s="39"/>
    </row>
    <row r="677" spans="1:34" s="38" customFormat="1" x14ac:dyDescent="0.25">
      <c r="A677" s="39"/>
      <c r="B677" s="58"/>
      <c r="C677" s="58"/>
      <c r="D677" s="59"/>
      <c r="E677" s="39"/>
      <c r="F677" s="39"/>
      <c r="H677" s="39"/>
      <c r="I677" s="39"/>
      <c r="J677" s="39"/>
      <c r="K677" s="39"/>
      <c r="L677" s="39"/>
      <c r="M677" s="39"/>
      <c r="N677" s="39"/>
      <c r="O677" s="39"/>
      <c r="P677" s="39"/>
      <c r="Q677" s="39"/>
      <c r="R677" s="39"/>
      <c r="S677" s="39"/>
      <c r="T677" s="39"/>
      <c r="U677" s="39"/>
      <c r="V677" s="39"/>
      <c r="W677" s="39"/>
      <c r="X677" s="39"/>
      <c r="Y677" s="39"/>
      <c r="Z677" s="39"/>
      <c r="AA677" s="39"/>
      <c r="AB677" s="39"/>
      <c r="AC677" s="39"/>
      <c r="AD677" s="39"/>
      <c r="AE677" s="39"/>
      <c r="AF677" s="39"/>
      <c r="AG677" s="39"/>
      <c r="AH677" s="39"/>
    </row>
    <row r="678" spans="1:34" s="38" customFormat="1" x14ac:dyDescent="0.25">
      <c r="A678" s="39"/>
      <c r="B678" s="58"/>
      <c r="C678" s="58"/>
      <c r="D678" s="59"/>
      <c r="E678" s="39"/>
      <c r="F678" s="39"/>
      <c r="H678" s="39"/>
      <c r="I678" s="39"/>
      <c r="J678" s="39"/>
      <c r="K678" s="39"/>
      <c r="L678" s="39"/>
      <c r="M678" s="39"/>
      <c r="N678" s="39"/>
      <c r="O678" s="39"/>
      <c r="P678" s="39"/>
      <c r="Q678" s="39"/>
      <c r="R678" s="39"/>
      <c r="S678" s="39"/>
      <c r="T678" s="39"/>
      <c r="U678" s="39"/>
      <c r="V678" s="39"/>
      <c r="W678" s="39"/>
      <c r="X678" s="39"/>
      <c r="Y678" s="39"/>
      <c r="Z678" s="39"/>
      <c r="AA678" s="39"/>
      <c r="AB678" s="39"/>
      <c r="AC678" s="39"/>
      <c r="AD678" s="39"/>
      <c r="AE678" s="39"/>
      <c r="AF678" s="39"/>
      <c r="AG678" s="39"/>
      <c r="AH678" s="39"/>
    </row>
    <row r="679" spans="1:34" s="38" customFormat="1" x14ac:dyDescent="0.25">
      <c r="A679" s="39"/>
      <c r="B679" s="58"/>
      <c r="C679" s="58"/>
      <c r="D679" s="59"/>
      <c r="E679" s="39"/>
      <c r="F679" s="39"/>
      <c r="H679" s="39"/>
      <c r="I679" s="39"/>
      <c r="J679" s="39"/>
      <c r="K679" s="39"/>
      <c r="L679" s="39"/>
      <c r="M679" s="39"/>
      <c r="N679" s="39"/>
      <c r="O679" s="39"/>
      <c r="P679" s="39"/>
      <c r="Q679" s="39"/>
      <c r="R679" s="39"/>
      <c r="S679" s="39"/>
      <c r="T679" s="39"/>
      <c r="U679" s="39"/>
      <c r="V679" s="39"/>
      <c r="W679" s="39"/>
      <c r="X679" s="39"/>
      <c r="Y679" s="39"/>
      <c r="Z679" s="39"/>
      <c r="AA679" s="39"/>
      <c r="AB679" s="39"/>
      <c r="AC679" s="39"/>
      <c r="AD679" s="39"/>
      <c r="AE679" s="39"/>
      <c r="AF679" s="39"/>
      <c r="AG679" s="39"/>
      <c r="AH679" s="39"/>
    </row>
    <row r="680" spans="1:34" s="38" customFormat="1" x14ac:dyDescent="0.25">
      <c r="A680" s="39"/>
      <c r="B680" s="58"/>
      <c r="C680" s="58"/>
      <c r="D680" s="59"/>
      <c r="E680" s="39"/>
      <c r="F680" s="39"/>
      <c r="H680" s="39"/>
      <c r="I680" s="39"/>
      <c r="J680" s="39"/>
      <c r="K680" s="39"/>
      <c r="L680" s="39"/>
      <c r="M680" s="39"/>
      <c r="N680" s="39"/>
      <c r="O680" s="39"/>
      <c r="P680" s="39"/>
      <c r="Q680" s="39"/>
      <c r="R680" s="39"/>
      <c r="S680" s="39"/>
      <c r="T680" s="39"/>
      <c r="U680" s="39"/>
      <c r="V680" s="39"/>
      <c r="W680" s="39"/>
      <c r="X680" s="39"/>
      <c r="Y680" s="39"/>
      <c r="Z680" s="39"/>
      <c r="AA680" s="39"/>
      <c r="AB680" s="39"/>
      <c r="AC680" s="39"/>
      <c r="AD680" s="39"/>
      <c r="AE680" s="39"/>
      <c r="AF680" s="39"/>
      <c r="AG680" s="39"/>
      <c r="AH680" s="39"/>
    </row>
    <row r="681" spans="1:34" s="38" customFormat="1" x14ac:dyDescent="0.25">
      <c r="A681" s="39"/>
      <c r="B681" s="58"/>
      <c r="C681" s="58"/>
      <c r="D681" s="59"/>
      <c r="E681" s="39"/>
      <c r="F681" s="39"/>
      <c r="H681" s="39"/>
      <c r="I681" s="39"/>
      <c r="J681" s="39"/>
      <c r="K681" s="39"/>
      <c r="L681" s="39"/>
      <c r="M681" s="39"/>
      <c r="N681" s="39"/>
      <c r="O681" s="39"/>
      <c r="P681" s="39"/>
      <c r="Q681" s="39"/>
      <c r="R681" s="39"/>
      <c r="S681" s="39"/>
      <c r="T681" s="39"/>
      <c r="U681" s="39"/>
      <c r="V681" s="39"/>
      <c r="W681" s="39"/>
      <c r="X681" s="39"/>
      <c r="Y681" s="39"/>
      <c r="Z681" s="39"/>
      <c r="AA681" s="39"/>
      <c r="AB681" s="39"/>
      <c r="AC681" s="39"/>
      <c r="AD681" s="39"/>
      <c r="AE681" s="39"/>
      <c r="AF681" s="39"/>
      <c r="AG681" s="39"/>
      <c r="AH681" s="39"/>
    </row>
    <row r="682" spans="1:34" s="38" customFormat="1" x14ac:dyDescent="0.25">
      <c r="A682" s="39"/>
      <c r="B682" s="58"/>
      <c r="C682" s="58"/>
      <c r="D682" s="59"/>
      <c r="E682" s="39"/>
      <c r="F682" s="39"/>
      <c r="H682" s="39"/>
      <c r="I682" s="39"/>
      <c r="J682" s="39"/>
      <c r="K682" s="39"/>
      <c r="L682" s="39"/>
      <c r="M682" s="39"/>
      <c r="N682" s="39"/>
      <c r="O682" s="39"/>
      <c r="P682" s="39"/>
      <c r="Q682" s="39"/>
      <c r="R682" s="39"/>
      <c r="S682" s="39"/>
      <c r="T682" s="39"/>
      <c r="U682" s="39"/>
      <c r="V682" s="39"/>
      <c r="W682" s="39"/>
      <c r="X682" s="39"/>
      <c r="Y682" s="39"/>
      <c r="Z682" s="39"/>
      <c r="AA682" s="39"/>
      <c r="AB682" s="39"/>
      <c r="AC682" s="39"/>
      <c r="AD682" s="39"/>
      <c r="AE682" s="39"/>
      <c r="AF682" s="39"/>
      <c r="AG682" s="39"/>
      <c r="AH682" s="39"/>
    </row>
    <row r="683" spans="1:34" s="38" customFormat="1" x14ac:dyDescent="0.25">
      <c r="A683" s="39"/>
      <c r="B683" s="58"/>
      <c r="C683" s="58"/>
      <c r="D683" s="59"/>
      <c r="E683" s="39"/>
      <c r="F683" s="39"/>
      <c r="H683" s="39"/>
      <c r="I683" s="39"/>
      <c r="J683" s="39"/>
      <c r="K683" s="39"/>
      <c r="L683" s="39"/>
      <c r="M683" s="39"/>
      <c r="N683" s="39"/>
      <c r="O683" s="39"/>
      <c r="P683" s="39"/>
      <c r="Q683" s="39"/>
      <c r="R683" s="39"/>
      <c r="S683" s="39"/>
      <c r="T683" s="39"/>
      <c r="U683" s="39"/>
      <c r="V683" s="39"/>
      <c r="W683" s="39"/>
      <c r="X683" s="39"/>
      <c r="Y683" s="39"/>
      <c r="Z683" s="39"/>
      <c r="AA683" s="39"/>
      <c r="AB683" s="39"/>
      <c r="AC683" s="39"/>
      <c r="AD683" s="39"/>
      <c r="AE683" s="39"/>
      <c r="AF683" s="39"/>
      <c r="AG683" s="39"/>
      <c r="AH683" s="39"/>
    </row>
    <row r="684" spans="1:34" s="38" customFormat="1" x14ac:dyDescent="0.25">
      <c r="A684" s="39"/>
      <c r="B684" s="58"/>
      <c r="C684" s="58"/>
      <c r="D684" s="59"/>
      <c r="E684" s="39"/>
      <c r="F684" s="39"/>
      <c r="H684" s="39"/>
      <c r="I684" s="39"/>
      <c r="J684" s="39"/>
      <c r="K684" s="39"/>
      <c r="L684" s="39"/>
      <c r="M684" s="39"/>
      <c r="N684" s="39"/>
      <c r="O684" s="39"/>
      <c r="P684" s="39"/>
      <c r="Q684" s="39"/>
      <c r="R684" s="39"/>
      <c r="S684" s="39"/>
      <c r="T684" s="39"/>
      <c r="U684" s="39"/>
      <c r="V684" s="39"/>
      <c r="W684" s="39"/>
      <c r="X684" s="39"/>
      <c r="Y684" s="39"/>
      <c r="Z684" s="39"/>
      <c r="AA684" s="39"/>
      <c r="AB684" s="39"/>
      <c r="AC684" s="39"/>
      <c r="AD684" s="39"/>
      <c r="AE684" s="39"/>
      <c r="AF684" s="39"/>
      <c r="AG684" s="39"/>
      <c r="AH684" s="39"/>
    </row>
    <row r="685" spans="1:34" s="38" customFormat="1" x14ac:dyDescent="0.25">
      <c r="A685" s="39"/>
      <c r="B685" s="58"/>
      <c r="C685" s="58"/>
      <c r="D685" s="59"/>
      <c r="E685" s="59"/>
      <c r="F685" s="59"/>
      <c r="H685" s="39"/>
      <c r="I685" s="39"/>
      <c r="J685" s="39"/>
      <c r="K685" s="39"/>
      <c r="L685" s="39"/>
      <c r="M685" s="39"/>
      <c r="N685" s="39"/>
      <c r="O685" s="39"/>
      <c r="P685" s="39"/>
      <c r="Q685" s="39"/>
      <c r="R685" s="39"/>
      <c r="S685" s="39"/>
      <c r="T685" s="39"/>
      <c r="U685" s="39"/>
      <c r="V685" s="39"/>
      <c r="W685" s="39"/>
      <c r="X685" s="39"/>
      <c r="Y685" s="39"/>
      <c r="Z685" s="39"/>
      <c r="AA685" s="39"/>
      <c r="AB685" s="39"/>
      <c r="AC685" s="39"/>
      <c r="AD685" s="39"/>
      <c r="AE685" s="39"/>
      <c r="AF685" s="39"/>
      <c r="AG685" s="39"/>
      <c r="AH685" s="39"/>
    </row>
  </sheetData>
  <mergeCells count="2">
    <mergeCell ref="B2:E2"/>
    <mergeCell ref="G2:H2"/>
  </mergeCells>
  <printOptions horizontalCentered="1"/>
  <pageMargins left="0.7" right="0.7" top="0.75" bottom="0.75" header="0.3" footer="0.3"/>
  <pageSetup scale="23" orientation="portrait" r:id="rId1"/>
  <headerFooter>
    <oddFooter>&amp;L&amp;F
&amp;A&amp;R&amp;D
&amp;T</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pageSetUpPr fitToPage="1"/>
  </sheetPr>
  <dimension ref="A1:G1002"/>
  <sheetViews>
    <sheetView workbookViewId="0">
      <pane ySplit="2" topLeftCell="A3" activePane="bottomLeft" state="frozen"/>
      <selection pane="bottomLeft" activeCell="A3" sqref="A3"/>
    </sheetView>
  </sheetViews>
  <sheetFormatPr defaultColWidth="8.81640625" defaultRowHeight="14.5" x14ac:dyDescent="0.35"/>
  <cols>
    <col min="1" max="1" width="11.81640625" style="65" customWidth="1"/>
    <col min="2" max="7" width="12.7265625" style="62" customWidth="1"/>
    <col min="8" max="16384" width="8.81640625" style="62"/>
  </cols>
  <sheetData>
    <row r="1" spans="1:7" x14ac:dyDescent="0.35">
      <c r="A1" s="61" t="s">
        <v>265</v>
      </c>
    </row>
    <row r="2" spans="1:7" x14ac:dyDescent="0.35">
      <c r="A2" s="63" t="s">
        <v>266</v>
      </c>
      <c r="B2" s="64" t="s">
        <v>267</v>
      </c>
      <c r="C2" s="63" t="s">
        <v>268</v>
      </c>
      <c r="D2" s="63" t="s">
        <v>228</v>
      </c>
      <c r="E2" s="63" t="s">
        <v>269</v>
      </c>
      <c r="F2" s="63" t="s">
        <v>270</v>
      </c>
      <c r="G2" s="63" t="s">
        <v>271</v>
      </c>
    </row>
    <row r="3" spans="1:7" x14ac:dyDescent="0.35">
      <c r="A3" s="65">
        <v>1</v>
      </c>
      <c r="B3" s="66">
        <v>-2.8629972581349299</v>
      </c>
      <c r="C3" s="66">
        <v>-8.6512941288274501</v>
      </c>
      <c r="D3" s="67">
        <v>1.4417213478576101</v>
      </c>
      <c r="E3" s="67">
        <v>-12.535959837804601</v>
      </c>
      <c r="F3" s="67">
        <v>-4.7161011430058499</v>
      </c>
      <c r="G3" s="67">
        <v>-3.79912741488178</v>
      </c>
    </row>
    <row r="4" spans="1:7" x14ac:dyDescent="0.35">
      <c r="A4" s="65">
        <v>2</v>
      </c>
      <c r="B4" s="66">
        <v>-12.6495893102898</v>
      </c>
      <c r="C4" s="66">
        <v>-0.54084873342379902</v>
      </c>
      <c r="D4" s="67">
        <v>1.1719684844026601</v>
      </c>
      <c r="E4" s="67">
        <v>-23.181005234816901</v>
      </c>
      <c r="F4" s="67">
        <v>-3.3259488901264298</v>
      </c>
      <c r="G4" s="67">
        <v>0.33910597378068402</v>
      </c>
    </row>
    <row r="5" spans="1:7" x14ac:dyDescent="0.35">
      <c r="A5" s="65">
        <v>3</v>
      </c>
      <c r="B5" s="66">
        <v>-1.6796535533005901</v>
      </c>
      <c r="C5" s="66">
        <v>-1.9238786329361199</v>
      </c>
      <c r="D5" s="67">
        <v>23.644410560137899</v>
      </c>
      <c r="E5" s="67">
        <v>-21.267670732828201</v>
      </c>
      <c r="F5" s="67">
        <v>8.5769460325917404</v>
      </c>
      <c r="G5" s="67">
        <v>6.4129705690113301</v>
      </c>
    </row>
    <row r="6" spans="1:7" x14ac:dyDescent="0.35">
      <c r="A6" s="65">
        <v>4</v>
      </c>
      <c r="B6" s="66">
        <v>26.624532761414901</v>
      </c>
      <c r="C6" s="66">
        <v>0.79111265340180703</v>
      </c>
      <c r="D6" s="67">
        <v>2.7885908464782201</v>
      </c>
      <c r="E6" s="67">
        <v>-1.1565699227983299</v>
      </c>
      <c r="F6" s="67">
        <v>11.3363110623881</v>
      </c>
      <c r="G6" s="67">
        <v>5.4663593101907502</v>
      </c>
    </row>
    <row r="7" spans="1:7" x14ac:dyDescent="0.35">
      <c r="A7" s="65">
        <v>5</v>
      </c>
      <c r="B7" s="66">
        <v>4.4524447428709202</v>
      </c>
      <c r="C7" s="66">
        <v>-2.1262947264760199</v>
      </c>
      <c r="D7" s="67">
        <v>1.08786565763428</v>
      </c>
      <c r="E7" s="67">
        <v>-12.7100012859944</v>
      </c>
      <c r="F7" s="67">
        <v>-11.0750396680865</v>
      </c>
      <c r="G7" s="67">
        <v>1.9484114624570199</v>
      </c>
    </row>
    <row r="8" spans="1:7" x14ac:dyDescent="0.35">
      <c r="A8" s="65">
        <v>6</v>
      </c>
      <c r="B8" s="66">
        <v>-5.5273631874095601</v>
      </c>
      <c r="C8" s="66">
        <v>13.3140336168904</v>
      </c>
      <c r="D8" s="67">
        <v>4.4735871105273501</v>
      </c>
      <c r="E8" s="67">
        <v>-16.639229918847398</v>
      </c>
      <c r="F8" s="67">
        <v>8.4629315671020695</v>
      </c>
      <c r="G8" s="67">
        <v>2.4167373871601199</v>
      </c>
    </row>
    <row r="9" spans="1:7" x14ac:dyDescent="0.35">
      <c r="A9" s="65">
        <v>7</v>
      </c>
      <c r="B9" s="66">
        <v>-1.1619098948146001</v>
      </c>
      <c r="C9" s="66">
        <v>-0.69418581062978402</v>
      </c>
      <c r="D9" s="67">
        <v>5.2001278983962003</v>
      </c>
      <c r="E9" s="67">
        <v>10.196904545552099</v>
      </c>
      <c r="F9" s="67">
        <v>13.0379015356386</v>
      </c>
      <c r="G9" s="67">
        <v>-8.0312251573439397</v>
      </c>
    </row>
    <row r="10" spans="1:7" x14ac:dyDescent="0.35">
      <c r="A10" s="65">
        <v>8</v>
      </c>
      <c r="B10" s="66">
        <v>-5.93782585692131</v>
      </c>
      <c r="C10" s="66">
        <v>6.3503861017059</v>
      </c>
      <c r="D10" s="67">
        <v>2.3110282197593701</v>
      </c>
      <c r="E10" s="67">
        <v>13.276273379520701</v>
      </c>
      <c r="F10" s="67">
        <v>7.02619912812803</v>
      </c>
      <c r="G10" s="67">
        <v>0.79184876238257196</v>
      </c>
    </row>
    <row r="11" spans="1:7" x14ac:dyDescent="0.35">
      <c r="A11" s="65">
        <v>9</v>
      </c>
      <c r="B11" s="66">
        <v>2.9184584026956899</v>
      </c>
      <c r="C11" s="66">
        <v>-7.2188984802676703</v>
      </c>
      <c r="D11" s="67">
        <v>3.1012946531380599</v>
      </c>
      <c r="E11" s="67">
        <v>4.7294602954919398</v>
      </c>
      <c r="F11" s="67">
        <v>4.6619100211239299</v>
      </c>
      <c r="G11" s="67">
        <v>6.8605105108735298</v>
      </c>
    </row>
    <row r="12" spans="1:7" x14ac:dyDescent="0.35">
      <c r="A12" s="65">
        <v>10</v>
      </c>
      <c r="B12" s="66">
        <v>10.812129608042399</v>
      </c>
      <c r="C12" s="66">
        <v>-4.64429075591966</v>
      </c>
      <c r="D12" s="67">
        <v>14.8083871794502</v>
      </c>
      <c r="E12" s="67">
        <v>-11.5634111642434</v>
      </c>
      <c r="F12" s="67">
        <v>10.529584735617799</v>
      </c>
      <c r="G12" s="67">
        <v>-9.2106288788057409</v>
      </c>
    </row>
    <row r="13" spans="1:7" x14ac:dyDescent="0.35">
      <c r="A13" s="65">
        <v>11</v>
      </c>
      <c r="B13" s="66">
        <v>-12.150818327887199</v>
      </c>
      <c r="C13" s="66">
        <v>-2.37204011122699</v>
      </c>
      <c r="D13" s="67">
        <v>0.64765270986287204</v>
      </c>
      <c r="E13" s="67">
        <v>8.7361899327826702</v>
      </c>
      <c r="F13" s="67">
        <v>-0.72695774022789605</v>
      </c>
      <c r="G13" s="67">
        <v>6.3846852314575102</v>
      </c>
    </row>
    <row r="14" spans="1:7" x14ac:dyDescent="0.35">
      <c r="A14" s="65">
        <v>12</v>
      </c>
      <c r="B14" s="66">
        <v>-6.3081596930770196</v>
      </c>
      <c r="C14" s="66">
        <v>-0.28412100814617203</v>
      </c>
      <c r="D14" s="67">
        <v>2.4730394540346001</v>
      </c>
      <c r="E14" s="67">
        <v>7.77659293199644</v>
      </c>
      <c r="F14" s="67">
        <v>-11.2280013522197</v>
      </c>
      <c r="G14" s="67">
        <v>4.81262217565122</v>
      </c>
    </row>
    <row r="15" spans="1:7" x14ac:dyDescent="0.35">
      <c r="A15" s="65">
        <v>13</v>
      </c>
      <c r="B15" s="66">
        <v>14.102625234453299</v>
      </c>
      <c r="C15" s="66">
        <v>3.9840750561930398</v>
      </c>
      <c r="D15" s="67">
        <v>2.9945823957899198</v>
      </c>
      <c r="E15" s="67">
        <v>6.5549312991361397</v>
      </c>
      <c r="F15" s="67">
        <v>0.82283658400585202</v>
      </c>
      <c r="G15" s="67">
        <v>10.9357185237984</v>
      </c>
    </row>
    <row r="16" spans="1:7" x14ac:dyDescent="0.35">
      <c r="A16" s="65">
        <v>14</v>
      </c>
      <c r="B16" s="66">
        <v>1.8011259348122901</v>
      </c>
      <c r="C16" s="66">
        <v>-3.1198246824626099</v>
      </c>
      <c r="D16" s="67">
        <v>0.36933830760640801</v>
      </c>
      <c r="E16" s="67">
        <v>12.0505492837747</v>
      </c>
      <c r="F16" s="67">
        <v>-4.1613213277671202</v>
      </c>
      <c r="G16" s="67">
        <v>3.74821846826549</v>
      </c>
    </row>
    <row r="17" spans="1:7" x14ac:dyDescent="0.35">
      <c r="A17" s="65">
        <v>15</v>
      </c>
      <c r="B17" s="66">
        <v>-13.9756840571272</v>
      </c>
      <c r="C17" s="66">
        <v>5.7446927110441104</v>
      </c>
      <c r="D17" s="67">
        <v>7.8647388763183601</v>
      </c>
      <c r="E17" s="67">
        <v>17.072577614538499</v>
      </c>
      <c r="F17" s="67">
        <v>3.3854577573029099</v>
      </c>
      <c r="G17" s="67">
        <v>7.2125184452036502</v>
      </c>
    </row>
    <row r="18" spans="1:7" x14ac:dyDescent="0.35">
      <c r="A18" s="65">
        <v>16</v>
      </c>
      <c r="B18" s="66">
        <v>11.2751487251219</v>
      </c>
      <c r="C18" s="66">
        <v>-3.3437578309745799</v>
      </c>
      <c r="D18" s="67">
        <v>4.16573787296928</v>
      </c>
      <c r="E18" s="67">
        <v>-33.169101094554897</v>
      </c>
      <c r="F18" s="67">
        <v>3.0978779329630299</v>
      </c>
      <c r="G18" s="67">
        <v>3.2702459571404199</v>
      </c>
    </row>
    <row r="19" spans="1:7" x14ac:dyDescent="0.35">
      <c r="A19" s="65">
        <v>17</v>
      </c>
      <c r="B19" s="66">
        <v>5.7739331200693904</v>
      </c>
      <c r="C19" s="66">
        <v>-3.71152826341662</v>
      </c>
      <c r="D19" s="67">
        <v>0.80422522838303001</v>
      </c>
      <c r="E19" s="67">
        <v>22.880830016970801</v>
      </c>
      <c r="F19" s="67">
        <v>3.7624634405364499</v>
      </c>
      <c r="G19" s="67">
        <v>-0.13455384976447099</v>
      </c>
    </row>
    <row r="20" spans="1:7" x14ac:dyDescent="0.35">
      <c r="A20" s="65">
        <v>18</v>
      </c>
      <c r="B20" s="66">
        <v>-11.7550605745349</v>
      </c>
      <c r="C20" s="66">
        <v>8.9392409386423406</v>
      </c>
      <c r="D20" s="67">
        <v>1.1334675694884599</v>
      </c>
      <c r="E20" s="67">
        <v>-23.805595525461801</v>
      </c>
      <c r="F20" s="67">
        <v>3.0963540732702199</v>
      </c>
      <c r="G20" s="67">
        <v>-2.4292210765889801</v>
      </c>
    </row>
    <row r="21" spans="1:7" x14ac:dyDescent="0.35">
      <c r="A21" s="65">
        <v>19</v>
      </c>
      <c r="B21" s="66">
        <v>20.4726628903266</v>
      </c>
      <c r="C21" s="66">
        <v>-1.38733325065053</v>
      </c>
      <c r="D21" s="67">
        <v>4.5906320790030701</v>
      </c>
      <c r="E21" s="67">
        <v>22.2029361805474</v>
      </c>
      <c r="F21" s="67">
        <v>7.0075507412213502</v>
      </c>
      <c r="G21" s="67">
        <v>6.5062446679891197</v>
      </c>
    </row>
    <row r="22" spans="1:7" x14ac:dyDescent="0.35">
      <c r="A22" s="65">
        <v>20</v>
      </c>
      <c r="B22" s="66">
        <v>-1.7618581790037</v>
      </c>
      <c r="C22" s="66">
        <v>-1.48587624135492</v>
      </c>
      <c r="D22" s="67">
        <v>3.6104220208886701</v>
      </c>
      <c r="E22" s="67">
        <v>-9.47033894825333</v>
      </c>
      <c r="F22" s="67">
        <v>-9.7572761239900103</v>
      </c>
      <c r="G22" s="67">
        <v>5.3137018217059397</v>
      </c>
    </row>
    <row r="23" spans="1:7" x14ac:dyDescent="0.35">
      <c r="A23" s="65">
        <v>21</v>
      </c>
      <c r="B23" s="66">
        <v>0.87589243177513498</v>
      </c>
      <c r="C23" s="66">
        <v>-3.1186013985879</v>
      </c>
      <c r="D23" s="67">
        <v>0.73584480722755996</v>
      </c>
      <c r="E23" s="67">
        <v>-6.68761334247215</v>
      </c>
      <c r="F23" s="67">
        <v>17.440441746852901</v>
      </c>
      <c r="G23" s="67">
        <v>3.5401815228085098</v>
      </c>
    </row>
    <row r="24" spans="1:7" x14ac:dyDescent="0.35">
      <c r="A24" s="65">
        <v>22</v>
      </c>
      <c r="B24" s="66">
        <v>3.3288289977429999</v>
      </c>
      <c r="C24" s="66">
        <v>-5.9468628193452799</v>
      </c>
      <c r="D24" s="67">
        <v>3.9428265560890501</v>
      </c>
      <c r="E24" s="67">
        <v>0.947413338743745</v>
      </c>
      <c r="F24" s="67">
        <v>2.5112552364526701</v>
      </c>
      <c r="G24" s="67">
        <v>10.220985108582401</v>
      </c>
    </row>
    <row r="25" spans="1:7" x14ac:dyDescent="0.35">
      <c r="A25" s="65">
        <v>23</v>
      </c>
      <c r="B25" s="66">
        <v>13.780674634110699</v>
      </c>
      <c r="C25" s="66">
        <v>0.96005551624734897</v>
      </c>
      <c r="D25" s="67">
        <v>12.459444503320899</v>
      </c>
      <c r="E25" s="67">
        <v>0.52680027278493102</v>
      </c>
      <c r="F25" s="67">
        <v>13.900545424843299</v>
      </c>
      <c r="G25" s="67">
        <v>0.107141255452905</v>
      </c>
    </row>
    <row r="26" spans="1:7" x14ac:dyDescent="0.35">
      <c r="A26" s="65">
        <v>24</v>
      </c>
      <c r="B26" s="66">
        <v>3.9923023000693001</v>
      </c>
      <c r="C26" s="66">
        <v>2.5579891396153598</v>
      </c>
      <c r="D26" s="67">
        <v>0.88881816580694695</v>
      </c>
      <c r="E26" s="67">
        <v>12.7016873195555</v>
      </c>
      <c r="F26" s="67">
        <v>-1.1407863377110501</v>
      </c>
      <c r="G26" s="67">
        <v>2.6354058837948098</v>
      </c>
    </row>
    <row r="27" spans="1:7" x14ac:dyDescent="0.35">
      <c r="A27" s="65">
        <v>25</v>
      </c>
      <c r="B27" s="66">
        <v>-10.868784981001999</v>
      </c>
      <c r="C27" s="66">
        <v>-6.6212867429999598</v>
      </c>
      <c r="D27" s="67">
        <v>0.48796533541512899</v>
      </c>
      <c r="E27" s="67">
        <v>-0.97856934009714203</v>
      </c>
      <c r="F27" s="67">
        <v>24.5739043750206</v>
      </c>
      <c r="G27" s="67">
        <v>0.35983680733974299</v>
      </c>
    </row>
    <row r="28" spans="1:7" x14ac:dyDescent="0.35">
      <c r="A28" s="65">
        <v>26</v>
      </c>
      <c r="B28" s="66">
        <v>1.34691925070339</v>
      </c>
      <c r="C28" s="66">
        <v>1.5486023401278199</v>
      </c>
      <c r="D28" s="67">
        <v>3.4188261720664799</v>
      </c>
      <c r="E28" s="67">
        <v>-9.2021518866197294</v>
      </c>
      <c r="F28" s="67">
        <v>-1.6777678682039401</v>
      </c>
      <c r="G28" s="67">
        <v>2.0672398782711099</v>
      </c>
    </row>
    <row r="29" spans="1:7" x14ac:dyDescent="0.35">
      <c r="A29" s="65">
        <v>27</v>
      </c>
      <c r="B29" s="66">
        <v>-6.5024817604185996</v>
      </c>
      <c r="C29" s="66">
        <v>10.640955190159699</v>
      </c>
      <c r="D29" s="67">
        <v>2.0962897181915201</v>
      </c>
      <c r="E29" s="67">
        <v>-19.521576492593201</v>
      </c>
      <c r="F29" s="67">
        <v>-4.9258778908437799</v>
      </c>
      <c r="G29" s="67">
        <v>0.400890979405088</v>
      </c>
    </row>
    <row r="30" spans="1:7" x14ac:dyDescent="0.35">
      <c r="A30" s="65">
        <v>28</v>
      </c>
      <c r="B30" s="66">
        <v>-8.3453890094365608</v>
      </c>
      <c r="C30" s="66">
        <v>-3.6496685041255299</v>
      </c>
      <c r="D30" s="67">
        <v>3.9997423304136399</v>
      </c>
      <c r="E30" s="67">
        <v>19.689363919628398</v>
      </c>
      <c r="F30" s="67">
        <v>-2.7141759611281899</v>
      </c>
      <c r="G30" s="67">
        <v>11.257443142462799</v>
      </c>
    </row>
    <row r="31" spans="1:7" x14ac:dyDescent="0.35">
      <c r="A31" s="65">
        <v>29</v>
      </c>
      <c r="B31" s="66">
        <v>-5.0004573360749198</v>
      </c>
      <c r="C31" s="66">
        <v>-7.8883204024018898</v>
      </c>
      <c r="D31" s="67">
        <v>1.5341847334173699</v>
      </c>
      <c r="E31" s="67">
        <v>-10.9503556713452</v>
      </c>
      <c r="F31" s="67">
        <v>16.4738452475321</v>
      </c>
      <c r="G31" s="67">
        <v>5.90971424814615</v>
      </c>
    </row>
    <row r="32" spans="1:7" x14ac:dyDescent="0.35">
      <c r="A32" s="65">
        <v>30</v>
      </c>
      <c r="B32" s="66">
        <v>-11.5559077239347</v>
      </c>
      <c r="C32" s="66">
        <v>5.1641092597038298</v>
      </c>
      <c r="D32" s="67">
        <v>0.92678251124622801</v>
      </c>
      <c r="E32" s="67">
        <v>0.92979944354581101</v>
      </c>
      <c r="F32" s="67">
        <v>-5.9516679011022902</v>
      </c>
      <c r="G32" s="67">
        <v>6.73218525942284</v>
      </c>
    </row>
    <row r="33" spans="1:7" x14ac:dyDescent="0.35">
      <c r="A33" s="65">
        <v>31</v>
      </c>
      <c r="B33" s="66">
        <v>-6.4205338028410504</v>
      </c>
      <c r="C33" s="66">
        <v>-5.7487111963448099</v>
      </c>
      <c r="D33" s="67">
        <v>1.5863384648432599</v>
      </c>
      <c r="E33" s="67">
        <v>-4.0157224107899303</v>
      </c>
      <c r="F33" s="67">
        <v>2.2105586064869698</v>
      </c>
      <c r="G33" s="67">
        <v>-2.2903863700399801E-2</v>
      </c>
    </row>
    <row r="34" spans="1:7" x14ac:dyDescent="0.35">
      <c r="A34" s="65">
        <v>32</v>
      </c>
      <c r="B34" s="66">
        <v>-9.5996951318049106</v>
      </c>
      <c r="C34" s="66">
        <v>0.98785742470057702</v>
      </c>
      <c r="D34" s="67">
        <v>15.0358958549911</v>
      </c>
      <c r="E34" s="67">
        <v>-9.9252329595094206</v>
      </c>
      <c r="F34" s="67">
        <v>-2.5315324599578499</v>
      </c>
      <c r="G34" s="67">
        <v>19.032784412463599</v>
      </c>
    </row>
    <row r="35" spans="1:7" x14ac:dyDescent="0.35">
      <c r="A35" s="65">
        <v>33</v>
      </c>
      <c r="B35" s="66">
        <v>-16.924153472786902</v>
      </c>
      <c r="C35" s="66">
        <v>4.1364303494673296</v>
      </c>
      <c r="D35" s="67">
        <v>48.630863944628203</v>
      </c>
      <c r="E35" s="67">
        <v>-16.106323106440001</v>
      </c>
      <c r="F35" s="67">
        <v>0.40549640469673998</v>
      </c>
      <c r="G35" s="67">
        <v>-6.0799133973172204</v>
      </c>
    </row>
    <row r="36" spans="1:7" x14ac:dyDescent="0.35">
      <c r="A36" s="65">
        <v>34</v>
      </c>
      <c r="B36" s="66">
        <v>-4.9851109771752702</v>
      </c>
      <c r="C36" s="66">
        <v>-15.093185631491</v>
      </c>
      <c r="D36" s="67">
        <v>1.3011190015474401</v>
      </c>
      <c r="E36" s="67">
        <v>-36.292751210228701</v>
      </c>
      <c r="F36" s="67">
        <v>19.679558202066001</v>
      </c>
      <c r="G36" s="67">
        <v>1.5930503952063599</v>
      </c>
    </row>
    <row r="37" spans="1:7" x14ac:dyDescent="0.35">
      <c r="A37" s="65">
        <v>35</v>
      </c>
      <c r="B37" s="66">
        <v>-20.1865814555802</v>
      </c>
      <c r="C37" s="66">
        <v>6.0083368620095596</v>
      </c>
      <c r="D37" s="67">
        <v>13.444114332275401</v>
      </c>
      <c r="E37" s="67">
        <v>-17.8759690360144</v>
      </c>
      <c r="F37" s="67">
        <v>2.0388073964130302</v>
      </c>
      <c r="G37" s="67">
        <v>3.6497894116111498</v>
      </c>
    </row>
    <row r="38" spans="1:7" x14ac:dyDescent="0.35">
      <c r="A38" s="65">
        <v>36</v>
      </c>
      <c r="B38" s="66">
        <v>8.7052113335605306</v>
      </c>
      <c r="C38" s="66">
        <v>-1.2770128721691401</v>
      </c>
      <c r="D38" s="67">
        <v>3.23234353793764</v>
      </c>
      <c r="E38" s="67">
        <v>-8.6654123526663298</v>
      </c>
      <c r="F38" s="67">
        <v>-4.6848490139950503</v>
      </c>
      <c r="G38" s="67">
        <v>5.2470106311040002E-2</v>
      </c>
    </row>
    <row r="39" spans="1:7" x14ac:dyDescent="0.35">
      <c r="A39" s="65">
        <v>37</v>
      </c>
      <c r="B39" s="66">
        <v>11.6267994026226</v>
      </c>
      <c r="C39" s="66">
        <v>-1.7861777575089399</v>
      </c>
      <c r="D39" s="67">
        <v>3.2067091362947902</v>
      </c>
      <c r="E39" s="67">
        <v>-6.3558886955502896</v>
      </c>
      <c r="F39" s="67">
        <v>-2.5440767923586698</v>
      </c>
      <c r="G39" s="67">
        <v>2.4078764910433801</v>
      </c>
    </row>
    <row r="40" spans="1:7" x14ac:dyDescent="0.35">
      <c r="A40" s="65">
        <v>38</v>
      </c>
      <c r="B40" s="66">
        <v>9.7590623781665595</v>
      </c>
      <c r="C40" s="66">
        <v>1.0020268572255799</v>
      </c>
      <c r="D40" s="67">
        <v>4.4720912281646301</v>
      </c>
      <c r="E40" s="67">
        <v>-2.4149312354914199</v>
      </c>
      <c r="F40" s="67">
        <v>1.4580669325379501</v>
      </c>
      <c r="G40" s="67">
        <v>6.7395935272577399</v>
      </c>
    </row>
    <row r="41" spans="1:7" x14ac:dyDescent="0.35">
      <c r="A41" s="65">
        <v>39</v>
      </c>
      <c r="B41" s="66">
        <v>5.4371695620232403</v>
      </c>
      <c r="C41" s="66">
        <v>3.5468888162780798</v>
      </c>
      <c r="D41" s="67">
        <v>6.2596130097141902</v>
      </c>
      <c r="E41" s="67">
        <v>-0.82405689046397201</v>
      </c>
      <c r="F41" s="67">
        <v>-11.072225512823699</v>
      </c>
      <c r="G41" s="67">
        <v>5.5871539561439798</v>
      </c>
    </row>
    <row r="42" spans="1:7" x14ac:dyDescent="0.35">
      <c r="A42" s="65">
        <v>40</v>
      </c>
      <c r="B42" s="66">
        <v>7.8403287919324898</v>
      </c>
      <c r="C42" s="66">
        <v>-12.556679876721599</v>
      </c>
      <c r="D42" s="67">
        <v>2.8398832665273899</v>
      </c>
      <c r="E42" s="67">
        <v>-10.029185028901001</v>
      </c>
      <c r="F42" s="67">
        <v>-12.4858309971276</v>
      </c>
      <c r="G42" s="67">
        <v>-2.21398869200697</v>
      </c>
    </row>
    <row r="43" spans="1:7" x14ac:dyDescent="0.35">
      <c r="A43" s="65">
        <v>41</v>
      </c>
      <c r="B43" s="66">
        <v>-10.879241577881899</v>
      </c>
      <c r="C43" s="66">
        <v>4.0535868722923496</v>
      </c>
      <c r="D43" s="67">
        <v>2.2523424770429501</v>
      </c>
      <c r="E43" s="67">
        <v>-11.2031840556535</v>
      </c>
      <c r="F43" s="67">
        <v>6.2297002354435298</v>
      </c>
      <c r="G43" s="67">
        <v>2.24118579951323</v>
      </c>
    </row>
    <row r="44" spans="1:7" x14ac:dyDescent="0.35">
      <c r="A44" s="65">
        <v>42</v>
      </c>
      <c r="B44" s="66">
        <v>-0.93472632861860405</v>
      </c>
      <c r="C44" s="66">
        <v>2.6629407593694001</v>
      </c>
      <c r="D44" s="67">
        <v>24.9325333793977</v>
      </c>
      <c r="E44" s="67">
        <v>-5.4962557032563604</v>
      </c>
      <c r="F44" s="67">
        <v>-2.7891790489107402</v>
      </c>
      <c r="G44" s="67">
        <v>2.5962346615748402</v>
      </c>
    </row>
    <row r="45" spans="1:7" x14ac:dyDescent="0.35">
      <c r="A45" s="65">
        <v>43</v>
      </c>
      <c r="B45" s="66">
        <v>2.8514840922956601</v>
      </c>
      <c r="C45" s="66">
        <v>-12.840864833371199</v>
      </c>
      <c r="D45" s="67">
        <v>1.49841439164183</v>
      </c>
      <c r="E45" s="67">
        <v>10.071368750306</v>
      </c>
      <c r="F45" s="67">
        <v>-11.521750020168</v>
      </c>
      <c r="G45" s="67">
        <v>-2.81140579584953</v>
      </c>
    </row>
    <row r="46" spans="1:7" x14ac:dyDescent="0.35">
      <c r="A46" s="65">
        <v>44</v>
      </c>
      <c r="B46" s="66">
        <v>-2.5372415860970001</v>
      </c>
      <c r="C46" s="66">
        <v>-10.447762492157199</v>
      </c>
      <c r="D46" s="67">
        <v>9.6873963467874002</v>
      </c>
      <c r="E46" s="67">
        <v>13.8057692877232</v>
      </c>
      <c r="F46" s="67">
        <v>-11.1509418388924</v>
      </c>
      <c r="G46" s="67">
        <v>0.91546382151647399</v>
      </c>
    </row>
    <row r="47" spans="1:7" x14ac:dyDescent="0.35">
      <c r="A47" s="65">
        <v>45</v>
      </c>
      <c r="B47" s="66">
        <v>-3.4401732881155902</v>
      </c>
      <c r="C47" s="66">
        <v>3.5638921616027299</v>
      </c>
      <c r="D47" s="67">
        <v>0.70719687050781199</v>
      </c>
      <c r="E47" s="67">
        <v>-26.533745023477401</v>
      </c>
      <c r="F47" s="67">
        <v>8.5316908027635492</v>
      </c>
      <c r="G47" s="67">
        <v>2.1566942655127299</v>
      </c>
    </row>
    <row r="48" spans="1:7" x14ac:dyDescent="0.35">
      <c r="A48" s="65">
        <v>46</v>
      </c>
      <c r="B48" s="66">
        <v>8.4538746832395297</v>
      </c>
      <c r="C48" s="66">
        <v>1.61456888269643</v>
      </c>
      <c r="D48" s="67">
        <v>0.93953951560365301</v>
      </c>
      <c r="E48" s="67">
        <v>1.3689710626409499</v>
      </c>
      <c r="F48" s="67">
        <v>-12.177471530983601</v>
      </c>
      <c r="G48" s="67">
        <v>6.1330446868225303</v>
      </c>
    </row>
    <row r="49" spans="1:7" x14ac:dyDescent="0.35">
      <c r="A49" s="65">
        <v>47</v>
      </c>
      <c r="B49" s="66">
        <v>-2.37332343086528</v>
      </c>
      <c r="C49" s="66">
        <v>4.3955041615903596</v>
      </c>
      <c r="D49" s="67">
        <v>1.2698833602772801</v>
      </c>
      <c r="E49" s="67">
        <v>-11.2966549498717</v>
      </c>
      <c r="F49" s="67">
        <v>4.7358305212221499</v>
      </c>
      <c r="G49" s="67">
        <v>10.8903899593502</v>
      </c>
    </row>
    <row r="50" spans="1:7" x14ac:dyDescent="0.35">
      <c r="A50" s="65">
        <v>48</v>
      </c>
      <c r="B50" s="66">
        <v>11.890810040944899</v>
      </c>
      <c r="C50" s="66">
        <v>3.3599766718506201</v>
      </c>
      <c r="D50" s="67">
        <v>3.3217102416764899</v>
      </c>
      <c r="E50" s="67">
        <v>9.7366357508803798</v>
      </c>
      <c r="F50" s="67">
        <v>-13.3555450028532</v>
      </c>
      <c r="G50" s="67">
        <v>4.4030137613580704</v>
      </c>
    </row>
    <row r="51" spans="1:7" x14ac:dyDescent="0.35">
      <c r="A51" s="65">
        <v>49</v>
      </c>
      <c r="B51" s="66">
        <v>2.7060999956962402</v>
      </c>
      <c r="C51" s="66">
        <v>5.2223763031230996</v>
      </c>
      <c r="D51" s="67">
        <v>2.2205962647092599</v>
      </c>
      <c r="E51" s="67">
        <v>-21.994452438838401</v>
      </c>
      <c r="F51" s="67">
        <v>-2.68274039956074</v>
      </c>
      <c r="G51" s="67">
        <v>-6.0606211065149003</v>
      </c>
    </row>
    <row r="52" spans="1:7" x14ac:dyDescent="0.35">
      <c r="A52" s="65">
        <v>50</v>
      </c>
      <c r="B52" s="66">
        <v>-13.658842999784699</v>
      </c>
      <c r="C52" s="66">
        <v>0.91779812670491701</v>
      </c>
      <c r="D52" s="67">
        <v>19.259728784119002</v>
      </c>
      <c r="E52" s="67">
        <v>-6.7835360512441003</v>
      </c>
      <c r="F52" s="67">
        <v>-11.2753615028721</v>
      </c>
      <c r="G52" s="67">
        <v>1.30705522247151</v>
      </c>
    </row>
    <row r="53" spans="1:7" x14ac:dyDescent="0.35">
      <c r="A53" s="65">
        <v>51</v>
      </c>
      <c r="B53" s="66">
        <v>12.361422208147101</v>
      </c>
      <c r="C53" s="66">
        <v>-3.2676929281653</v>
      </c>
      <c r="D53" s="67">
        <v>2.03310616779752</v>
      </c>
      <c r="E53" s="67">
        <v>2.5290005396172299</v>
      </c>
      <c r="F53" s="67">
        <v>14.0866842337545</v>
      </c>
      <c r="G53" s="67">
        <v>-7.5827423101954903</v>
      </c>
    </row>
    <row r="54" spans="1:7" x14ac:dyDescent="0.35">
      <c r="A54" s="65">
        <v>52</v>
      </c>
      <c r="B54" s="66">
        <v>3.2391452894098398</v>
      </c>
      <c r="C54" s="66">
        <v>4.5822142703057498</v>
      </c>
      <c r="D54" s="67">
        <v>4.6664778055988201</v>
      </c>
      <c r="E54" s="67">
        <v>2.99054772624031</v>
      </c>
      <c r="F54" s="67">
        <v>0.918985614510058</v>
      </c>
      <c r="G54" s="67">
        <v>-3.2594096498024601</v>
      </c>
    </row>
    <row r="55" spans="1:7" x14ac:dyDescent="0.35">
      <c r="A55" s="65">
        <v>53</v>
      </c>
      <c r="B55" s="66">
        <v>-6.5953744262577798</v>
      </c>
      <c r="C55" s="66">
        <v>-1.39416717386793</v>
      </c>
      <c r="D55" s="67">
        <v>6.9262386936849802</v>
      </c>
      <c r="E55" s="67">
        <v>15.379653841503201</v>
      </c>
      <c r="F55" s="67">
        <v>2.2483264953684801</v>
      </c>
      <c r="G55" s="67">
        <v>-7.2653130709406604</v>
      </c>
    </row>
    <row r="56" spans="1:7" x14ac:dyDescent="0.35">
      <c r="A56" s="65">
        <v>54</v>
      </c>
      <c r="B56" s="66">
        <v>-5.9104363732489498</v>
      </c>
      <c r="C56" s="66">
        <v>-5.50169040370651</v>
      </c>
      <c r="D56" s="67">
        <v>5.23427522814639</v>
      </c>
      <c r="E56" s="67">
        <v>30.183629385168899</v>
      </c>
      <c r="F56" s="67">
        <v>1.4096087652129601</v>
      </c>
      <c r="G56" s="67">
        <v>12.820565801624699</v>
      </c>
    </row>
    <row r="57" spans="1:7" x14ac:dyDescent="0.35">
      <c r="A57" s="65">
        <v>55</v>
      </c>
      <c r="B57" s="66">
        <v>-4.8119099545011403</v>
      </c>
      <c r="C57" s="66">
        <v>4.4419021604258999</v>
      </c>
      <c r="D57" s="67">
        <v>8.3473635541760807</v>
      </c>
      <c r="E57" s="67">
        <v>18.792031601311699</v>
      </c>
      <c r="F57" s="67">
        <v>0.31569946204133698</v>
      </c>
      <c r="G57" s="67">
        <v>2.7723492733810899</v>
      </c>
    </row>
    <row r="58" spans="1:7" x14ac:dyDescent="0.35">
      <c r="A58" s="65">
        <v>56</v>
      </c>
      <c r="B58" s="66">
        <v>11.7899680090018</v>
      </c>
      <c r="C58" s="66">
        <v>-10.923570756385599</v>
      </c>
      <c r="D58" s="67">
        <v>11.4889815982906</v>
      </c>
      <c r="E58" s="67">
        <v>18.130670558399899</v>
      </c>
      <c r="F58" s="67">
        <v>-2.4482119887567202</v>
      </c>
      <c r="G58" s="67">
        <v>8.3852144744084196</v>
      </c>
    </row>
    <row r="59" spans="1:7" x14ac:dyDescent="0.35">
      <c r="A59" s="65">
        <v>57</v>
      </c>
      <c r="B59" s="66">
        <v>3.3856917098584098</v>
      </c>
      <c r="C59" s="66">
        <v>4.9968643996560003</v>
      </c>
      <c r="D59" s="67">
        <v>2.0630585371858201</v>
      </c>
      <c r="E59" s="67">
        <v>-28.2748895584159</v>
      </c>
      <c r="F59" s="67">
        <v>-2.7724244644240801</v>
      </c>
      <c r="G59" s="67">
        <v>-15.4470997327458</v>
      </c>
    </row>
    <row r="60" spans="1:7" x14ac:dyDescent="0.35">
      <c r="A60" s="65">
        <v>58</v>
      </c>
      <c r="B60" s="66">
        <v>-8.4717519574449796</v>
      </c>
      <c r="C60" s="66">
        <v>-5.91440943226337</v>
      </c>
      <c r="D60" s="67">
        <v>3.3393677998876399</v>
      </c>
      <c r="E60" s="67">
        <v>-8.7160335265337103</v>
      </c>
      <c r="F60" s="67">
        <v>5.48387712189081</v>
      </c>
      <c r="G60" s="67">
        <v>3.1040369319022498</v>
      </c>
    </row>
    <row r="61" spans="1:7" x14ac:dyDescent="0.35">
      <c r="A61" s="65">
        <v>59</v>
      </c>
      <c r="B61" s="66">
        <v>-2.3290011475768102</v>
      </c>
      <c r="C61" s="66">
        <v>0.54130310852950403</v>
      </c>
      <c r="D61" s="67">
        <v>1.8978388878677199</v>
      </c>
      <c r="E61" s="67">
        <v>7.2821811052441898</v>
      </c>
      <c r="F61" s="67">
        <v>3.0349471295105399</v>
      </c>
      <c r="G61" s="67">
        <v>-6.6935461963078797</v>
      </c>
    </row>
    <row r="62" spans="1:7" x14ac:dyDescent="0.35">
      <c r="A62" s="65">
        <v>60</v>
      </c>
      <c r="B62" s="66">
        <v>1.00629562840911</v>
      </c>
      <c r="C62" s="66">
        <v>-4.9633861242417199</v>
      </c>
      <c r="D62" s="67">
        <v>2.0388872859042499</v>
      </c>
      <c r="E62" s="67">
        <v>11.9386516870227</v>
      </c>
      <c r="F62" s="67">
        <v>4.5870518379540197</v>
      </c>
      <c r="G62" s="67">
        <v>3.6007231472996901</v>
      </c>
    </row>
    <row r="63" spans="1:7" x14ac:dyDescent="0.35">
      <c r="A63" s="65">
        <v>61</v>
      </c>
      <c r="B63" s="66">
        <v>-13.393023212347501</v>
      </c>
      <c r="C63" s="66">
        <v>0.49508740862182599</v>
      </c>
      <c r="D63" s="67">
        <v>0.16135918764172699</v>
      </c>
      <c r="E63" s="67">
        <v>-19.629540961972001</v>
      </c>
      <c r="F63" s="67">
        <v>-1.8771700400161899</v>
      </c>
      <c r="G63" s="67">
        <v>-1.6180600426988601</v>
      </c>
    </row>
    <row r="64" spans="1:7" x14ac:dyDescent="0.35">
      <c r="A64" s="65">
        <v>62</v>
      </c>
      <c r="B64" s="66">
        <v>14.1145867005024</v>
      </c>
      <c r="C64" s="66">
        <v>0.26769349144811899</v>
      </c>
      <c r="D64" s="67">
        <v>42.001736046295299</v>
      </c>
      <c r="E64" s="67">
        <v>33.415428558570603</v>
      </c>
      <c r="F64" s="67">
        <v>11.503235475527299</v>
      </c>
      <c r="G64" s="67">
        <v>-2.0258780741701798</v>
      </c>
    </row>
    <row r="65" spans="1:7" x14ac:dyDescent="0.35">
      <c r="A65" s="65">
        <v>63</v>
      </c>
      <c r="B65" s="66">
        <v>-3.5396654654425599</v>
      </c>
      <c r="C65" s="66">
        <v>1.5798140009438599</v>
      </c>
      <c r="D65" s="67">
        <v>3.3658120941666598</v>
      </c>
      <c r="E65" s="67">
        <v>-11.339593563563</v>
      </c>
      <c r="F65" s="67">
        <v>-5.4765305296834299</v>
      </c>
      <c r="G65" s="67">
        <v>3.95787610368484</v>
      </c>
    </row>
    <row r="66" spans="1:7" x14ac:dyDescent="0.35">
      <c r="A66" s="65">
        <v>64</v>
      </c>
      <c r="B66" s="66">
        <v>-7.0574467482912402</v>
      </c>
      <c r="C66" s="66">
        <v>1.91356385636995</v>
      </c>
      <c r="D66" s="67">
        <v>20.1966942002168</v>
      </c>
      <c r="E66" s="67">
        <v>-10.979878979750801</v>
      </c>
      <c r="F66" s="67">
        <v>-2.3095841929424998</v>
      </c>
      <c r="G66" s="67">
        <v>-1.41741827072476</v>
      </c>
    </row>
    <row r="67" spans="1:7" x14ac:dyDescent="0.35">
      <c r="A67" s="65">
        <v>65</v>
      </c>
      <c r="B67" s="66">
        <v>6.3789734070171198</v>
      </c>
      <c r="C67" s="66">
        <v>-4.95608711053604</v>
      </c>
      <c r="D67" s="67">
        <v>3.0937246273491001</v>
      </c>
      <c r="E67" s="67">
        <v>-27.6474109774969</v>
      </c>
      <c r="F67" s="67">
        <v>-9.6538641474284006</v>
      </c>
      <c r="G67" s="67">
        <v>6.2133600272068996</v>
      </c>
    </row>
    <row r="68" spans="1:7" x14ac:dyDescent="0.35">
      <c r="A68" s="65">
        <v>66</v>
      </c>
      <c r="B68" s="66">
        <v>-10.708044973361501</v>
      </c>
      <c r="C68" s="66">
        <v>6.9673376699656</v>
      </c>
      <c r="D68" s="67">
        <v>2.9155248635620601</v>
      </c>
      <c r="E68" s="67">
        <v>-25.224058869379299</v>
      </c>
      <c r="F68" s="67">
        <v>-5.5354928314512799</v>
      </c>
      <c r="G68" s="67">
        <v>10.109596773591999</v>
      </c>
    </row>
    <row r="69" spans="1:7" x14ac:dyDescent="0.35">
      <c r="A69" s="65">
        <v>67</v>
      </c>
      <c r="B69" s="66">
        <v>20.711689020349901</v>
      </c>
      <c r="C69" s="66">
        <v>-2.3589141796456601</v>
      </c>
      <c r="D69" s="67">
        <v>3.1179026323914201</v>
      </c>
      <c r="E69" s="67">
        <v>4.9134558495529603</v>
      </c>
      <c r="F69" s="67">
        <v>-13.631789026005</v>
      </c>
      <c r="G69" s="67">
        <v>4.0097147391477099</v>
      </c>
    </row>
    <row r="70" spans="1:7" x14ac:dyDescent="0.35">
      <c r="A70" s="65">
        <v>68</v>
      </c>
      <c r="B70" s="66">
        <v>-7.8456409448223896</v>
      </c>
      <c r="C70" s="66">
        <v>-7.7063514238459403</v>
      </c>
      <c r="D70" s="67">
        <v>0.20149567586195199</v>
      </c>
      <c r="E70" s="67">
        <v>13.5930853166223</v>
      </c>
      <c r="F70" s="67">
        <v>6.2518561519883704</v>
      </c>
      <c r="G70" s="67">
        <v>-0.72475884785033495</v>
      </c>
    </row>
    <row r="71" spans="1:7" x14ac:dyDescent="0.35">
      <c r="A71" s="65">
        <v>69</v>
      </c>
      <c r="B71" s="66">
        <v>10.0959889162368</v>
      </c>
      <c r="C71" s="66">
        <v>2.2020956647770298</v>
      </c>
      <c r="D71" s="67">
        <v>7.0640105964420004</v>
      </c>
      <c r="E71" s="67">
        <v>-21.1884420382077</v>
      </c>
      <c r="F71" s="67">
        <v>7.4530379138680596</v>
      </c>
      <c r="G71" s="67">
        <v>6.8343267274929103</v>
      </c>
    </row>
    <row r="72" spans="1:7" x14ac:dyDescent="0.35">
      <c r="A72" s="65">
        <v>70</v>
      </c>
      <c r="B72" s="66">
        <v>-7.3985569378887801</v>
      </c>
      <c r="C72" s="66">
        <v>2.4623992016538598</v>
      </c>
      <c r="D72" s="67">
        <v>11.3337040995176</v>
      </c>
      <c r="E72" s="67">
        <v>26.496687199698599</v>
      </c>
      <c r="F72" s="67">
        <v>7.1612806021663804</v>
      </c>
      <c r="G72" s="67">
        <v>13.8723967127404</v>
      </c>
    </row>
    <row r="73" spans="1:7" x14ac:dyDescent="0.35">
      <c r="A73" s="65">
        <v>71</v>
      </c>
      <c r="B73" s="66">
        <v>15.892334244283701</v>
      </c>
      <c r="C73" s="66">
        <v>-0.18430176570422199</v>
      </c>
      <c r="D73" s="67">
        <v>0.46044104448330597</v>
      </c>
      <c r="E73" s="67">
        <v>-2.74995569937479</v>
      </c>
      <c r="F73" s="67">
        <v>-6.7144242923260702</v>
      </c>
      <c r="G73" s="67">
        <v>1.33789295067991</v>
      </c>
    </row>
    <row r="74" spans="1:7" x14ac:dyDescent="0.35">
      <c r="A74" s="65">
        <v>72</v>
      </c>
      <c r="B74" s="66">
        <v>-10.5690535628123</v>
      </c>
      <c r="C74" s="66">
        <v>4.6862792056683</v>
      </c>
      <c r="D74" s="67">
        <v>19.502261607474601</v>
      </c>
      <c r="E74" s="67">
        <v>6.2107980563653999</v>
      </c>
      <c r="F74" s="67">
        <v>-1.2319432075455801</v>
      </c>
      <c r="G74" s="67">
        <v>-1.3253163869212601</v>
      </c>
    </row>
    <row r="75" spans="1:7" x14ac:dyDescent="0.35">
      <c r="A75" s="65">
        <v>73</v>
      </c>
      <c r="B75" s="66">
        <v>-7.5386471412959297</v>
      </c>
      <c r="C75" s="66">
        <v>-1.75507634189849</v>
      </c>
      <c r="D75" s="67">
        <v>9.8746844253862704</v>
      </c>
      <c r="E75" s="67">
        <v>-7.1639003147165399</v>
      </c>
      <c r="F75" s="67">
        <v>-1.5597445747221901</v>
      </c>
      <c r="G75" s="67">
        <v>-6.2485644050386897</v>
      </c>
    </row>
    <row r="76" spans="1:7" x14ac:dyDescent="0.35">
      <c r="A76" s="65">
        <v>74</v>
      </c>
      <c r="B76" s="66">
        <v>-3.80330377127687</v>
      </c>
      <c r="C76" s="66">
        <v>-4.1120821299856702</v>
      </c>
      <c r="D76" s="67">
        <v>2.3797292002827199</v>
      </c>
      <c r="E76" s="67">
        <v>22.7603670949097</v>
      </c>
      <c r="F76" s="67">
        <v>3.20088645950382</v>
      </c>
      <c r="G76" s="67">
        <v>-16.239227421440599</v>
      </c>
    </row>
    <row r="77" spans="1:7" x14ac:dyDescent="0.35">
      <c r="A77" s="65">
        <v>75</v>
      </c>
      <c r="B77" s="66">
        <v>-1.12187840000018</v>
      </c>
      <c r="C77" s="66">
        <v>-7.2138048970929596</v>
      </c>
      <c r="D77" s="67">
        <v>5.5564711104111799</v>
      </c>
      <c r="E77" s="67">
        <v>11.9976370192741</v>
      </c>
      <c r="F77" s="67">
        <v>-2.99014418100194</v>
      </c>
      <c r="G77" s="67">
        <v>7.76460307795577</v>
      </c>
    </row>
    <row r="78" spans="1:7" x14ac:dyDescent="0.35">
      <c r="A78" s="65">
        <v>76</v>
      </c>
      <c r="B78" s="66">
        <v>-1.85445747713745</v>
      </c>
      <c r="C78" s="66">
        <v>1.78469939387443</v>
      </c>
      <c r="D78" s="67">
        <v>6.1757128831066401</v>
      </c>
      <c r="E78" s="67">
        <v>5.1618168589054703</v>
      </c>
      <c r="F78" s="67">
        <v>3.7785012488729901</v>
      </c>
      <c r="G78" s="67">
        <v>-3.8116499309797298</v>
      </c>
    </row>
    <row r="79" spans="1:7" x14ac:dyDescent="0.35">
      <c r="A79" s="65">
        <v>77</v>
      </c>
      <c r="B79" s="66">
        <v>-7.0572351837411897</v>
      </c>
      <c r="C79" s="66">
        <v>-10.9336834216395</v>
      </c>
      <c r="D79" s="67">
        <v>2.3675250056953501</v>
      </c>
      <c r="E79" s="67">
        <v>-10.2166265432607</v>
      </c>
      <c r="F79" s="67">
        <v>5.6610561856555499</v>
      </c>
      <c r="G79" s="67">
        <v>-4.7296435588498502</v>
      </c>
    </row>
    <row r="80" spans="1:7" x14ac:dyDescent="0.35">
      <c r="A80" s="65">
        <v>78</v>
      </c>
      <c r="B80" s="66">
        <v>9.7788351151987705</v>
      </c>
      <c r="C80" s="66">
        <v>2.8250861539162702</v>
      </c>
      <c r="D80" s="67">
        <v>13.700430400138501</v>
      </c>
      <c r="E80" s="67">
        <v>10.614865280340601</v>
      </c>
      <c r="F80" s="67">
        <v>7.1365757376692498</v>
      </c>
      <c r="G80" s="67">
        <v>-18.144465029365701</v>
      </c>
    </row>
    <row r="81" spans="1:7" x14ac:dyDescent="0.35">
      <c r="A81" s="65">
        <v>79</v>
      </c>
      <c r="B81" s="66">
        <v>-1.3822294859052</v>
      </c>
      <c r="C81" s="66">
        <v>0.23971711355956299</v>
      </c>
      <c r="D81" s="67">
        <v>0.31110099521717299</v>
      </c>
      <c r="E81" s="67">
        <v>6.1793123851519498</v>
      </c>
      <c r="F81" s="67">
        <v>-6.3493922618641996</v>
      </c>
      <c r="G81" s="67">
        <v>8.8927497308401193</v>
      </c>
    </row>
    <row r="82" spans="1:7" x14ac:dyDescent="0.35">
      <c r="A82" s="65">
        <v>80</v>
      </c>
      <c r="B82" s="66">
        <v>0.42819983927162297</v>
      </c>
      <c r="C82" s="66">
        <v>3.6418518205773802</v>
      </c>
      <c r="D82" s="67">
        <v>1.01321362502898</v>
      </c>
      <c r="E82" s="67">
        <v>2.8932546499023699</v>
      </c>
      <c r="F82" s="67">
        <v>0.64283400108425404</v>
      </c>
      <c r="G82" s="67">
        <v>-4.6757979232506299</v>
      </c>
    </row>
    <row r="83" spans="1:7" x14ac:dyDescent="0.35">
      <c r="A83" s="65">
        <v>81</v>
      </c>
      <c r="B83" s="66">
        <v>-6.67532916198605</v>
      </c>
      <c r="C83" s="66">
        <v>-2.90497390909636</v>
      </c>
      <c r="D83" s="67">
        <v>1.45540494492464</v>
      </c>
      <c r="E83" s="67">
        <v>13.703745507333201</v>
      </c>
      <c r="F83" s="67">
        <v>5.8437115700413402</v>
      </c>
      <c r="G83" s="67">
        <v>3.9062775187905898</v>
      </c>
    </row>
    <row r="84" spans="1:7" x14ac:dyDescent="0.35">
      <c r="A84" s="65">
        <v>82</v>
      </c>
      <c r="B84" s="66">
        <v>8.2888137085120803</v>
      </c>
      <c r="C84" s="66">
        <v>1.2526094278019499</v>
      </c>
      <c r="D84" s="67">
        <v>2.7699400953435802</v>
      </c>
      <c r="E84" s="67">
        <v>8.9413191371350607</v>
      </c>
      <c r="F84" s="67">
        <v>-1.86788426831478</v>
      </c>
      <c r="G84" s="67">
        <v>1.38155526793422</v>
      </c>
    </row>
    <row r="85" spans="1:7" x14ac:dyDescent="0.35">
      <c r="A85" s="65">
        <v>83</v>
      </c>
      <c r="B85" s="66">
        <v>4.5706926329817801</v>
      </c>
      <c r="C85" s="66">
        <v>-11.089309923588999</v>
      </c>
      <c r="D85" s="67">
        <v>5.6691127868599498</v>
      </c>
      <c r="E85" s="67">
        <v>-3.7545004374856101</v>
      </c>
      <c r="F85" s="67">
        <v>3.5186452827852399</v>
      </c>
      <c r="G85" s="67">
        <v>1.3070238276475901</v>
      </c>
    </row>
    <row r="86" spans="1:7" x14ac:dyDescent="0.35">
      <c r="A86" s="65">
        <v>84</v>
      </c>
      <c r="B86" s="66">
        <v>6.6053961819877198</v>
      </c>
      <c r="C86" s="66">
        <v>-2.8889849041304601</v>
      </c>
      <c r="D86" s="67">
        <v>3.0235643290348899</v>
      </c>
      <c r="E86" s="67">
        <v>-2.7542820376472101</v>
      </c>
      <c r="F86" s="67">
        <v>-0.34597364810773001</v>
      </c>
      <c r="G86" s="67">
        <v>7.1617741639134502</v>
      </c>
    </row>
    <row r="87" spans="1:7" x14ac:dyDescent="0.35">
      <c r="A87" s="65">
        <v>85</v>
      </c>
      <c r="B87" s="66">
        <v>-9.3871960896611899</v>
      </c>
      <c r="C87" s="66">
        <v>4.3168431645396597</v>
      </c>
      <c r="D87" s="67">
        <v>23.908342273370501</v>
      </c>
      <c r="E87" s="67">
        <v>23.2766243468451</v>
      </c>
      <c r="F87" s="67">
        <v>-9.6488186324175498</v>
      </c>
      <c r="G87" s="67">
        <v>7.7008784213140604</v>
      </c>
    </row>
    <row r="88" spans="1:7" x14ac:dyDescent="0.35">
      <c r="A88" s="65">
        <v>86</v>
      </c>
      <c r="B88" s="66">
        <v>-0.672397881680311</v>
      </c>
      <c r="C88" s="66">
        <v>-2.07792089135748</v>
      </c>
      <c r="D88" s="67">
        <v>0.77082881188842001</v>
      </c>
      <c r="E88" s="67">
        <v>5.2988136832467099</v>
      </c>
      <c r="F88" s="67">
        <v>-12.7206083639201</v>
      </c>
      <c r="G88" s="67">
        <v>10.412840197949199</v>
      </c>
    </row>
    <row r="89" spans="1:7" x14ac:dyDescent="0.35">
      <c r="A89" s="65">
        <v>87</v>
      </c>
      <c r="B89" s="66">
        <v>-8.7510960814361898</v>
      </c>
      <c r="C89" s="66">
        <v>1.1619891619375</v>
      </c>
      <c r="D89" s="67">
        <v>2.6262282146661802</v>
      </c>
      <c r="E89" s="67">
        <v>-9.4680501009934108</v>
      </c>
      <c r="F89" s="67">
        <v>-12.0716241063258</v>
      </c>
      <c r="G89" s="67">
        <v>-0.127915976685294</v>
      </c>
    </row>
    <row r="90" spans="1:7" x14ac:dyDescent="0.35">
      <c r="A90" s="65">
        <v>88</v>
      </c>
      <c r="B90" s="66">
        <v>14.963966540984099</v>
      </c>
      <c r="C90" s="66">
        <v>10.532661098780601</v>
      </c>
      <c r="D90" s="67">
        <v>1.9583468021858199</v>
      </c>
      <c r="E90" s="67">
        <v>3.06934118457588</v>
      </c>
      <c r="F90" s="67">
        <v>-0.55044685238957503</v>
      </c>
      <c r="G90" s="67">
        <v>4.5607885363421996</v>
      </c>
    </row>
    <row r="91" spans="1:7" x14ac:dyDescent="0.35">
      <c r="A91" s="65">
        <v>89</v>
      </c>
      <c r="B91" s="66">
        <v>8.2859177586199895</v>
      </c>
      <c r="C91" s="66">
        <v>-3.99709185308516</v>
      </c>
      <c r="D91" s="67">
        <v>0.97563609466008305</v>
      </c>
      <c r="E91" s="67">
        <v>14.5352866862137</v>
      </c>
      <c r="F91" s="67">
        <v>-11.267982717408501</v>
      </c>
      <c r="G91" s="67">
        <v>-3.9780594776375602</v>
      </c>
    </row>
    <row r="92" spans="1:7" x14ac:dyDescent="0.35">
      <c r="A92" s="65">
        <v>90</v>
      </c>
      <c r="B92" s="66">
        <v>-10.882330953175201</v>
      </c>
      <c r="C92" s="66">
        <v>3.9918750577826998</v>
      </c>
      <c r="D92" s="67">
        <v>0.33968242581330199</v>
      </c>
      <c r="E92" s="67">
        <v>-4.2206486260365503</v>
      </c>
      <c r="F92" s="67">
        <v>-13.589069931607099</v>
      </c>
      <c r="G92" s="67">
        <v>1.6053805140233399</v>
      </c>
    </row>
    <row r="93" spans="1:7" x14ac:dyDescent="0.35">
      <c r="A93" s="65">
        <v>91</v>
      </c>
      <c r="B93" s="66">
        <v>-8.1982652018783408</v>
      </c>
      <c r="C93" s="66">
        <v>4.4196679582307601</v>
      </c>
      <c r="D93" s="67">
        <v>2.9112797648574902</v>
      </c>
      <c r="E93" s="67">
        <v>4.1072009151003801</v>
      </c>
      <c r="F93" s="67">
        <v>-7.4850059693305804</v>
      </c>
      <c r="G93" s="67">
        <v>-6.1207614633031397</v>
      </c>
    </row>
    <row r="94" spans="1:7" x14ac:dyDescent="0.35">
      <c r="A94" s="65">
        <v>92</v>
      </c>
      <c r="B94" s="66">
        <v>15.4749478663774</v>
      </c>
      <c r="C94" s="66">
        <v>8.0186156435039499E-2</v>
      </c>
      <c r="D94" s="67">
        <v>3.9191556184934702</v>
      </c>
      <c r="E94" s="67">
        <v>-12.401769823746999</v>
      </c>
      <c r="F94" s="67">
        <v>0.85707409505549403</v>
      </c>
      <c r="G94" s="67">
        <v>0.26935537009362798</v>
      </c>
    </row>
    <row r="95" spans="1:7" x14ac:dyDescent="0.35">
      <c r="A95" s="65">
        <v>93</v>
      </c>
      <c r="B95" s="66">
        <v>-5.1330524386938903</v>
      </c>
      <c r="C95" s="66">
        <v>-4.2053273463928997</v>
      </c>
      <c r="D95" s="67">
        <v>1.65721341318556</v>
      </c>
      <c r="E95" s="67">
        <v>-2.6180263033752902</v>
      </c>
      <c r="F95" s="67">
        <v>-2.8187240984524</v>
      </c>
      <c r="G95" s="67">
        <v>-1.09259225134381</v>
      </c>
    </row>
    <row r="96" spans="1:7" x14ac:dyDescent="0.35">
      <c r="A96" s="65">
        <v>94</v>
      </c>
      <c r="B96" s="66">
        <v>7.9378246712648197</v>
      </c>
      <c r="C96" s="66">
        <v>0.53321398923237096</v>
      </c>
      <c r="D96" s="67">
        <v>8.8941232576875695</v>
      </c>
      <c r="E96" s="67">
        <v>21.161068736786401</v>
      </c>
      <c r="F96" s="67">
        <v>6.6474259483264202</v>
      </c>
      <c r="G96" s="67">
        <v>3.8562744489175098</v>
      </c>
    </row>
    <row r="97" spans="1:7" x14ac:dyDescent="0.35">
      <c r="A97" s="65">
        <v>95</v>
      </c>
      <c r="B97" s="66">
        <v>2.4529801417332999</v>
      </c>
      <c r="C97" s="66">
        <v>-0.13566228288787499</v>
      </c>
      <c r="D97" s="67">
        <v>2.0580179661968301</v>
      </c>
      <c r="E97" s="67">
        <v>-7.7693388233334897</v>
      </c>
      <c r="F97" s="67">
        <v>-2.8067395689080401</v>
      </c>
      <c r="G97" s="67">
        <v>-1.9263293318276</v>
      </c>
    </row>
    <row r="98" spans="1:7" x14ac:dyDescent="0.35">
      <c r="A98" s="65">
        <v>96</v>
      </c>
      <c r="B98" s="66">
        <v>5.6806255265747598</v>
      </c>
      <c r="C98" s="66">
        <v>-7.0214378915086497</v>
      </c>
      <c r="D98" s="67">
        <v>0.89304753299144601</v>
      </c>
      <c r="E98" s="67">
        <v>11.5846046157221</v>
      </c>
      <c r="F98" s="67">
        <v>-4.9672960621508198</v>
      </c>
      <c r="G98" s="67">
        <v>7.0847762796059497</v>
      </c>
    </row>
    <row r="99" spans="1:7" x14ac:dyDescent="0.35">
      <c r="A99" s="65">
        <v>97</v>
      </c>
      <c r="B99" s="66">
        <v>-9.9389226887073399</v>
      </c>
      <c r="C99" s="66">
        <v>-1.1626252402164801</v>
      </c>
      <c r="D99" s="67">
        <v>1.46968818108357</v>
      </c>
      <c r="E99" s="67">
        <v>2.1404231314364202</v>
      </c>
      <c r="F99" s="67">
        <v>-23.830124062421099</v>
      </c>
      <c r="G99" s="67">
        <v>11.840665416695201</v>
      </c>
    </row>
    <row r="100" spans="1:7" x14ac:dyDescent="0.35">
      <c r="A100" s="65">
        <v>98</v>
      </c>
      <c r="B100" s="66">
        <v>4.67003129682052</v>
      </c>
      <c r="C100" s="66">
        <v>-1.4388471742793101</v>
      </c>
      <c r="D100" s="67">
        <v>5.5733515659431401</v>
      </c>
      <c r="E100" s="67">
        <v>9.5186850570537995</v>
      </c>
      <c r="F100" s="67">
        <v>11.3053199666005</v>
      </c>
      <c r="G100" s="67">
        <v>-2.1182682689424501</v>
      </c>
    </row>
    <row r="101" spans="1:7" x14ac:dyDescent="0.35">
      <c r="A101" s="65">
        <v>99</v>
      </c>
      <c r="B101" s="66">
        <v>-4.0354522111155102</v>
      </c>
      <c r="C101" s="66">
        <v>-6.1376236472068104</v>
      </c>
      <c r="D101" s="67">
        <v>3.57226450533134</v>
      </c>
      <c r="E101" s="67">
        <v>-7.9744666973452203</v>
      </c>
      <c r="F101" s="67">
        <v>8.7263511645246403</v>
      </c>
      <c r="G101" s="67">
        <v>-4.6616210579175501</v>
      </c>
    </row>
    <row r="102" spans="1:7" x14ac:dyDescent="0.35">
      <c r="A102" s="65">
        <v>100</v>
      </c>
      <c r="B102" s="66">
        <v>4.4653091209293203</v>
      </c>
      <c r="C102" s="66">
        <v>0.69619135066819504</v>
      </c>
      <c r="D102" s="67">
        <v>7.0187482749256196</v>
      </c>
      <c r="E102" s="67">
        <v>2.4261948010337799</v>
      </c>
      <c r="F102" s="67">
        <v>-10.329649455156799</v>
      </c>
      <c r="G102" s="67">
        <v>-3.83620355067873</v>
      </c>
    </row>
    <row r="103" spans="1:7" x14ac:dyDescent="0.35">
      <c r="A103" s="65">
        <v>101</v>
      </c>
      <c r="B103" s="66">
        <v>-4.5467714550657696</v>
      </c>
      <c r="C103" s="66">
        <v>2.3402840127289299</v>
      </c>
      <c r="D103" s="67">
        <v>1.35336410557536</v>
      </c>
      <c r="E103" s="67">
        <v>11.4958709026526</v>
      </c>
      <c r="F103" s="67">
        <v>0.77486891949176395</v>
      </c>
      <c r="G103" s="67">
        <v>-6.7920052527139703</v>
      </c>
    </row>
    <row r="104" spans="1:7" x14ac:dyDescent="0.35">
      <c r="A104" s="65">
        <v>102</v>
      </c>
      <c r="B104" s="66">
        <v>1.6876907304544999</v>
      </c>
      <c r="C104" s="66">
        <v>-0.23189296861790901</v>
      </c>
      <c r="D104" s="67">
        <v>4.57115021508152</v>
      </c>
      <c r="E104" s="67">
        <v>-24.8153291157467</v>
      </c>
      <c r="F104" s="67">
        <v>-2.6299234178434201</v>
      </c>
      <c r="G104" s="67">
        <v>0.85826279061453803</v>
      </c>
    </row>
    <row r="105" spans="1:7" x14ac:dyDescent="0.35">
      <c r="A105" s="65">
        <v>103</v>
      </c>
      <c r="B105" s="66">
        <v>4.6337500871992798</v>
      </c>
      <c r="C105" s="66">
        <v>4.2402891368098503</v>
      </c>
      <c r="D105" s="67">
        <v>2.7102326582005398</v>
      </c>
      <c r="E105" s="67">
        <v>5.2367648093662202</v>
      </c>
      <c r="F105" s="67">
        <v>-4.3071820601212298</v>
      </c>
      <c r="G105" s="67">
        <v>10.5992542643316</v>
      </c>
    </row>
    <row r="106" spans="1:7" x14ac:dyDescent="0.35">
      <c r="A106" s="65">
        <v>104</v>
      </c>
      <c r="B106" s="66">
        <v>1.0147708099525801</v>
      </c>
      <c r="C106" s="66">
        <v>6.86779844266123</v>
      </c>
      <c r="D106" s="67">
        <v>0.62471832850738196</v>
      </c>
      <c r="E106" s="67">
        <v>7.2305054150201702</v>
      </c>
      <c r="F106" s="67">
        <v>-8.6244767712436996</v>
      </c>
      <c r="G106" s="67">
        <v>-2.3436606877603499</v>
      </c>
    </row>
    <row r="107" spans="1:7" x14ac:dyDescent="0.35">
      <c r="A107" s="65">
        <v>105</v>
      </c>
      <c r="B107" s="66">
        <v>1.6399085883387801</v>
      </c>
      <c r="C107" s="66">
        <v>3.5337373280289501</v>
      </c>
      <c r="D107" s="67">
        <v>5.9861048637921499</v>
      </c>
      <c r="E107" s="67">
        <v>-4.4022715886516197</v>
      </c>
      <c r="F107" s="67">
        <v>12.298009578295799</v>
      </c>
      <c r="G107" s="67">
        <v>7.1422017561537796</v>
      </c>
    </row>
    <row r="108" spans="1:7" x14ac:dyDescent="0.35">
      <c r="A108" s="65">
        <v>106</v>
      </c>
      <c r="B108" s="66">
        <v>-11.968341088834601</v>
      </c>
      <c r="C108" s="66">
        <v>-5.3380367763891101</v>
      </c>
      <c r="D108" s="67">
        <v>2.82989205154185</v>
      </c>
      <c r="E108" s="67">
        <v>8.9067952529404106</v>
      </c>
      <c r="F108" s="67">
        <v>-7.0389396387301204</v>
      </c>
      <c r="G108" s="67">
        <v>3.36196076256287</v>
      </c>
    </row>
    <row r="109" spans="1:7" x14ac:dyDescent="0.35">
      <c r="A109" s="65">
        <v>107</v>
      </c>
      <c r="B109" s="66">
        <v>-1.26783488047963</v>
      </c>
      <c r="C109" s="66">
        <v>-2.6365130077865802</v>
      </c>
      <c r="D109" s="67">
        <v>0.37392527194898201</v>
      </c>
      <c r="E109" s="67">
        <v>5.6992153014584002</v>
      </c>
      <c r="F109" s="67">
        <v>5.9736045973743304</v>
      </c>
      <c r="G109" s="67">
        <v>7.5942570929678999</v>
      </c>
    </row>
    <row r="110" spans="1:7" x14ac:dyDescent="0.35">
      <c r="A110" s="65">
        <v>108</v>
      </c>
      <c r="B110" s="66">
        <v>-2.4411190413133701</v>
      </c>
      <c r="C110" s="66">
        <v>0.26402949772857698</v>
      </c>
      <c r="D110" s="67">
        <v>0.47457434865776099</v>
      </c>
      <c r="E110" s="67">
        <v>0.60704768379882801</v>
      </c>
      <c r="F110" s="67">
        <v>11.6499782961153</v>
      </c>
      <c r="G110" s="67">
        <v>10.7029720328644</v>
      </c>
    </row>
    <row r="111" spans="1:7" x14ac:dyDescent="0.35">
      <c r="A111" s="65">
        <v>109</v>
      </c>
      <c r="B111" s="66">
        <v>-7.7467546254507296</v>
      </c>
      <c r="C111" s="66">
        <v>-8.4148605304325805</v>
      </c>
      <c r="D111" s="67">
        <v>1.4624455988062901</v>
      </c>
      <c r="E111" s="67">
        <v>-23.1176470234305</v>
      </c>
      <c r="F111" s="67">
        <v>-7.0859349094325097</v>
      </c>
      <c r="G111" s="67">
        <v>1.7125576718817801</v>
      </c>
    </row>
    <row r="112" spans="1:7" x14ac:dyDescent="0.35">
      <c r="A112" s="65">
        <v>110</v>
      </c>
      <c r="B112" s="66">
        <v>-3.06239325389142</v>
      </c>
      <c r="C112" s="66">
        <v>-2.7319249165396999</v>
      </c>
      <c r="D112" s="67">
        <v>2.3110933701019101</v>
      </c>
      <c r="E112" s="67">
        <v>-23.533969611260499</v>
      </c>
      <c r="F112" s="67">
        <v>5.2786452367729604</v>
      </c>
      <c r="G112" s="67">
        <v>12.3536926111565</v>
      </c>
    </row>
    <row r="113" spans="1:7" x14ac:dyDescent="0.35">
      <c r="A113" s="65">
        <v>111</v>
      </c>
      <c r="B113" s="66">
        <v>11.7845965379663</v>
      </c>
      <c r="C113" s="66">
        <v>0.11805378203490501</v>
      </c>
      <c r="D113" s="67">
        <v>0.95638327832269698</v>
      </c>
      <c r="E113" s="67">
        <v>6.0092578068304601</v>
      </c>
      <c r="F113" s="67">
        <v>3.0491430369295101</v>
      </c>
      <c r="G113" s="67">
        <v>-4.8473562251348703</v>
      </c>
    </row>
    <row r="114" spans="1:7" x14ac:dyDescent="0.35">
      <c r="A114" s="65">
        <v>112</v>
      </c>
      <c r="B114" s="66">
        <v>-5.5588717937200798</v>
      </c>
      <c r="C114" s="66">
        <v>-9.8735910862724694</v>
      </c>
      <c r="D114" s="67">
        <v>8.0396138698154793</v>
      </c>
      <c r="E114" s="67">
        <v>-20.698123716894099</v>
      </c>
      <c r="F114" s="67">
        <v>20.376447178751398</v>
      </c>
      <c r="G114" s="67">
        <v>1.3775663103399201</v>
      </c>
    </row>
    <row r="115" spans="1:7" x14ac:dyDescent="0.35">
      <c r="A115" s="65">
        <v>113</v>
      </c>
      <c r="B115" s="66">
        <v>8.2024858400148606</v>
      </c>
      <c r="C115" s="66">
        <v>6.5532668041945499</v>
      </c>
      <c r="D115" s="67">
        <v>5.6857681215717104</v>
      </c>
      <c r="E115" s="67">
        <v>-13.4787473200397</v>
      </c>
      <c r="F115" s="67">
        <v>-3.9919211898159301</v>
      </c>
      <c r="G115" s="67">
        <v>3.6963527423841098</v>
      </c>
    </row>
    <row r="116" spans="1:7" x14ac:dyDescent="0.35">
      <c r="A116" s="65">
        <v>114</v>
      </c>
      <c r="B116" s="66">
        <v>6.0237641731066898</v>
      </c>
      <c r="C116" s="66">
        <v>-1.1687285276718999</v>
      </c>
      <c r="D116" s="67">
        <v>1.97839136639629</v>
      </c>
      <c r="E116" s="67">
        <v>-19.627303825167701</v>
      </c>
      <c r="F116" s="67">
        <v>18.688211291056199</v>
      </c>
      <c r="G116" s="67">
        <v>-2.7826411361884098</v>
      </c>
    </row>
    <row r="117" spans="1:7" x14ac:dyDescent="0.35">
      <c r="A117" s="65">
        <v>115</v>
      </c>
      <c r="B117" s="66">
        <v>12.417743415718499</v>
      </c>
      <c r="C117" s="66">
        <v>-2.0188548464185798</v>
      </c>
      <c r="D117" s="67">
        <v>0.35212111216321501</v>
      </c>
      <c r="E117" s="67">
        <v>17.014021149530802</v>
      </c>
      <c r="F117" s="67">
        <v>11.789690324299</v>
      </c>
      <c r="G117" s="67">
        <v>-1.5365549427509599</v>
      </c>
    </row>
    <row r="118" spans="1:7" x14ac:dyDescent="0.35">
      <c r="A118" s="65">
        <v>116</v>
      </c>
      <c r="B118" s="66">
        <v>13.2858196339406</v>
      </c>
      <c r="C118" s="66">
        <v>-2.8350399956883301</v>
      </c>
      <c r="D118" s="67">
        <v>0.80427913555716901</v>
      </c>
      <c r="E118" s="67">
        <v>2.0942477092832901</v>
      </c>
      <c r="F118" s="67">
        <v>-10.0055531135237</v>
      </c>
      <c r="G118" s="67">
        <v>8.0262392848787698</v>
      </c>
    </row>
    <row r="119" spans="1:7" x14ac:dyDescent="0.35">
      <c r="A119" s="65">
        <v>117</v>
      </c>
      <c r="B119" s="66">
        <v>-4.7706106272015099</v>
      </c>
      <c r="C119" s="66">
        <v>-10.620869102541</v>
      </c>
      <c r="D119" s="67">
        <v>0.63047476408008696</v>
      </c>
      <c r="E119" s="67">
        <v>13.94864648149</v>
      </c>
      <c r="F119" s="67">
        <v>-3.2179848298365799</v>
      </c>
      <c r="G119" s="67">
        <v>-10.8635918640648</v>
      </c>
    </row>
    <row r="120" spans="1:7" x14ac:dyDescent="0.35">
      <c r="A120" s="65">
        <v>118</v>
      </c>
      <c r="B120" s="66">
        <v>-6.8638338506490104</v>
      </c>
      <c r="C120" s="66">
        <v>0.18097010128399399</v>
      </c>
      <c r="D120" s="67">
        <v>0.74809338285980898</v>
      </c>
      <c r="E120" s="67">
        <v>1.11652059887921</v>
      </c>
      <c r="F120" s="67">
        <v>-3.75526570005281</v>
      </c>
      <c r="G120" s="67">
        <v>2.8403809659541301</v>
      </c>
    </row>
    <row r="121" spans="1:7" x14ac:dyDescent="0.35">
      <c r="A121" s="65">
        <v>119</v>
      </c>
      <c r="B121" s="66">
        <v>5.4159155533204402</v>
      </c>
      <c r="C121" s="66">
        <v>-7.7639708611407601</v>
      </c>
      <c r="D121" s="67">
        <v>1.9323539649767101</v>
      </c>
      <c r="E121" s="67">
        <v>6.2894933302786802</v>
      </c>
      <c r="F121" s="67">
        <v>-8.7258246882231596</v>
      </c>
      <c r="G121" s="67">
        <v>6.6557500392384501</v>
      </c>
    </row>
    <row r="122" spans="1:7" x14ac:dyDescent="0.35">
      <c r="A122" s="65">
        <v>120</v>
      </c>
      <c r="B122" s="66">
        <v>7.8387844046011903</v>
      </c>
      <c r="C122" s="66">
        <v>3.36600499048525</v>
      </c>
      <c r="D122" s="67">
        <v>3.08798636746954</v>
      </c>
      <c r="E122" s="67">
        <v>13.663470390796199</v>
      </c>
      <c r="F122" s="67">
        <v>-12.147565640611599</v>
      </c>
      <c r="G122" s="67">
        <v>5.0791779409827598</v>
      </c>
    </row>
    <row r="123" spans="1:7" x14ac:dyDescent="0.35">
      <c r="A123" s="65">
        <v>121</v>
      </c>
      <c r="B123" s="66">
        <v>0.44085632879050501</v>
      </c>
      <c r="C123" s="66">
        <v>1.2879034631206201</v>
      </c>
      <c r="D123" s="67">
        <v>2.5343796794625302</v>
      </c>
      <c r="E123" s="67">
        <v>18.066113044807899</v>
      </c>
      <c r="F123" s="67">
        <v>-23.225317035423</v>
      </c>
      <c r="G123" s="67">
        <v>-0.54884803730811504</v>
      </c>
    </row>
    <row r="124" spans="1:7" x14ac:dyDescent="0.35">
      <c r="A124" s="65">
        <v>122</v>
      </c>
      <c r="B124" s="66">
        <v>5.3480766102775501</v>
      </c>
      <c r="C124" s="66">
        <v>-3.2433824244866298</v>
      </c>
      <c r="D124" s="67">
        <v>1.12978094633401</v>
      </c>
      <c r="E124" s="67">
        <v>-4.56523896072461</v>
      </c>
      <c r="F124" s="67">
        <v>4.1230345775220298</v>
      </c>
      <c r="G124" s="67">
        <v>2.3099805352107099</v>
      </c>
    </row>
    <row r="125" spans="1:7" x14ac:dyDescent="0.35">
      <c r="A125" s="65">
        <v>123</v>
      </c>
      <c r="B125" s="66">
        <v>0.23259277932831199</v>
      </c>
      <c r="C125" s="66">
        <v>6.0839305706322797</v>
      </c>
      <c r="D125" s="67">
        <v>4.3916629369521498</v>
      </c>
      <c r="E125" s="67">
        <v>-23.847704752197298</v>
      </c>
      <c r="F125" s="67">
        <v>2.6643035908361301</v>
      </c>
      <c r="G125" s="67">
        <v>3.3460763516281302</v>
      </c>
    </row>
    <row r="126" spans="1:7" x14ac:dyDescent="0.35">
      <c r="A126" s="65">
        <v>124</v>
      </c>
      <c r="B126" s="66">
        <v>3.57368784415601</v>
      </c>
      <c r="C126" s="66">
        <v>5.06227085350561</v>
      </c>
      <c r="D126" s="67">
        <v>0.34922592522318902</v>
      </c>
      <c r="E126" s="67">
        <v>-12.610694126399</v>
      </c>
      <c r="F126" s="67">
        <v>-19.1410807340175</v>
      </c>
      <c r="G126" s="67">
        <v>3.25466067608291</v>
      </c>
    </row>
    <row r="127" spans="1:7" x14ac:dyDescent="0.35">
      <c r="A127" s="65">
        <v>125</v>
      </c>
      <c r="B127" s="66">
        <v>-0.96587551477547096</v>
      </c>
      <c r="C127" s="66">
        <v>5.2378633006199999</v>
      </c>
      <c r="D127" s="67">
        <v>2.5186898660699599</v>
      </c>
      <c r="E127" s="67">
        <v>-20.540898503914701</v>
      </c>
      <c r="F127" s="67">
        <v>-13.5843431327951</v>
      </c>
      <c r="G127" s="67">
        <v>4.8548834875642903</v>
      </c>
    </row>
    <row r="128" spans="1:7" x14ac:dyDescent="0.35">
      <c r="A128" s="65">
        <v>126</v>
      </c>
      <c r="B128" s="66">
        <v>5.27429253348385</v>
      </c>
      <c r="C128" s="66">
        <v>-2.4993264516743099</v>
      </c>
      <c r="D128" s="67">
        <v>3.1322366233915</v>
      </c>
      <c r="E128" s="67">
        <v>-12.656607711311199</v>
      </c>
      <c r="F128" s="67">
        <v>5.8604903693811403</v>
      </c>
      <c r="G128" s="67">
        <v>-7.0047034974400404</v>
      </c>
    </row>
    <row r="129" spans="1:7" x14ac:dyDescent="0.35">
      <c r="A129" s="65">
        <v>127</v>
      </c>
      <c r="B129" s="66">
        <v>12.568419274438501</v>
      </c>
      <c r="C129" s="66">
        <v>-2.2780082399906498</v>
      </c>
      <c r="D129" s="67">
        <v>4.9036894260331803</v>
      </c>
      <c r="E129" s="67">
        <v>-25.3066278668494</v>
      </c>
      <c r="F129" s="67">
        <v>-4.6716304979850296</v>
      </c>
      <c r="G129" s="67">
        <v>3.7717105511758402</v>
      </c>
    </row>
    <row r="130" spans="1:7" x14ac:dyDescent="0.35">
      <c r="A130" s="65">
        <v>128</v>
      </c>
      <c r="B130" s="66">
        <v>-7.5780118644970296</v>
      </c>
      <c r="C130" s="66">
        <v>0.41706512122049899</v>
      </c>
      <c r="D130" s="67">
        <v>0.56717298137523398</v>
      </c>
      <c r="E130" s="67">
        <v>2.9821870803992998</v>
      </c>
      <c r="F130" s="67">
        <v>2.41527719606465</v>
      </c>
      <c r="G130" s="67">
        <v>-8.6396457119678498</v>
      </c>
    </row>
    <row r="131" spans="1:7" x14ac:dyDescent="0.35">
      <c r="A131" s="65">
        <v>129</v>
      </c>
      <c r="B131" s="66">
        <v>0.43005852520231802</v>
      </c>
      <c r="C131" s="66">
        <v>-4.5100985409764602</v>
      </c>
      <c r="D131" s="67">
        <v>0.48109203173882997</v>
      </c>
      <c r="E131" s="67">
        <v>-5.4726502691089101</v>
      </c>
      <c r="F131" s="67">
        <v>-3.43806911402993</v>
      </c>
      <c r="G131" s="67">
        <v>2.0952648706841202</v>
      </c>
    </row>
    <row r="132" spans="1:7" x14ac:dyDescent="0.35">
      <c r="A132" s="65">
        <v>130</v>
      </c>
      <c r="B132" s="66">
        <v>3.2999067797022201</v>
      </c>
      <c r="C132" s="66">
        <v>8.9644414744318208</v>
      </c>
      <c r="D132" s="67">
        <v>2.2255228816542498</v>
      </c>
      <c r="E132" s="67">
        <v>-9.0461189307426597</v>
      </c>
      <c r="F132" s="67">
        <v>3.36837942312359</v>
      </c>
      <c r="G132" s="67">
        <v>7.8946846103315398</v>
      </c>
    </row>
    <row r="133" spans="1:7" x14ac:dyDescent="0.35">
      <c r="A133" s="65">
        <v>131</v>
      </c>
      <c r="B133" s="66">
        <v>-13.855399004474</v>
      </c>
      <c r="C133" s="66">
        <v>1.52520309607556</v>
      </c>
      <c r="D133" s="67">
        <v>0.63185795007768797</v>
      </c>
      <c r="E133" s="67">
        <v>-13.945952453634201</v>
      </c>
      <c r="F133" s="67">
        <v>10.6162641375725</v>
      </c>
      <c r="G133" s="67">
        <v>3.9836746041451399</v>
      </c>
    </row>
    <row r="134" spans="1:7" x14ac:dyDescent="0.35">
      <c r="A134" s="65">
        <v>132</v>
      </c>
      <c r="B134" s="66">
        <v>-14.3433887604647</v>
      </c>
      <c r="C134" s="66">
        <v>1.6970818967824699</v>
      </c>
      <c r="D134" s="67">
        <v>8.0007876097423996</v>
      </c>
      <c r="E134" s="67">
        <v>-28.136818563198801</v>
      </c>
      <c r="F134" s="67">
        <v>-10.9244704375725</v>
      </c>
      <c r="G134" s="67">
        <v>3.8871553607417</v>
      </c>
    </row>
    <row r="135" spans="1:7" x14ac:dyDescent="0.35">
      <c r="A135" s="65">
        <v>133</v>
      </c>
      <c r="B135" s="66">
        <v>-1.1024410311161199</v>
      </c>
      <c r="C135" s="66">
        <v>-0.96101427736367095</v>
      </c>
      <c r="D135" s="67">
        <v>2.8595974865025102</v>
      </c>
      <c r="E135" s="67">
        <v>1.8508033810075499</v>
      </c>
      <c r="F135" s="67">
        <v>16.9873000368319</v>
      </c>
      <c r="G135" s="67">
        <v>1.24820871537321</v>
      </c>
    </row>
    <row r="136" spans="1:7" x14ac:dyDescent="0.35">
      <c r="A136" s="65">
        <v>134</v>
      </c>
      <c r="B136" s="66">
        <v>-12.7438327685805</v>
      </c>
      <c r="C136" s="66">
        <v>9.2837011455452707</v>
      </c>
      <c r="D136" s="67">
        <v>5.4241152728511004</v>
      </c>
      <c r="E136" s="67">
        <v>-1.26474163646775</v>
      </c>
      <c r="F136" s="67">
        <v>-3.49295035785312</v>
      </c>
      <c r="G136" s="67">
        <v>7.2255696322015002</v>
      </c>
    </row>
    <row r="137" spans="1:7" x14ac:dyDescent="0.35">
      <c r="A137" s="65">
        <v>135</v>
      </c>
      <c r="B137" s="66">
        <v>-5.56793287920617</v>
      </c>
      <c r="C137" s="66">
        <v>-1.91100490728468</v>
      </c>
      <c r="D137" s="67">
        <v>1.98952377138086</v>
      </c>
      <c r="E137" s="67">
        <v>-18.399708198943699</v>
      </c>
      <c r="F137" s="67">
        <v>-3.84487392909117</v>
      </c>
      <c r="G137" s="67">
        <v>-8.0861011204104898</v>
      </c>
    </row>
    <row r="138" spans="1:7" x14ac:dyDescent="0.35">
      <c r="A138" s="65">
        <v>136</v>
      </c>
      <c r="B138" s="66">
        <v>17.1851785011125</v>
      </c>
      <c r="C138" s="66">
        <v>0.46171444891498897</v>
      </c>
      <c r="D138" s="67">
        <v>3.9084611571445902</v>
      </c>
      <c r="E138" s="67">
        <v>5.4181878151223701</v>
      </c>
      <c r="F138" s="67">
        <v>1.5470812550452899</v>
      </c>
      <c r="G138" s="67">
        <v>-0.104536212522678</v>
      </c>
    </row>
    <row r="139" spans="1:7" x14ac:dyDescent="0.35">
      <c r="A139" s="65">
        <v>137</v>
      </c>
      <c r="B139" s="66">
        <v>-1.56745311060757</v>
      </c>
      <c r="C139" s="66">
        <v>2.0914150281214301</v>
      </c>
      <c r="D139" s="67">
        <v>3.4196259406445599</v>
      </c>
      <c r="E139" s="67">
        <v>-4.02206140132221</v>
      </c>
      <c r="F139" s="67">
        <v>-6.3831129330044902</v>
      </c>
      <c r="G139" s="67">
        <v>18.9795356282577</v>
      </c>
    </row>
    <row r="140" spans="1:7" x14ac:dyDescent="0.35">
      <c r="A140" s="65">
        <v>138</v>
      </c>
      <c r="B140" s="66">
        <v>-2.1221773408767799</v>
      </c>
      <c r="C140" s="66">
        <v>1.0917039684497101</v>
      </c>
      <c r="D140" s="67">
        <v>0.36539685354630702</v>
      </c>
      <c r="E140" s="67">
        <v>-10.999032781264701</v>
      </c>
      <c r="F140" s="67">
        <v>-2.7392435748833401</v>
      </c>
      <c r="G140" s="67">
        <v>0.96036083261446603</v>
      </c>
    </row>
    <row r="141" spans="1:7" x14ac:dyDescent="0.35">
      <c r="A141" s="65">
        <v>139</v>
      </c>
      <c r="B141" s="66">
        <v>6.55031423632105</v>
      </c>
      <c r="C141" s="66">
        <v>0.64661685636573896</v>
      </c>
      <c r="D141" s="67">
        <v>13.322725596834699</v>
      </c>
      <c r="E141" s="67">
        <v>15.257917969332199</v>
      </c>
      <c r="F141" s="67">
        <v>3.5770098045831298</v>
      </c>
      <c r="G141" s="67">
        <v>3.6718360716390301</v>
      </c>
    </row>
    <row r="142" spans="1:7" x14ac:dyDescent="0.35">
      <c r="A142" s="65">
        <v>140</v>
      </c>
      <c r="B142" s="66">
        <v>1.18049500445082</v>
      </c>
      <c r="C142" s="66">
        <v>-9.4463929784741794</v>
      </c>
      <c r="D142" s="67">
        <v>1.40838298664296</v>
      </c>
      <c r="E142" s="67">
        <v>-9.8684247236094205</v>
      </c>
      <c r="F142" s="67">
        <v>14.5562039332255</v>
      </c>
      <c r="G142" s="67">
        <v>3.31868749317767</v>
      </c>
    </row>
    <row r="143" spans="1:7" x14ac:dyDescent="0.35">
      <c r="A143" s="65">
        <v>141</v>
      </c>
      <c r="B143" s="66">
        <v>14.723604671092501</v>
      </c>
      <c r="C143" s="66">
        <v>0.68320729396298396</v>
      </c>
      <c r="D143" s="67">
        <v>5.9001923466105097</v>
      </c>
      <c r="E143" s="67">
        <v>-12.466604752300601</v>
      </c>
      <c r="F143" s="67">
        <v>-10.661435693168199</v>
      </c>
      <c r="G143" s="67">
        <v>3.4359212857164598</v>
      </c>
    </row>
    <row r="144" spans="1:7" x14ac:dyDescent="0.35">
      <c r="A144" s="65">
        <v>142</v>
      </c>
      <c r="B144" s="66">
        <v>26.1622931134204</v>
      </c>
      <c r="C144" s="66">
        <v>2.8101866658426502</v>
      </c>
      <c r="D144" s="67">
        <v>0.60372556735549998</v>
      </c>
      <c r="E144" s="67">
        <v>-7.5981920635329896</v>
      </c>
      <c r="F144" s="67">
        <v>-1.1297795506466899</v>
      </c>
      <c r="G144" s="67">
        <v>6.0526126314304101</v>
      </c>
    </row>
    <row r="145" spans="1:7" x14ac:dyDescent="0.35">
      <c r="A145" s="65">
        <v>143</v>
      </c>
      <c r="B145" s="66">
        <v>-4.6336280296242798</v>
      </c>
      <c r="C145" s="66">
        <v>-4.7484689595188199</v>
      </c>
      <c r="D145" s="67">
        <v>4.3311975749907896</v>
      </c>
      <c r="E145" s="67">
        <v>-1.9371800772824299</v>
      </c>
      <c r="F145" s="67">
        <v>-10.4192973011987</v>
      </c>
      <c r="G145" s="67">
        <v>16.540528287294698</v>
      </c>
    </row>
    <row r="146" spans="1:7" x14ac:dyDescent="0.35">
      <c r="A146" s="65">
        <v>144</v>
      </c>
      <c r="B146" s="66">
        <v>4.8767178415003203</v>
      </c>
      <c r="C146" s="66">
        <v>5.0045446912301399</v>
      </c>
      <c r="D146" s="67">
        <v>1.06470440761115</v>
      </c>
      <c r="E146" s="67">
        <v>4.3334216635702898</v>
      </c>
      <c r="F146" s="67">
        <v>-14.2435859426473</v>
      </c>
      <c r="G146" s="67">
        <v>5.3193856906350101</v>
      </c>
    </row>
    <row r="147" spans="1:7" x14ac:dyDescent="0.35">
      <c r="A147" s="65">
        <v>145</v>
      </c>
      <c r="B147" s="66">
        <v>26.869947798731499</v>
      </c>
      <c r="C147" s="66">
        <v>-7.6949786114205203</v>
      </c>
      <c r="D147" s="67">
        <v>10.971224930515</v>
      </c>
      <c r="E147" s="67">
        <v>-12.754129541939299</v>
      </c>
      <c r="F147" s="67">
        <v>7.5360162232972003</v>
      </c>
      <c r="G147" s="67">
        <v>1.17333723877094</v>
      </c>
    </row>
    <row r="148" spans="1:7" x14ac:dyDescent="0.35">
      <c r="A148" s="65">
        <v>146</v>
      </c>
      <c r="B148" s="66">
        <v>-17.7967245792005</v>
      </c>
      <c r="C148" s="66">
        <v>0.65516289072359002</v>
      </c>
      <c r="D148" s="67">
        <v>1.52021773932478</v>
      </c>
      <c r="E148" s="67">
        <v>-13.9306208849071</v>
      </c>
      <c r="F148" s="67">
        <v>7.9189284455431403</v>
      </c>
      <c r="G148" s="67">
        <v>-2.4275773689129201</v>
      </c>
    </row>
    <row r="149" spans="1:7" x14ac:dyDescent="0.35">
      <c r="A149" s="65">
        <v>147</v>
      </c>
      <c r="B149" s="66">
        <v>-4.1116712575513104</v>
      </c>
      <c r="C149" s="66">
        <v>-9.3610477516405197</v>
      </c>
      <c r="D149" s="67">
        <v>8.6944685549982008</v>
      </c>
      <c r="E149" s="67">
        <v>10.744345036162301</v>
      </c>
      <c r="F149" s="67">
        <v>2.6313354080568199</v>
      </c>
      <c r="G149" s="67">
        <v>-8.25190194436491</v>
      </c>
    </row>
    <row r="150" spans="1:7" x14ac:dyDescent="0.35">
      <c r="A150" s="65">
        <v>148</v>
      </c>
      <c r="B150" s="66">
        <v>8.0034270038340303</v>
      </c>
      <c r="C150" s="66">
        <v>9.5250647257335803</v>
      </c>
      <c r="D150" s="67">
        <v>3.1265310774081101</v>
      </c>
      <c r="E150" s="67">
        <v>-13.6417079489588</v>
      </c>
      <c r="F150" s="67">
        <v>-2.3985382083943501</v>
      </c>
      <c r="G150" s="67">
        <v>-2.3409425126571599</v>
      </c>
    </row>
    <row r="151" spans="1:7" x14ac:dyDescent="0.35">
      <c r="A151" s="65">
        <v>149</v>
      </c>
      <c r="B151" s="66">
        <v>3.3259960667750601</v>
      </c>
      <c r="C151" s="66">
        <v>-6.4717509341804096</v>
      </c>
      <c r="D151" s="67">
        <v>1.62101995254944</v>
      </c>
      <c r="E151" s="67">
        <v>15.048713556236001</v>
      </c>
      <c r="F151" s="67">
        <v>29.3099153477011</v>
      </c>
      <c r="G151" s="67">
        <v>0.39259702183929701</v>
      </c>
    </row>
    <row r="152" spans="1:7" x14ac:dyDescent="0.35">
      <c r="A152" s="65">
        <v>150</v>
      </c>
      <c r="B152" s="66">
        <v>-1.28965928161424</v>
      </c>
      <c r="C152" s="66">
        <v>2.1062564310598102</v>
      </c>
      <c r="D152" s="67">
        <v>1.0340755029418101</v>
      </c>
      <c r="E152" s="67">
        <v>-22.2788954391328</v>
      </c>
      <c r="F152" s="67">
        <v>2.1841080188069601</v>
      </c>
      <c r="G152" s="67">
        <v>11.5440381485964</v>
      </c>
    </row>
    <row r="153" spans="1:7" x14ac:dyDescent="0.35">
      <c r="A153" s="65">
        <v>151</v>
      </c>
      <c r="B153" s="66">
        <v>-13.1723132948679</v>
      </c>
      <c r="C153" s="66">
        <v>2.9709667171221699</v>
      </c>
      <c r="D153" s="67">
        <v>3.9613423867748598</v>
      </c>
      <c r="E153" s="67">
        <v>24.020968689183</v>
      </c>
      <c r="F153" s="67">
        <v>2.1093075760231899</v>
      </c>
      <c r="G153" s="67">
        <v>3.5477035361084002</v>
      </c>
    </row>
    <row r="154" spans="1:7" x14ac:dyDescent="0.35">
      <c r="A154" s="65">
        <v>152</v>
      </c>
      <c r="B154" s="66">
        <v>2.1535882039443202</v>
      </c>
      <c r="C154" s="66">
        <v>-2.87689353140913</v>
      </c>
      <c r="D154" s="67">
        <v>10.9681948087492</v>
      </c>
      <c r="E154" s="67">
        <v>-15.3113055375911</v>
      </c>
      <c r="F154" s="67">
        <v>-2.08902204137611</v>
      </c>
      <c r="G154" s="67">
        <v>-3.9086595798210499</v>
      </c>
    </row>
    <row r="155" spans="1:7" x14ac:dyDescent="0.35">
      <c r="A155" s="65">
        <v>153</v>
      </c>
      <c r="B155" s="66">
        <v>-19.5128008809343</v>
      </c>
      <c r="C155" s="66">
        <v>12.101472788686101</v>
      </c>
      <c r="D155" s="67">
        <v>3.0720474188879101</v>
      </c>
      <c r="E155" s="67">
        <v>17.867658779506101</v>
      </c>
      <c r="F155" s="67">
        <v>-12.948988184897299</v>
      </c>
      <c r="G155" s="67">
        <v>-5.5681662686877402</v>
      </c>
    </row>
    <row r="156" spans="1:7" x14ac:dyDescent="0.35">
      <c r="A156" s="65">
        <v>154</v>
      </c>
      <c r="B156" s="66">
        <v>-9.1133692455825894</v>
      </c>
      <c r="C156" s="66">
        <v>-3.3650473459211598</v>
      </c>
      <c r="D156" s="67">
        <v>8.2083200314138995</v>
      </c>
      <c r="E156" s="67">
        <v>-11.401370311277599</v>
      </c>
      <c r="F156" s="67">
        <v>8.8879638842524695</v>
      </c>
      <c r="G156" s="67">
        <v>-5.2610936143157501</v>
      </c>
    </row>
    <row r="157" spans="1:7" x14ac:dyDescent="0.35">
      <c r="A157" s="65">
        <v>155</v>
      </c>
      <c r="B157" s="66">
        <v>-4.8518261722000497</v>
      </c>
      <c r="C157" s="66">
        <v>6.2569986326017402</v>
      </c>
      <c r="D157" s="67">
        <v>0.65213368159087803</v>
      </c>
      <c r="E157" s="67">
        <v>-18.146498295157802</v>
      </c>
      <c r="F157" s="67">
        <v>2.4392850574171101</v>
      </c>
      <c r="G157" s="67">
        <v>-1.10846645465806</v>
      </c>
    </row>
    <row r="158" spans="1:7" x14ac:dyDescent="0.35">
      <c r="A158" s="65">
        <v>156</v>
      </c>
      <c r="B158" s="66">
        <v>7.34103975371863</v>
      </c>
      <c r="C158" s="66">
        <v>1.65893388946598</v>
      </c>
      <c r="D158" s="67">
        <v>7.4122566273597803</v>
      </c>
      <c r="E158" s="67">
        <v>-10.7308105691157</v>
      </c>
      <c r="F158" s="67">
        <v>6.6400523204370296</v>
      </c>
      <c r="G158" s="67">
        <v>-12.1801861606142</v>
      </c>
    </row>
    <row r="159" spans="1:7" x14ac:dyDescent="0.35">
      <c r="A159" s="65">
        <v>157</v>
      </c>
      <c r="B159" s="66">
        <v>-3.18079050459861</v>
      </c>
      <c r="C159" s="66">
        <v>-0.88330168282773802</v>
      </c>
      <c r="D159" s="67">
        <v>0.48710164872831002</v>
      </c>
      <c r="E159" s="67">
        <v>23.3932649090799</v>
      </c>
      <c r="F159" s="67">
        <v>-13.550093284098899</v>
      </c>
      <c r="G159" s="67">
        <v>6.6206792117185396</v>
      </c>
    </row>
    <row r="160" spans="1:7" x14ac:dyDescent="0.35">
      <c r="A160" s="65">
        <v>158</v>
      </c>
      <c r="B160" s="66">
        <v>-1.71986859973233</v>
      </c>
      <c r="C160" s="66">
        <v>2.17884029188818</v>
      </c>
      <c r="D160" s="67">
        <v>18.746700825817399</v>
      </c>
      <c r="E160" s="67">
        <v>11.070570587567699</v>
      </c>
      <c r="F160" s="67">
        <v>1.8596953618898799</v>
      </c>
      <c r="G160" s="67">
        <v>2.8163189658910199</v>
      </c>
    </row>
    <row r="161" spans="1:7" x14ac:dyDescent="0.35">
      <c r="A161" s="65">
        <v>159</v>
      </c>
      <c r="B161" s="66">
        <v>2.13192201906597</v>
      </c>
      <c r="C161" s="66">
        <v>-0.96160453980243998</v>
      </c>
      <c r="D161" s="67">
        <v>9.1593568529905394</v>
      </c>
      <c r="E161" s="67">
        <v>-40.154182856653698</v>
      </c>
      <c r="F161" s="67">
        <v>8.7383671215354202</v>
      </c>
      <c r="G161" s="67">
        <v>3.6101108426229902</v>
      </c>
    </row>
    <row r="162" spans="1:7" x14ac:dyDescent="0.35">
      <c r="A162" s="65">
        <v>160</v>
      </c>
      <c r="B162" s="66">
        <v>-10.851331886494499</v>
      </c>
      <c r="C162" s="66">
        <v>2.9718606613113598</v>
      </c>
      <c r="D162" s="67">
        <v>5.6866025623598704</v>
      </c>
      <c r="E162" s="67">
        <v>22.319703745007399</v>
      </c>
      <c r="F162" s="67">
        <v>-1.45311342580333</v>
      </c>
      <c r="G162" s="67">
        <v>3.9761856547993402</v>
      </c>
    </row>
    <row r="163" spans="1:7" x14ac:dyDescent="0.35">
      <c r="A163" s="65">
        <v>161</v>
      </c>
      <c r="B163" s="66">
        <v>-3.86682808863103</v>
      </c>
      <c r="C163" s="66">
        <v>-5.3554061256923298</v>
      </c>
      <c r="D163" s="67">
        <v>11.2492418393237</v>
      </c>
      <c r="E163" s="67">
        <v>-9.93516551071815</v>
      </c>
      <c r="F163" s="67">
        <v>17.740420385798402</v>
      </c>
      <c r="G163" s="67">
        <v>5.3676243733349596</v>
      </c>
    </row>
    <row r="164" spans="1:7" x14ac:dyDescent="0.35">
      <c r="A164" s="65">
        <v>162</v>
      </c>
      <c r="B164" s="66">
        <v>8.9332928629574493</v>
      </c>
      <c r="C164" s="66">
        <v>-6.0881137608374498</v>
      </c>
      <c r="D164" s="67">
        <v>2.28621400324469</v>
      </c>
      <c r="E164" s="67">
        <v>-1.8705509579689801</v>
      </c>
      <c r="F164" s="67">
        <v>-1.8885480751552199</v>
      </c>
      <c r="G164" s="67">
        <v>0.17556490854996501</v>
      </c>
    </row>
    <row r="165" spans="1:7" x14ac:dyDescent="0.35">
      <c r="A165" s="65">
        <v>163</v>
      </c>
      <c r="B165" s="66">
        <v>11.0382092193059</v>
      </c>
      <c r="C165" s="66">
        <v>0.92120190774047706</v>
      </c>
      <c r="D165" s="67">
        <v>2.4815120852348902</v>
      </c>
      <c r="E165" s="67">
        <v>-3.2235741929505801</v>
      </c>
      <c r="F165" s="67">
        <v>-1.6378786347560299</v>
      </c>
      <c r="G165" s="67">
        <v>-1.00566718980333</v>
      </c>
    </row>
    <row r="166" spans="1:7" x14ac:dyDescent="0.35">
      <c r="A166" s="65">
        <v>164</v>
      </c>
      <c r="B166" s="66">
        <v>-0.75170920580815104</v>
      </c>
      <c r="C166" s="66">
        <v>4.6904701341555803</v>
      </c>
      <c r="D166" s="67">
        <v>2.08106577940055</v>
      </c>
      <c r="E166" s="67">
        <v>12.806792694106299</v>
      </c>
      <c r="F166" s="67">
        <v>-3.9370521694794599E-3</v>
      </c>
      <c r="G166" s="67">
        <v>3.2431627752354801</v>
      </c>
    </row>
    <row r="167" spans="1:7" x14ac:dyDescent="0.35">
      <c r="A167" s="65">
        <v>165</v>
      </c>
      <c r="B167" s="66">
        <v>-5.4163947479297798</v>
      </c>
      <c r="C167" s="66">
        <v>4.81938142724667</v>
      </c>
      <c r="D167" s="67">
        <v>2.6693774807007098</v>
      </c>
      <c r="E167" s="67">
        <v>21.190910709353599</v>
      </c>
      <c r="F167" s="67">
        <v>11.548511864581799</v>
      </c>
      <c r="G167" s="67">
        <v>-4.2202178700975699</v>
      </c>
    </row>
    <row r="168" spans="1:7" x14ac:dyDescent="0.35">
      <c r="A168" s="65">
        <v>166</v>
      </c>
      <c r="B168" s="66">
        <v>20.228198860288099</v>
      </c>
      <c r="C168" s="66">
        <v>-2.6847106514308101</v>
      </c>
      <c r="D168" s="67">
        <v>0.61313231440826099</v>
      </c>
      <c r="E168" s="67">
        <v>20.543431295082001</v>
      </c>
      <c r="F168" s="67">
        <v>-11.1383258387516</v>
      </c>
      <c r="G168" s="67">
        <v>9.2085702519672807</v>
      </c>
    </row>
    <row r="169" spans="1:7" x14ac:dyDescent="0.35">
      <c r="A169" s="65">
        <v>167</v>
      </c>
      <c r="B169" s="66">
        <v>2.9857304486540901</v>
      </c>
      <c r="C169" s="66">
        <v>-0.99263369123108203</v>
      </c>
      <c r="D169" s="67">
        <v>1.41994377931789</v>
      </c>
      <c r="E169" s="67">
        <v>0.89459242206029299</v>
      </c>
      <c r="F169" s="67">
        <v>-1.5392612262397101</v>
      </c>
      <c r="G169" s="67">
        <v>-1.93622543742985</v>
      </c>
    </row>
    <row r="170" spans="1:7" x14ac:dyDescent="0.35">
      <c r="A170" s="65">
        <v>168</v>
      </c>
      <c r="B170" s="66">
        <v>4.8433642591755799</v>
      </c>
      <c r="C170" s="66">
        <v>-0.41511915787859399</v>
      </c>
      <c r="D170" s="67">
        <v>1.5572931530158101</v>
      </c>
      <c r="E170" s="67">
        <v>-4.37403048508554</v>
      </c>
      <c r="F170" s="67">
        <v>7.8174814335452298</v>
      </c>
      <c r="G170" s="67">
        <v>5.2353446630366802</v>
      </c>
    </row>
    <row r="171" spans="1:7" x14ac:dyDescent="0.35">
      <c r="A171" s="65">
        <v>169</v>
      </c>
      <c r="B171" s="66">
        <v>-7.9552848305784902</v>
      </c>
      <c r="C171" s="66">
        <v>-3.6069306158796701</v>
      </c>
      <c r="D171" s="67">
        <v>0.76110513677027503</v>
      </c>
      <c r="E171" s="67">
        <v>3.9125403666265299</v>
      </c>
      <c r="F171" s="67">
        <v>-4.3417769683723204</v>
      </c>
      <c r="G171" s="67">
        <v>-4.5654509128808796</v>
      </c>
    </row>
    <row r="172" spans="1:7" x14ac:dyDescent="0.35">
      <c r="A172" s="65">
        <v>170</v>
      </c>
      <c r="B172" s="66">
        <v>-4.6466380939203296</v>
      </c>
      <c r="C172" s="66">
        <v>0.82500410768262999</v>
      </c>
      <c r="D172" s="67">
        <v>1.05229761754673</v>
      </c>
      <c r="E172" s="67">
        <v>-17.126739969055301</v>
      </c>
      <c r="F172" s="67">
        <v>24.206855307910299</v>
      </c>
      <c r="G172" s="67">
        <v>2.1891506256272302</v>
      </c>
    </row>
    <row r="173" spans="1:7" x14ac:dyDescent="0.35">
      <c r="A173" s="65">
        <v>171</v>
      </c>
      <c r="B173" s="66">
        <v>2.4203523508076401</v>
      </c>
      <c r="C173" s="66">
        <v>-2.5878241167624201</v>
      </c>
      <c r="D173" s="67">
        <v>20.627731643404399</v>
      </c>
      <c r="E173" s="67">
        <v>7.7818161696768398</v>
      </c>
      <c r="F173" s="67">
        <v>10.9881450065976</v>
      </c>
      <c r="G173" s="67">
        <v>2.56552458329412</v>
      </c>
    </row>
    <row r="174" spans="1:7" x14ac:dyDescent="0.35">
      <c r="A174" s="65">
        <v>172</v>
      </c>
      <c r="B174" s="66">
        <v>-4.7938418373297802</v>
      </c>
      <c r="C174" s="66">
        <v>7.6978498046469097</v>
      </c>
      <c r="D174" s="67">
        <v>10.4422445476107</v>
      </c>
      <c r="E174" s="67">
        <v>-8.0965633147537108</v>
      </c>
      <c r="F174" s="67">
        <v>3.7589258246468402</v>
      </c>
      <c r="G174" s="67">
        <v>-8.5045437093963603</v>
      </c>
    </row>
    <row r="175" spans="1:7" x14ac:dyDescent="0.35">
      <c r="A175" s="65">
        <v>173</v>
      </c>
      <c r="B175" s="66">
        <v>8.0740288016056194</v>
      </c>
      <c r="C175" s="66">
        <v>-3.5653915034200598</v>
      </c>
      <c r="D175" s="67">
        <v>1.73300361892057</v>
      </c>
      <c r="E175" s="67">
        <v>-15.3995888091731</v>
      </c>
      <c r="F175" s="67">
        <v>-3.3451853710068602</v>
      </c>
      <c r="G175" s="67">
        <v>13.9040534283223</v>
      </c>
    </row>
    <row r="176" spans="1:7" x14ac:dyDescent="0.35">
      <c r="A176" s="65">
        <v>174</v>
      </c>
      <c r="B176" s="66">
        <v>6.0283567746661397</v>
      </c>
      <c r="C176" s="66">
        <v>0.31333281432890697</v>
      </c>
      <c r="D176" s="67">
        <v>3.28441997738113</v>
      </c>
      <c r="E176" s="67">
        <v>-3.7297144131536699</v>
      </c>
      <c r="F176" s="67">
        <v>-1.1851973096986199</v>
      </c>
      <c r="G176" s="67">
        <v>8.9433878467487293</v>
      </c>
    </row>
    <row r="177" spans="1:7" x14ac:dyDescent="0.35">
      <c r="A177" s="65">
        <v>175</v>
      </c>
      <c r="B177" s="66">
        <v>13.948260405245</v>
      </c>
      <c r="C177" s="66">
        <v>-5.3997492704270096</v>
      </c>
      <c r="D177" s="67">
        <v>0.99521296480727905</v>
      </c>
      <c r="E177" s="67">
        <v>9.2875880913142801</v>
      </c>
      <c r="F177" s="67">
        <v>9.5482244477708402</v>
      </c>
      <c r="G177" s="67">
        <v>3.0417391335243602</v>
      </c>
    </row>
    <row r="178" spans="1:7" x14ac:dyDescent="0.35">
      <c r="A178" s="65">
        <v>176</v>
      </c>
      <c r="B178" s="66">
        <v>3.8998674909768498</v>
      </c>
      <c r="C178" s="66">
        <v>3.9101233003742401E-2</v>
      </c>
      <c r="D178" s="67">
        <v>0.62558835914331501</v>
      </c>
      <c r="E178" s="67">
        <v>2.5042316488874099</v>
      </c>
      <c r="F178" s="67">
        <v>5.9404111636880099</v>
      </c>
      <c r="G178" s="67">
        <v>9.0312351850925392</v>
      </c>
    </row>
    <row r="179" spans="1:7" x14ac:dyDescent="0.35">
      <c r="A179" s="65">
        <v>177</v>
      </c>
      <c r="B179" s="66">
        <v>-5.6798067618797701</v>
      </c>
      <c r="C179" s="66">
        <v>-2.8068591887143999</v>
      </c>
      <c r="D179" s="67">
        <v>7.2895159150115498</v>
      </c>
      <c r="E179" s="67">
        <v>4.8763952210394503</v>
      </c>
      <c r="F179" s="67">
        <v>1.99250320143827</v>
      </c>
      <c r="G179" s="67">
        <v>-3.14947573408215</v>
      </c>
    </row>
    <row r="180" spans="1:7" x14ac:dyDescent="0.35">
      <c r="A180" s="65">
        <v>178</v>
      </c>
      <c r="B180" s="66">
        <v>-13.809807225200901</v>
      </c>
      <c r="C180" s="66">
        <v>-1.95376108385568</v>
      </c>
      <c r="D180" s="67">
        <v>3.3812453600084398</v>
      </c>
      <c r="E180" s="67">
        <v>-7.3654840769435399</v>
      </c>
      <c r="F180" s="67">
        <v>-1.7024063959870801</v>
      </c>
      <c r="G180" s="67">
        <v>-8.5782289188621998</v>
      </c>
    </row>
    <row r="181" spans="1:7" x14ac:dyDescent="0.35">
      <c r="A181" s="65">
        <v>179</v>
      </c>
      <c r="B181" s="66">
        <v>9.6624265193280401</v>
      </c>
      <c r="C181" s="66">
        <v>2.52440917002806</v>
      </c>
      <c r="D181" s="67">
        <v>0.75781161643455397</v>
      </c>
      <c r="E181" s="67">
        <v>-2.87517568188732</v>
      </c>
      <c r="F181" s="67">
        <v>2.9052740127634098</v>
      </c>
      <c r="G181" s="67">
        <v>-5.4628983414546104</v>
      </c>
    </row>
    <row r="182" spans="1:7" x14ac:dyDescent="0.35">
      <c r="A182" s="65">
        <v>180</v>
      </c>
      <c r="B182" s="66">
        <v>3.9101515787023602</v>
      </c>
      <c r="C182" s="66">
        <v>-11.717083275865299</v>
      </c>
      <c r="D182" s="67">
        <v>113.230177916797</v>
      </c>
      <c r="E182" s="67">
        <v>17.486695482321199</v>
      </c>
      <c r="F182" s="67">
        <v>14.646143729781301</v>
      </c>
      <c r="G182" s="67">
        <v>6.7617457908595098</v>
      </c>
    </row>
    <row r="183" spans="1:7" x14ac:dyDescent="0.35">
      <c r="A183" s="65">
        <v>181</v>
      </c>
      <c r="B183" s="66">
        <v>0.58508535206809797</v>
      </c>
      <c r="C183" s="66">
        <v>1.4957541208765801</v>
      </c>
      <c r="D183" s="67">
        <v>1.9965506471541901</v>
      </c>
      <c r="E183" s="67">
        <v>15.704006413650999</v>
      </c>
      <c r="F183" s="67">
        <v>-10.3368915632159</v>
      </c>
      <c r="G183" s="67">
        <v>-5.6033437813743898</v>
      </c>
    </row>
    <row r="184" spans="1:7" x14ac:dyDescent="0.35">
      <c r="A184" s="65">
        <v>182</v>
      </c>
      <c r="B184" s="66">
        <v>-19.883691574515598</v>
      </c>
      <c r="C184" s="66">
        <v>-3.0557253268612099</v>
      </c>
      <c r="D184" s="67">
        <v>3.22704551049637</v>
      </c>
      <c r="E184" s="67">
        <v>-1.79810040266175</v>
      </c>
      <c r="F184" s="67">
        <v>1.4178703527860199</v>
      </c>
      <c r="G184" s="67">
        <v>-4.2950427293351101</v>
      </c>
    </row>
    <row r="185" spans="1:7" x14ac:dyDescent="0.35">
      <c r="A185" s="65">
        <v>183</v>
      </c>
      <c r="B185" s="66">
        <v>-14.300705768191699</v>
      </c>
      <c r="C185" s="66">
        <v>-10.8153119975628</v>
      </c>
      <c r="D185" s="67">
        <v>1.4554223085017599</v>
      </c>
      <c r="E185" s="67">
        <v>2.8495881001019101</v>
      </c>
      <c r="F185" s="67">
        <v>-6.0606464367909796</v>
      </c>
      <c r="G185" s="67">
        <v>3.6195966986101298</v>
      </c>
    </row>
    <row r="186" spans="1:7" x14ac:dyDescent="0.35">
      <c r="A186" s="65">
        <v>184</v>
      </c>
      <c r="B186" s="66">
        <v>2.3932671993904702</v>
      </c>
      <c r="C186" s="66">
        <v>-5.6630503588574204</v>
      </c>
      <c r="D186" s="67">
        <v>3.9138613055008902</v>
      </c>
      <c r="E186" s="67">
        <v>-18.725585702544599</v>
      </c>
      <c r="F186" s="67">
        <v>-2.40528494744943</v>
      </c>
      <c r="G186" s="67">
        <v>-1.5951344290331999</v>
      </c>
    </row>
    <row r="187" spans="1:7" x14ac:dyDescent="0.35">
      <c r="A187" s="65">
        <v>185</v>
      </c>
      <c r="B187" s="66">
        <v>-0.80951556377340905</v>
      </c>
      <c r="C187" s="66">
        <v>0.49674680246112102</v>
      </c>
      <c r="D187" s="67">
        <v>0.109994303037988</v>
      </c>
      <c r="E187" s="67">
        <v>-19.8212731397754</v>
      </c>
      <c r="F187" s="67">
        <v>5.2870828380427302</v>
      </c>
      <c r="G187" s="67">
        <v>6.6751443677563902</v>
      </c>
    </row>
    <row r="188" spans="1:7" x14ac:dyDescent="0.35">
      <c r="A188" s="65">
        <v>186</v>
      </c>
      <c r="B188" s="66">
        <v>14.664389713761</v>
      </c>
      <c r="C188" s="66">
        <v>-5.5094645523277803</v>
      </c>
      <c r="D188" s="67">
        <v>3.2215226856086998</v>
      </c>
      <c r="E188" s="67">
        <v>7.6909674566737802</v>
      </c>
      <c r="F188" s="67">
        <v>-11.135286768993099</v>
      </c>
      <c r="G188" s="67">
        <v>0.50489139458633403</v>
      </c>
    </row>
    <row r="189" spans="1:7" x14ac:dyDescent="0.35">
      <c r="A189" s="65">
        <v>187</v>
      </c>
      <c r="B189" s="66">
        <v>-6.7049835246817704</v>
      </c>
      <c r="C189" s="66">
        <v>-0.923845137562051</v>
      </c>
      <c r="D189" s="67">
        <v>2.1155125073868701</v>
      </c>
      <c r="E189" s="67">
        <v>24.6949701184673</v>
      </c>
      <c r="F189" s="67">
        <v>8.5936522085841407</v>
      </c>
      <c r="G189" s="67">
        <v>7.1862639774886699</v>
      </c>
    </row>
    <row r="190" spans="1:7" x14ac:dyDescent="0.35">
      <c r="A190" s="65">
        <v>188</v>
      </c>
      <c r="B190" s="66">
        <v>-8.6652476780440697</v>
      </c>
      <c r="C190" s="66">
        <v>-0.146838947447962</v>
      </c>
      <c r="D190" s="67">
        <v>2.1634512977321498</v>
      </c>
      <c r="E190" s="67">
        <v>-4.5434800201482197</v>
      </c>
      <c r="F190" s="67">
        <v>-5.5576686602007497</v>
      </c>
      <c r="G190" s="67">
        <v>10.0861042245291</v>
      </c>
    </row>
    <row r="191" spans="1:7" x14ac:dyDescent="0.35">
      <c r="A191" s="65">
        <v>189</v>
      </c>
      <c r="B191" s="66">
        <v>14.2110247274681</v>
      </c>
      <c r="C191" s="66">
        <v>-7.6743867538176902</v>
      </c>
      <c r="D191" s="67">
        <v>1.04209741305978</v>
      </c>
      <c r="E191" s="67">
        <v>-1.4747619376274601</v>
      </c>
      <c r="F191" s="67">
        <v>-3.5919082385483997E-2</v>
      </c>
      <c r="G191" s="67">
        <v>11.8790086142155</v>
      </c>
    </row>
    <row r="192" spans="1:7" x14ac:dyDescent="0.35">
      <c r="A192" s="65">
        <v>190</v>
      </c>
      <c r="B192" s="66">
        <v>-6.9386920044207097</v>
      </c>
      <c r="C192" s="66">
        <v>-6.8805765710256797</v>
      </c>
      <c r="D192" s="67">
        <v>6.2637435916379403</v>
      </c>
      <c r="E192" s="67">
        <v>-2.4383119908774802</v>
      </c>
      <c r="F192" s="67">
        <v>6.5569493928041398</v>
      </c>
      <c r="G192" s="67">
        <v>-2.0839138156088</v>
      </c>
    </row>
    <row r="193" spans="1:7" x14ac:dyDescent="0.35">
      <c r="A193" s="65">
        <v>191</v>
      </c>
      <c r="B193" s="66">
        <v>-12.422974085005301</v>
      </c>
      <c r="C193" s="66">
        <v>3.312339716751</v>
      </c>
      <c r="D193" s="67">
        <v>0.53231789417379904</v>
      </c>
      <c r="E193" s="67">
        <v>7.2317101617856601</v>
      </c>
      <c r="F193" s="67">
        <v>10.298665581895101</v>
      </c>
      <c r="G193" s="67">
        <v>-6.3681515865948004</v>
      </c>
    </row>
    <row r="194" spans="1:7" x14ac:dyDescent="0.35">
      <c r="A194" s="65">
        <v>192</v>
      </c>
      <c r="B194" s="66">
        <v>-3.9142748465974502</v>
      </c>
      <c r="C194" s="66">
        <v>0.42258407491858402</v>
      </c>
      <c r="D194" s="67">
        <v>10.0740524535597</v>
      </c>
      <c r="E194" s="67">
        <v>-23.7441587979377</v>
      </c>
      <c r="F194" s="67">
        <v>0.61812318503455899</v>
      </c>
      <c r="G194" s="67">
        <v>2.4111847394393102</v>
      </c>
    </row>
    <row r="195" spans="1:7" x14ac:dyDescent="0.35">
      <c r="A195" s="65">
        <v>193</v>
      </c>
      <c r="B195" s="66">
        <v>16.087110079179901</v>
      </c>
      <c r="C195" s="66">
        <v>13.889659467407199</v>
      </c>
      <c r="D195" s="67">
        <v>0.71349243484128</v>
      </c>
      <c r="E195" s="67">
        <v>-8.95220846173574</v>
      </c>
      <c r="F195" s="67">
        <v>5.1836885779687796</v>
      </c>
      <c r="G195" s="67">
        <v>-2.2777583167538502</v>
      </c>
    </row>
    <row r="196" spans="1:7" x14ac:dyDescent="0.35">
      <c r="A196" s="65">
        <v>194</v>
      </c>
      <c r="B196" s="66">
        <v>-12.890073608247899</v>
      </c>
      <c r="C196" s="66">
        <v>0.194924431700808</v>
      </c>
      <c r="D196" s="67">
        <v>2.7769382951208001</v>
      </c>
      <c r="E196" s="67">
        <v>6.4674056698385503</v>
      </c>
      <c r="F196" s="67">
        <v>5.8761765265793899</v>
      </c>
      <c r="G196" s="67">
        <v>1.1705915400179401</v>
      </c>
    </row>
    <row r="197" spans="1:7" x14ac:dyDescent="0.35">
      <c r="A197" s="65">
        <v>195</v>
      </c>
      <c r="B197" s="66">
        <v>4.5660602391539298</v>
      </c>
      <c r="C197" s="66">
        <v>-6.1393753426813999</v>
      </c>
      <c r="D197" s="67">
        <v>1.88571423040542</v>
      </c>
      <c r="E197" s="67">
        <v>6.9150858613932504</v>
      </c>
      <c r="F197" s="67">
        <v>-10.021016853403999</v>
      </c>
      <c r="G197" s="67">
        <v>3.3259763172682901</v>
      </c>
    </row>
    <row r="198" spans="1:7" x14ac:dyDescent="0.35">
      <c r="A198" s="65">
        <v>196</v>
      </c>
      <c r="B198" s="66">
        <v>14.7897939725701</v>
      </c>
      <c r="C198" s="66">
        <v>-5.89554718065932</v>
      </c>
      <c r="D198" s="67">
        <v>1.53799644262378</v>
      </c>
      <c r="E198" s="67">
        <v>4.2977633929578101</v>
      </c>
      <c r="F198" s="67">
        <v>11.1209267246166</v>
      </c>
      <c r="G198" s="67">
        <v>11.051037676424899</v>
      </c>
    </row>
    <row r="199" spans="1:7" x14ac:dyDescent="0.35">
      <c r="A199" s="65">
        <v>197</v>
      </c>
      <c r="B199" s="66">
        <v>-1.8947133817578801</v>
      </c>
      <c r="C199" s="66">
        <v>-1.6310797798634</v>
      </c>
      <c r="D199" s="67">
        <v>5.3251123321514804</v>
      </c>
      <c r="E199" s="67">
        <v>9.2108192530994</v>
      </c>
      <c r="F199" s="67">
        <v>12.169960846710399</v>
      </c>
      <c r="G199" s="67">
        <v>-0.20498129452862099</v>
      </c>
    </row>
    <row r="200" spans="1:7" x14ac:dyDescent="0.35">
      <c r="A200" s="65">
        <v>198</v>
      </c>
      <c r="B200" s="66">
        <v>-5.5391772126802197</v>
      </c>
      <c r="C200" s="66">
        <v>-9.69264709517231</v>
      </c>
      <c r="D200" s="67">
        <v>1.07773811213036</v>
      </c>
      <c r="E200" s="67">
        <v>-10.6005626300998</v>
      </c>
      <c r="F200" s="67">
        <v>5.4884057293755504</v>
      </c>
      <c r="G200" s="67">
        <v>13.896127497107599</v>
      </c>
    </row>
    <row r="201" spans="1:7" x14ac:dyDescent="0.35">
      <c r="A201" s="65">
        <v>199</v>
      </c>
      <c r="B201" s="66">
        <v>-8.9334096917707697</v>
      </c>
      <c r="C201" s="66">
        <v>-0.99764712409409195</v>
      </c>
      <c r="D201" s="67">
        <v>4.9671930809138596</v>
      </c>
      <c r="E201" s="67">
        <v>-2.4749019348153399E-2</v>
      </c>
      <c r="F201" s="67">
        <v>13.6667691864074</v>
      </c>
      <c r="G201" s="67">
        <v>2.52606449498081</v>
      </c>
    </row>
    <row r="202" spans="1:7" x14ac:dyDescent="0.35">
      <c r="A202" s="65">
        <v>200</v>
      </c>
      <c r="B202" s="66">
        <v>16.316690114517499</v>
      </c>
      <c r="C202" s="66">
        <v>-7.44598582088343</v>
      </c>
      <c r="D202" s="67">
        <v>1.6516570902619601</v>
      </c>
      <c r="E202" s="67">
        <v>16.404590988017102</v>
      </c>
      <c r="F202" s="67">
        <v>7.1956629379135899</v>
      </c>
      <c r="G202" s="67">
        <v>-0.73395326854060305</v>
      </c>
    </row>
    <row r="203" spans="1:7" x14ac:dyDescent="0.35">
      <c r="A203" s="65">
        <v>201</v>
      </c>
      <c r="B203" s="66">
        <v>2.1660113168126598</v>
      </c>
      <c r="C203" s="66">
        <v>-4.2156416618289896</v>
      </c>
      <c r="D203" s="67">
        <v>5.0602942527834402</v>
      </c>
      <c r="E203" s="67">
        <v>-27.807434356496401</v>
      </c>
      <c r="F203" s="67">
        <v>-2.0391861220304501</v>
      </c>
      <c r="G203" s="67">
        <v>9.4280696366362395</v>
      </c>
    </row>
    <row r="204" spans="1:7" x14ac:dyDescent="0.35">
      <c r="A204" s="65">
        <v>202</v>
      </c>
      <c r="B204" s="66">
        <v>11.6983591666182</v>
      </c>
      <c r="C204" s="66">
        <v>3.09907839188728</v>
      </c>
      <c r="D204" s="67">
        <v>0.79038667938693197</v>
      </c>
      <c r="E204" s="67">
        <v>-4.7876984865419701</v>
      </c>
      <c r="F204" s="67">
        <v>-0.52633446936584005</v>
      </c>
      <c r="G204" s="67">
        <v>-0.108721543305453</v>
      </c>
    </row>
    <row r="205" spans="1:7" x14ac:dyDescent="0.35">
      <c r="A205" s="65">
        <v>203</v>
      </c>
      <c r="B205" s="66">
        <v>4.2411966283543103</v>
      </c>
      <c r="C205" s="66">
        <v>2.1269387407382601</v>
      </c>
      <c r="D205" s="67">
        <v>1.0107658236981201</v>
      </c>
      <c r="E205" s="67">
        <v>12.292686307700601</v>
      </c>
      <c r="F205" s="67">
        <v>-14.561097900467701</v>
      </c>
      <c r="G205" s="67">
        <v>11.2488107855565</v>
      </c>
    </row>
    <row r="206" spans="1:7" x14ac:dyDescent="0.35">
      <c r="A206" s="65">
        <v>204</v>
      </c>
      <c r="B206" s="66">
        <v>11.9046289415279</v>
      </c>
      <c r="C206" s="66">
        <v>-0.18257808510111601</v>
      </c>
      <c r="D206" s="67">
        <v>0.20741280413798199</v>
      </c>
      <c r="E206" s="67">
        <v>-20.839706601643499</v>
      </c>
      <c r="F206" s="67">
        <v>-2.0549629417295998</v>
      </c>
      <c r="G206" s="67">
        <v>-1.05295571096337</v>
      </c>
    </row>
    <row r="207" spans="1:7" x14ac:dyDescent="0.35">
      <c r="A207" s="65">
        <v>205</v>
      </c>
      <c r="B207" s="66">
        <v>-0.71190624865914398</v>
      </c>
      <c r="C207" s="66">
        <v>-1.4934393991291399</v>
      </c>
      <c r="D207" s="67">
        <v>2.2413630820367199</v>
      </c>
      <c r="E207" s="67">
        <v>2.68152435382077</v>
      </c>
      <c r="F207" s="67">
        <v>2.09782357210646</v>
      </c>
      <c r="G207" s="67">
        <v>5.0255350401777603</v>
      </c>
    </row>
    <row r="208" spans="1:7" x14ac:dyDescent="0.35">
      <c r="A208" s="65">
        <v>206</v>
      </c>
      <c r="B208" s="66">
        <v>-27.4108030843305</v>
      </c>
      <c r="C208" s="66">
        <v>-3.7186122709195799</v>
      </c>
      <c r="D208" s="67">
        <v>4.1037923807130898</v>
      </c>
      <c r="E208" s="67">
        <v>-16.3198021632527</v>
      </c>
      <c r="F208" s="67">
        <v>4.07022189949374</v>
      </c>
      <c r="G208" s="67">
        <v>8.3907584787076406</v>
      </c>
    </row>
    <row r="209" spans="1:7" x14ac:dyDescent="0.35">
      <c r="A209" s="65">
        <v>207</v>
      </c>
      <c r="B209" s="66">
        <v>-8.9339398944435207</v>
      </c>
      <c r="C209" s="66">
        <v>-2.8689171692835602</v>
      </c>
      <c r="D209" s="67">
        <v>3.7260622339829301</v>
      </c>
      <c r="E209" s="67">
        <v>-1.17617946549685</v>
      </c>
      <c r="F209" s="67">
        <v>-6.2066165893162397</v>
      </c>
      <c r="G209" s="67">
        <v>-5.5856156982014804</v>
      </c>
    </row>
    <row r="210" spans="1:7" x14ac:dyDescent="0.35">
      <c r="A210" s="65">
        <v>208</v>
      </c>
      <c r="B210" s="66">
        <v>-1.46420656324618</v>
      </c>
      <c r="C210" s="66">
        <v>-5.0567944978876298</v>
      </c>
      <c r="D210" s="67">
        <v>1.46578209297283</v>
      </c>
      <c r="E210" s="67">
        <v>-7.3972319483840403</v>
      </c>
      <c r="F210" s="67">
        <v>-5.0155735027653998</v>
      </c>
      <c r="G210" s="67">
        <v>5.91046753147765</v>
      </c>
    </row>
    <row r="211" spans="1:7" x14ac:dyDescent="0.35">
      <c r="A211" s="65">
        <v>209</v>
      </c>
      <c r="B211" s="66">
        <v>-7.9216579686225002</v>
      </c>
      <c r="C211" s="66">
        <v>0.43234648057205199</v>
      </c>
      <c r="D211" s="67">
        <v>1.09221998761923</v>
      </c>
      <c r="E211" s="67">
        <v>12.204385521309399</v>
      </c>
      <c r="F211" s="67">
        <v>0.58474627631253395</v>
      </c>
      <c r="G211" s="67">
        <v>1.7565631333384999</v>
      </c>
    </row>
    <row r="212" spans="1:7" x14ac:dyDescent="0.35">
      <c r="A212" s="65">
        <v>210</v>
      </c>
      <c r="B212" s="66">
        <v>-11.7663252118721</v>
      </c>
      <c r="C212" s="66">
        <v>0.53497630020803999</v>
      </c>
      <c r="D212" s="67">
        <v>1.0548089587616101</v>
      </c>
      <c r="E212" s="67">
        <v>10.502052478606601</v>
      </c>
      <c r="F212" s="67">
        <v>-2.7276929463724602</v>
      </c>
      <c r="G212" s="67">
        <v>4.8768282145566602</v>
      </c>
    </row>
    <row r="213" spans="1:7" x14ac:dyDescent="0.35">
      <c r="A213" s="65">
        <v>211</v>
      </c>
      <c r="B213" s="66">
        <v>-5.1722535422349001</v>
      </c>
      <c r="C213" s="66">
        <v>-2.9385964837760001</v>
      </c>
      <c r="D213" s="67">
        <v>7.8803431880852107E-2</v>
      </c>
      <c r="E213" s="67">
        <v>7.9440381107642102</v>
      </c>
      <c r="F213" s="67">
        <v>-1.7239350420688899</v>
      </c>
      <c r="G213" s="67">
        <v>-11.3706428318708</v>
      </c>
    </row>
    <row r="214" spans="1:7" x14ac:dyDescent="0.35">
      <c r="A214" s="65">
        <v>212</v>
      </c>
      <c r="B214" s="66">
        <v>5.0896144505559002</v>
      </c>
      <c r="C214" s="66">
        <v>2.7031410524158499</v>
      </c>
      <c r="D214" s="67">
        <v>1.1783710969961101</v>
      </c>
      <c r="E214" s="67">
        <v>11.189254508969301</v>
      </c>
      <c r="F214" s="67">
        <v>-3.2688036670610199</v>
      </c>
      <c r="G214" s="67">
        <v>4.8906886162089496</v>
      </c>
    </row>
    <row r="215" spans="1:7" x14ac:dyDescent="0.35">
      <c r="A215" s="65">
        <v>213</v>
      </c>
      <c r="B215" s="66">
        <v>-21.380409226221101</v>
      </c>
      <c r="C215" s="66">
        <v>-0.58688675637705101</v>
      </c>
      <c r="D215" s="67">
        <v>6.0576529724147798</v>
      </c>
      <c r="E215" s="67">
        <v>-5.8038491163841099</v>
      </c>
      <c r="F215" s="67">
        <v>4.3690817706879699</v>
      </c>
      <c r="G215" s="67">
        <v>6.5410275459062603</v>
      </c>
    </row>
    <row r="216" spans="1:7" x14ac:dyDescent="0.35">
      <c r="A216" s="65">
        <v>214</v>
      </c>
      <c r="B216" s="66">
        <v>-2.72269094087248</v>
      </c>
      <c r="C216" s="66">
        <v>-10.068189847693301</v>
      </c>
      <c r="D216" s="67">
        <v>3.66530827956946</v>
      </c>
      <c r="E216" s="67">
        <v>2.88136013251557</v>
      </c>
      <c r="F216" s="67">
        <v>11.1265094043343</v>
      </c>
      <c r="G216" s="67">
        <v>-3.8826430588202001</v>
      </c>
    </row>
    <row r="217" spans="1:7" x14ac:dyDescent="0.35">
      <c r="A217" s="65">
        <v>215</v>
      </c>
      <c r="B217" s="66">
        <v>2.3308252563546801</v>
      </c>
      <c r="C217" s="66">
        <v>2.3280610114121698</v>
      </c>
      <c r="D217" s="67">
        <v>0.38234591109342603</v>
      </c>
      <c r="E217" s="67">
        <v>-2.2454653228492498</v>
      </c>
      <c r="F217" s="67">
        <v>-1.8997908034534801</v>
      </c>
      <c r="G217" s="67">
        <v>13.6495553607011</v>
      </c>
    </row>
    <row r="218" spans="1:7" x14ac:dyDescent="0.35">
      <c r="A218" s="65">
        <v>216</v>
      </c>
      <c r="B218" s="66">
        <v>0.58446939842982704</v>
      </c>
      <c r="C218" s="66">
        <v>2.6601058531829298</v>
      </c>
      <c r="D218" s="67">
        <v>4.7715018710838502</v>
      </c>
      <c r="E218" s="67">
        <v>-23.663319287305601</v>
      </c>
      <c r="F218" s="67">
        <v>-7.8887977438514696</v>
      </c>
      <c r="G218" s="67">
        <v>4.3891409136582196</v>
      </c>
    </row>
    <row r="219" spans="1:7" x14ac:dyDescent="0.35">
      <c r="A219" s="65">
        <v>217</v>
      </c>
      <c r="B219" s="66">
        <v>-10.461221148290999</v>
      </c>
      <c r="C219" s="66">
        <v>1.2575044066907</v>
      </c>
      <c r="D219" s="67">
        <v>1.1073057547326901</v>
      </c>
      <c r="E219" s="67">
        <v>-9.5180287827205401</v>
      </c>
      <c r="F219" s="67">
        <v>2.10838582454027</v>
      </c>
      <c r="G219" s="67">
        <v>4.2234963621373396</v>
      </c>
    </row>
    <row r="220" spans="1:7" x14ac:dyDescent="0.35">
      <c r="A220" s="65">
        <v>218</v>
      </c>
      <c r="B220" s="66">
        <v>17.164323703819999</v>
      </c>
      <c r="C220" s="66">
        <v>0.47304910999647598</v>
      </c>
      <c r="D220" s="67">
        <v>0.46005382788047799</v>
      </c>
      <c r="E220" s="67">
        <v>-15.9612507933301</v>
      </c>
      <c r="F220" s="67">
        <v>-29.2883086737761</v>
      </c>
      <c r="G220" s="67">
        <v>0.38567220708836503</v>
      </c>
    </row>
    <row r="221" spans="1:7" x14ac:dyDescent="0.35">
      <c r="A221" s="65">
        <v>219</v>
      </c>
      <c r="B221" s="66">
        <v>7.9134663296480197</v>
      </c>
      <c r="C221" s="66">
        <v>-0.91187270147643396</v>
      </c>
      <c r="D221" s="67">
        <v>0.13470388712423501</v>
      </c>
      <c r="E221" s="67">
        <v>2.5594187593868098</v>
      </c>
      <c r="F221" s="67">
        <v>5.2359036825710596</v>
      </c>
      <c r="G221" s="67">
        <v>5.4414989111715597</v>
      </c>
    </row>
    <row r="222" spans="1:7" x14ac:dyDescent="0.35">
      <c r="A222" s="65">
        <v>220</v>
      </c>
      <c r="B222" s="66">
        <v>26.804963440087601</v>
      </c>
      <c r="C222" s="66">
        <v>-5.2757381919121302</v>
      </c>
      <c r="D222" s="67">
        <v>4.9696568117892701</v>
      </c>
      <c r="E222" s="67">
        <v>-10.424903505456401</v>
      </c>
      <c r="F222" s="67">
        <v>9.9551132423799498</v>
      </c>
      <c r="G222" s="67">
        <v>7.2013321995563899</v>
      </c>
    </row>
    <row r="223" spans="1:7" x14ac:dyDescent="0.35">
      <c r="A223" s="65">
        <v>221</v>
      </c>
      <c r="B223" s="66">
        <v>9.40018811053009</v>
      </c>
      <c r="C223" s="66">
        <v>2.5568373316158799</v>
      </c>
      <c r="D223" s="67">
        <v>6.7983179598207597</v>
      </c>
      <c r="E223" s="67">
        <v>8.7401447686189009</v>
      </c>
      <c r="F223" s="67">
        <v>1.61437746695385</v>
      </c>
      <c r="G223" s="67">
        <v>-4.6648443807654996</v>
      </c>
    </row>
    <row r="224" spans="1:7" x14ac:dyDescent="0.35">
      <c r="A224" s="65">
        <v>222</v>
      </c>
      <c r="B224" s="66">
        <v>10.5318530298309</v>
      </c>
      <c r="C224" s="66">
        <v>0.66347274303603399</v>
      </c>
      <c r="D224" s="67">
        <v>2.3018862496761301</v>
      </c>
      <c r="E224" s="67">
        <v>-4.16794117858446</v>
      </c>
      <c r="F224" s="67">
        <v>-15.8447513598533</v>
      </c>
      <c r="G224" s="67">
        <v>-0.90902980225676699</v>
      </c>
    </row>
    <row r="225" spans="1:7" x14ac:dyDescent="0.35">
      <c r="A225" s="65">
        <v>223</v>
      </c>
      <c r="B225" s="66">
        <v>-4.9162486239280003</v>
      </c>
      <c r="C225" s="66">
        <v>-3.6946542205668198</v>
      </c>
      <c r="D225" s="67">
        <v>2.1800645756078598</v>
      </c>
      <c r="E225" s="67">
        <v>-1.0516880474570101</v>
      </c>
      <c r="F225" s="67">
        <v>-11.4962456521161</v>
      </c>
      <c r="G225" s="67">
        <v>3.5219693409327801</v>
      </c>
    </row>
    <row r="226" spans="1:7" x14ac:dyDescent="0.35">
      <c r="A226" s="65">
        <v>224</v>
      </c>
      <c r="B226" s="66">
        <v>5.1001560843364002</v>
      </c>
      <c r="C226" s="66">
        <v>-0.27851729519463098</v>
      </c>
      <c r="D226" s="67">
        <v>28.1658206244471</v>
      </c>
      <c r="E226" s="67">
        <v>-1.1475763217717301</v>
      </c>
      <c r="F226" s="67">
        <v>4.2408240895438398</v>
      </c>
      <c r="G226" s="67">
        <v>4.05488400558517</v>
      </c>
    </row>
    <row r="227" spans="1:7" x14ac:dyDescent="0.35">
      <c r="A227" s="65">
        <v>225</v>
      </c>
      <c r="B227" s="66">
        <v>12.1696007315277</v>
      </c>
      <c r="C227" s="66">
        <v>-9.0450755254454194</v>
      </c>
      <c r="D227" s="67">
        <v>1.00654345820824</v>
      </c>
      <c r="E227" s="67">
        <v>-3.4652512609225701</v>
      </c>
      <c r="F227" s="67">
        <v>-0.87524921497139296</v>
      </c>
      <c r="G227" s="67">
        <v>4.1837412154451004</v>
      </c>
    </row>
    <row r="228" spans="1:7" x14ac:dyDescent="0.35">
      <c r="A228" s="65">
        <v>226</v>
      </c>
      <c r="B228" s="66">
        <v>-2.2319897227547201</v>
      </c>
      <c r="C228" s="66">
        <v>3.0061811376782299</v>
      </c>
      <c r="D228" s="67">
        <v>8.1584625359860805</v>
      </c>
      <c r="E228" s="67">
        <v>-2.7024379790153801</v>
      </c>
      <c r="F228" s="67">
        <v>11.240824122285</v>
      </c>
      <c r="G228" s="67">
        <v>-1.1844397315880799</v>
      </c>
    </row>
    <row r="229" spans="1:7" x14ac:dyDescent="0.35">
      <c r="A229" s="65">
        <v>227</v>
      </c>
      <c r="B229" s="66">
        <v>-7.3062654043515698</v>
      </c>
      <c r="C229" s="66">
        <v>15.1105622809786</v>
      </c>
      <c r="D229" s="67">
        <v>2.9321969861186501</v>
      </c>
      <c r="E229" s="67">
        <v>-7.2247023092368901</v>
      </c>
      <c r="F229" s="67">
        <v>-2.53273430349569</v>
      </c>
      <c r="G229" s="67">
        <v>-1.7930842646137</v>
      </c>
    </row>
    <row r="230" spans="1:7" x14ac:dyDescent="0.35">
      <c r="A230" s="65">
        <v>228</v>
      </c>
      <c r="B230" s="66">
        <v>5.4499068777834898</v>
      </c>
      <c r="C230" s="66">
        <v>-7.4623762309108503</v>
      </c>
      <c r="D230" s="67">
        <v>0.34037364305081602</v>
      </c>
      <c r="E230" s="67">
        <v>-17.901929625797202</v>
      </c>
      <c r="F230" s="67">
        <v>5.8311742687434203</v>
      </c>
      <c r="G230" s="67">
        <v>-2.68038653455742</v>
      </c>
    </row>
    <row r="231" spans="1:7" x14ac:dyDescent="0.35">
      <c r="A231" s="65">
        <v>229</v>
      </c>
      <c r="B231" s="66">
        <v>5.8800366330613896</v>
      </c>
      <c r="C231" s="66">
        <v>-0.89509527466082595</v>
      </c>
      <c r="D231" s="67">
        <v>6.5901288217337095E-2</v>
      </c>
      <c r="E231" s="67">
        <v>-12.9153646700534</v>
      </c>
      <c r="F231" s="67">
        <v>14.8857795731717</v>
      </c>
      <c r="G231" s="67">
        <v>-3.3597346836141502</v>
      </c>
    </row>
    <row r="232" spans="1:7" x14ac:dyDescent="0.35">
      <c r="A232" s="65">
        <v>230</v>
      </c>
      <c r="B232" s="66">
        <v>-3.07544946352971</v>
      </c>
      <c r="C232" s="66">
        <v>4.3349174639208403</v>
      </c>
      <c r="D232" s="67">
        <v>15.9917563684869</v>
      </c>
      <c r="E232" s="67">
        <v>4.8431477104994203</v>
      </c>
      <c r="F232" s="67">
        <v>6.1361483439287001</v>
      </c>
      <c r="G232" s="67">
        <v>-8.9111373616897307</v>
      </c>
    </row>
    <row r="233" spans="1:7" x14ac:dyDescent="0.35">
      <c r="A233" s="65">
        <v>231</v>
      </c>
      <c r="B233" s="66">
        <v>10.523811486413299</v>
      </c>
      <c r="C233" s="66">
        <v>-8.3740980723482092</v>
      </c>
      <c r="D233" s="67">
        <v>0.541592054904243</v>
      </c>
      <c r="E233" s="67">
        <v>-19.7926766484123</v>
      </c>
      <c r="F233" s="67">
        <v>5.4526415950807996</v>
      </c>
      <c r="G233" s="67">
        <v>6.8284764182853497</v>
      </c>
    </row>
    <row r="234" spans="1:7" x14ac:dyDescent="0.35">
      <c r="A234" s="65">
        <v>232</v>
      </c>
      <c r="B234" s="66">
        <v>-8.8472507932791503E-2</v>
      </c>
      <c r="C234" s="66">
        <v>-4.7539851256141104</v>
      </c>
      <c r="D234" s="67">
        <v>0.39477499087358697</v>
      </c>
      <c r="E234" s="67">
        <v>7.4770838425411297</v>
      </c>
      <c r="F234" s="67">
        <v>-8.0816671069046606</v>
      </c>
      <c r="G234" s="67">
        <v>15.223150433586</v>
      </c>
    </row>
    <row r="235" spans="1:7" x14ac:dyDescent="0.35">
      <c r="A235" s="65">
        <v>233</v>
      </c>
      <c r="B235" s="66">
        <v>26.981121454981</v>
      </c>
      <c r="C235" s="66">
        <v>0.52248125328448702</v>
      </c>
      <c r="D235" s="67">
        <v>2.3154876906388999</v>
      </c>
      <c r="E235" s="67">
        <v>17.474639885693598</v>
      </c>
      <c r="F235" s="67">
        <v>-8.5154059214605606</v>
      </c>
      <c r="G235" s="67">
        <v>12.456853811374</v>
      </c>
    </row>
    <row r="236" spans="1:7" x14ac:dyDescent="0.35">
      <c r="A236" s="65">
        <v>234</v>
      </c>
      <c r="B236" s="66">
        <v>0.90877492048542996</v>
      </c>
      <c r="C236" s="66">
        <v>4.4714218578000198</v>
      </c>
      <c r="D236" s="67">
        <v>0.51584161757111702</v>
      </c>
      <c r="E236" s="67">
        <v>1.7330985471454801</v>
      </c>
      <c r="F236" s="67">
        <v>-3.17796691229674</v>
      </c>
      <c r="G236" s="67">
        <v>10.3249421820083</v>
      </c>
    </row>
    <row r="237" spans="1:7" x14ac:dyDescent="0.35">
      <c r="A237" s="65">
        <v>235</v>
      </c>
      <c r="B237" s="66">
        <v>4.8522248947015196</v>
      </c>
      <c r="C237" s="66">
        <v>3.0506734582452402</v>
      </c>
      <c r="D237" s="67">
        <v>2.49751692650046</v>
      </c>
      <c r="E237" s="67">
        <v>-3.3721477888493099</v>
      </c>
      <c r="F237" s="67">
        <v>-7.5990526834753096</v>
      </c>
      <c r="G237" s="67">
        <v>-3.6889448322900802</v>
      </c>
    </row>
    <row r="238" spans="1:7" x14ac:dyDescent="0.35">
      <c r="A238" s="65">
        <v>236</v>
      </c>
      <c r="B238" s="66">
        <v>3.61749622567199</v>
      </c>
      <c r="C238" s="66">
        <v>2.5006984706069999</v>
      </c>
      <c r="D238" s="67">
        <v>1.6894524226160601</v>
      </c>
      <c r="E238" s="67">
        <v>33.952917768719203</v>
      </c>
      <c r="F238" s="67">
        <v>-22.4111038556747</v>
      </c>
      <c r="G238" s="67">
        <v>10.5521906842196</v>
      </c>
    </row>
    <row r="239" spans="1:7" x14ac:dyDescent="0.35">
      <c r="A239" s="65">
        <v>237</v>
      </c>
      <c r="B239" s="66">
        <v>7.0084420100199001</v>
      </c>
      <c r="C239" s="66">
        <v>3.4568430189161901</v>
      </c>
      <c r="D239" s="67">
        <v>10.6376408844792</v>
      </c>
      <c r="E239" s="67">
        <v>-18.031946070329798</v>
      </c>
      <c r="F239" s="67">
        <v>22.378112279772299</v>
      </c>
      <c r="G239" s="67">
        <v>7.9084079901463697</v>
      </c>
    </row>
    <row r="240" spans="1:7" x14ac:dyDescent="0.35">
      <c r="A240" s="65">
        <v>238</v>
      </c>
      <c r="B240" s="66">
        <v>5.7592466736869303</v>
      </c>
      <c r="C240" s="66">
        <v>-2.8546881375906801</v>
      </c>
      <c r="D240" s="67">
        <v>5.83779525229457</v>
      </c>
      <c r="E240" s="67">
        <v>-1.85073343136377</v>
      </c>
      <c r="F240" s="67">
        <v>5.0867048507502002</v>
      </c>
      <c r="G240" s="67">
        <v>3.2753601247887101</v>
      </c>
    </row>
    <row r="241" spans="1:7" x14ac:dyDescent="0.35">
      <c r="A241" s="65">
        <v>239</v>
      </c>
      <c r="B241" s="66">
        <v>3.1684109494074102</v>
      </c>
      <c r="C241" s="66">
        <v>1.9618967902279401</v>
      </c>
      <c r="D241" s="67">
        <v>0.85624292315335104</v>
      </c>
      <c r="E241" s="67">
        <v>-5.69631692430531</v>
      </c>
      <c r="F241" s="67">
        <v>-1.9461401744031399</v>
      </c>
      <c r="G241" s="67">
        <v>5.7111693879101999</v>
      </c>
    </row>
    <row r="242" spans="1:7" x14ac:dyDescent="0.35">
      <c r="A242" s="65">
        <v>240</v>
      </c>
      <c r="B242" s="66">
        <v>-1.3216928359359399</v>
      </c>
      <c r="C242" s="66">
        <v>1.97476702814509</v>
      </c>
      <c r="D242" s="67">
        <v>1.61730621149959</v>
      </c>
      <c r="E242" s="67">
        <v>11.0157992228323</v>
      </c>
      <c r="F242" s="67">
        <v>-4.6459198482872699</v>
      </c>
      <c r="G242" s="67">
        <v>-9.1372115121059405</v>
      </c>
    </row>
    <row r="243" spans="1:7" x14ac:dyDescent="0.35">
      <c r="A243" s="65">
        <v>241</v>
      </c>
      <c r="B243" s="66">
        <v>3.8404212843206098</v>
      </c>
      <c r="C243" s="66">
        <v>-4.5106198548249603</v>
      </c>
      <c r="D243" s="67">
        <v>7.2618167547508099</v>
      </c>
      <c r="E243" s="67">
        <v>7.7121812259038602</v>
      </c>
      <c r="F243" s="67">
        <v>7.2743875076487701</v>
      </c>
      <c r="G243" s="67">
        <v>4.3311971865558601</v>
      </c>
    </row>
    <row r="244" spans="1:7" x14ac:dyDescent="0.35">
      <c r="A244" s="65">
        <v>242</v>
      </c>
      <c r="B244" s="66">
        <v>-2.8937651745293298</v>
      </c>
      <c r="C244" s="66">
        <v>-6.5857116190175802</v>
      </c>
      <c r="D244" s="67">
        <v>0.63562637166841696</v>
      </c>
      <c r="E244" s="67">
        <v>-10.429884247545999</v>
      </c>
      <c r="F244" s="67">
        <v>2.67391711164526</v>
      </c>
      <c r="G244" s="67">
        <v>0.80742532897117802</v>
      </c>
    </row>
    <row r="245" spans="1:7" x14ac:dyDescent="0.35">
      <c r="A245" s="65">
        <v>243</v>
      </c>
      <c r="B245" s="66">
        <v>-3.6261954178659699</v>
      </c>
      <c r="C245" s="66">
        <v>3.3667466106547801</v>
      </c>
      <c r="D245" s="67">
        <v>1.25173957732723</v>
      </c>
      <c r="E245" s="67">
        <v>15.200269539380299</v>
      </c>
      <c r="F245" s="67">
        <v>-2.8347494922366199</v>
      </c>
      <c r="G245" s="67">
        <v>6.3964989002606103</v>
      </c>
    </row>
    <row r="246" spans="1:7" x14ac:dyDescent="0.35">
      <c r="A246" s="65">
        <v>244</v>
      </c>
      <c r="B246" s="66">
        <v>3.8429193612266199</v>
      </c>
      <c r="C246" s="66">
        <v>4.3297676964111398</v>
      </c>
      <c r="D246" s="67">
        <v>2.5131360311850699</v>
      </c>
      <c r="E246" s="67">
        <v>14.764475154424099</v>
      </c>
      <c r="F246" s="67">
        <v>-1.6185025680063001</v>
      </c>
      <c r="G246" s="67">
        <v>-7.6619324193001903</v>
      </c>
    </row>
    <row r="247" spans="1:7" x14ac:dyDescent="0.35">
      <c r="A247" s="65">
        <v>245</v>
      </c>
      <c r="B247" s="66">
        <v>-3.3239834246946298</v>
      </c>
      <c r="C247" s="66">
        <v>1.27345562337755</v>
      </c>
      <c r="D247" s="67">
        <v>7.8836500701200096</v>
      </c>
      <c r="E247" s="67">
        <v>-0.66011629784227299</v>
      </c>
      <c r="F247" s="67">
        <v>6.2848578514435198</v>
      </c>
      <c r="G247" s="67">
        <v>-1.04419523976115</v>
      </c>
    </row>
    <row r="248" spans="1:7" x14ac:dyDescent="0.35">
      <c r="A248" s="65">
        <v>246</v>
      </c>
      <c r="B248" s="66">
        <v>-16.718589784897599</v>
      </c>
      <c r="C248" s="66">
        <v>-4.6982577342148204</v>
      </c>
      <c r="D248" s="67">
        <v>1.1054499666506901</v>
      </c>
      <c r="E248" s="67">
        <v>11.010156937766199</v>
      </c>
      <c r="F248" s="67">
        <v>-6.5441769998984904</v>
      </c>
      <c r="G248" s="67">
        <v>-3.25931080274044</v>
      </c>
    </row>
    <row r="249" spans="1:7" x14ac:dyDescent="0.35">
      <c r="A249" s="65">
        <v>247</v>
      </c>
      <c r="B249" s="66">
        <v>4.4918666231322097</v>
      </c>
      <c r="C249" s="66">
        <v>0.53596628991227702</v>
      </c>
      <c r="D249" s="67">
        <v>1.0998735761446701</v>
      </c>
      <c r="E249" s="67">
        <v>-12.171845321583699</v>
      </c>
      <c r="F249" s="67">
        <v>5.6004626946922196</v>
      </c>
      <c r="G249" s="67">
        <v>2.9744315643052199</v>
      </c>
    </row>
    <row r="250" spans="1:7" x14ac:dyDescent="0.35">
      <c r="A250" s="65">
        <v>248</v>
      </c>
      <c r="B250" s="66">
        <v>-0.46293999973826999</v>
      </c>
      <c r="C250" s="66">
        <v>-10.615559509066101</v>
      </c>
      <c r="D250" s="67">
        <v>0.45972620771638201</v>
      </c>
      <c r="E250" s="67">
        <v>20.611142069960501</v>
      </c>
      <c r="F250" s="67">
        <v>5.3363193634993102</v>
      </c>
      <c r="G250" s="67">
        <v>0.49469558183512402</v>
      </c>
    </row>
    <row r="251" spans="1:7" x14ac:dyDescent="0.35">
      <c r="A251" s="65">
        <v>249</v>
      </c>
      <c r="B251" s="66">
        <v>7.3568333927909499</v>
      </c>
      <c r="C251" s="66">
        <v>-4.02329862846703</v>
      </c>
      <c r="D251" s="67">
        <v>4.3645805221142604</v>
      </c>
      <c r="E251" s="67">
        <v>-4.2589022276905899</v>
      </c>
      <c r="F251" s="67">
        <v>11.9790373801714</v>
      </c>
      <c r="G251" s="67">
        <v>2.9935490792516002</v>
      </c>
    </row>
    <row r="252" spans="1:7" x14ac:dyDescent="0.35">
      <c r="A252" s="65">
        <v>250</v>
      </c>
      <c r="B252" s="66">
        <v>2.77908486903929</v>
      </c>
      <c r="C252" s="66">
        <v>6.0894805440796</v>
      </c>
      <c r="D252" s="67">
        <v>2.1420948934416999</v>
      </c>
      <c r="E252" s="67">
        <v>0.60225066737952804</v>
      </c>
      <c r="F252" s="67">
        <v>-7.4071413040577898</v>
      </c>
      <c r="G252" s="67">
        <v>0.25866296505757203</v>
      </c>
    </row>
    <row r="253" spans="1:7" x14ac:dyDescent="0.35">
      <c r="A253" s="65">
        <v>251</v>
      </c>
      <c r="B253" s="66">
        <v>8.8267831813044193</v>
      </c>
      <c r="C253" s="66">
        <v>7.8997559833068198</v>
      </c>
      <c r="D253" s="67">
        <v>0.34793657047559001</v>
      </c>
      <c r="E253" s="67">
        <v>8.0715557284992396</v>
      </c>
      <c r="F253" s="67">
        <v>-2.15588414747176</v>
      </c>
      <c r="G253" s="67">
        <v>-3.1073563268528401</v>
      </c>
    </row>
    <row r="254" spans="1:7" x14ac:dyDescent="0.35">
      <c r="A254" s="65">
        <v>252</v>
      </c>
      <c r="B254" s="66">
        <v>-27.7675624247148</v>
      </c>
      <c r="C254" s="66">
        <v>8.7223320424104909</v>
      </c>
      <c r="D254" s="67">
        <v>2.3327159299363101</v>
      </c>
      <c r="E254" s="67">
        <v>14.766050281407299</v>
      </c>
      <c r="F254" s="67">
        <v>8.7403227376534804</v>
      </c>
      <c r="G254" s="67">
        <v>-1.1650339401563801</v>
      </c>
    </row>
    <row r="255" spans="1:7" x14ac:dyDescent="0.35">
      <c r="A255" s="65">
        <v>253</v>
      </c>
      <c r="B255" s="66">
        <v>-16.0410709926294</v>
      </c>
      <c r="C255" s="66">
        <v>-0.64945744289389096</v>
      </c>
      <c r="D255" s="67">
        <v>3.4943615958962502</v>
      </c>
      <c r="E255" s="67">
        <v>-8.2289660216415506</v>
      </c>
      <c r="F255" s="67">
        <v>-4.3907328272058104</v>
      </c>
      <c r="G255" s="67">
        <v>11.564658827657601</v>
      </c>
    </row>
    <row r="256" spans="1:7" x14ac:dyDescent="0.35">
      <c r="A256" s="65">
        <v>254</v>
      </c>
      <c r="B256" s="66">
        <v>1.5327048141894799</v>
      </c>
      <c r="C256" s="66">
        <v>-5.5734580820449597</v>
      </c>
      <c r="D256" s="67">
        <v>0.65027816843959396</v>
      </c>
      <c r="E256" s="67">
        <v>-3.3093758474578001</v>
      </c>
      <c r="F256" s="67">
        <v>2.1978271818991799</v>
      </c>
      <c r="G256" s="67">
        <v>6.5126934291730398</v>
      </c>
    </row>
    <row r="257" spans="1:7" x14ac:dyDescent="0.35">
      <c r="A257" s="65">
        <v>255</v>
      </c>
      <c r="B257" s="66">
        <v>-2.5411000290224002</v>
      </c>
      <c r="C257" s="66">
        <v>5.29953740662281</v>
      </c>
      <c r="D257" s="67">
        <v>1.6805885287612701</v>
      </c>
      <c r="E257" s="67">
        <v>-6.1674711315789903</v>
      </c>
      <c r="F257" s="67">
        <v>-16.5834008713054</v>
      </c>
      <c r="G257" s="67">
        <v>-0.68365118608692299</v>
      </c>
    </row>
    <row r="258" spans="1:7" x14ac:dyDescent="0.35">
      <c r="A258" s="65">
        <v>256</v>
      </c>
      <c r="B258" s="66">
        <v>8.7688224099941703</v>
      </c>
      <c r="C258" s="66">
        <v>-6.7137555073600304</v>
      </c>
      <c r="D258" s="67">
        <v>1.2646316498779799</v>
      </c>
      <c r="E258" s="67">
        <v>-4.6499686843119603</v>
      </c>
      <c r="F258" s="67">
        <v>-6.7515167082634298</v>
      </c>
      <c r="G258" s="67">
        <v>1.0566239142216101</v>
      </c>
    </row>
    <row r="259" spans="1:7" x14ac:dyDescent="0.35">
      <c r="A259" s="65">
        <v>257</v>
      </c>
      <c r="B259" s="66">
        <v>7.8936300643684101</v>
      </c>
      <c r="C259" s="66">
        <v>8.5286631514721094</v>
      </c>
      <c r="D259" s="67">
        <v>3.6136565627155202</v>
      </c>
      <c r="E259" s="67">
        <v>-13.422147318710399</v>
      </c>
      <c r="F259" s="67">
        <v>-6.3346294126200204</v>
      </c>
      <c r="G259" s="67">
        <v>-0.226504705278327</v>
      </c>
    </row>
    <row r="260" spans="1:7" x14ac:dyDescent="0.35">
      <c r="A260" s="65">
        <v>258</v>
      </c>
      <c r="B260" s="66">
        <v>11.027354141123601</v>
      </c>
      <c r="C260" s="66">
        <v>0.31879785221971302</v>
      </c>
      <c r="D260" s="67">
        <v>6.5908565857649704</v>
      </c>
      <c r="E260" s="67">
        <v>20.245637681212798</v>
      </c>
      <c r="F260" s="67">
        <v>6.0072375140811101</v>
      </c>
      <c r="G260" s="67">
        <v>4.9156111535162097</v>
      </c>
    </row>
    <row r="261" spans="1:7" x14ac:dyDescent="0.35">
      <c r="A261" s="65">
        <v>259</v>
      </c>
      <c r="B261" s="66">
        <v>7.2799401231875001</v>
      </c>
      <c r="C261" s="66">
        <v>0.93210755136768897</v>
      </c>
      <c r="D261" s="67">
        <v>2.5852156599323202</v>
      </c>
      <c r="E261" s="67">
        <v>24.142316883571901</v>
      </c>
      <c r="F261" s="67">
        <v>-7.3583126657959097</v>
      </c>
      <c r="G261" s="67">
        <v>-1.57407745603321</v>
      </c>
    </row>
    <row r="262" spans="1:7" x14ac:dyDescent="0.35">
      <c r="A262" s="65">
        <v>260</v>
      </c>
      <c r="B262" s="66">
        <v>7.0844455756285303</v>
      </c>
      <c r="C262" s="66">
        <v>1.77484655790764</v>
      </c>
      <c r="D262" s="67">
        <v>1.3476092176891401</v>
      </c>
      <c r="E262" s="67">
        <v>26.811016639085501</v>
      </c>
      <c r="F262" s="67">
        <v>-6.23394776883615</v>
      </c>
      <c r="G262" s="67">
        <v>5.1613525731533896</v>
      </c>
    </row>
    <row r="263" spans="1:7" x14ac:dyDescent="0.35">
      <c r="A263" s="65">
        <v>261</v>
      </c>
      <c r="B263" s="66">
        <v>5.9984069933866699</v>
      </c>
      <c r="C263" s="66">
        <v>-2.6965196746165998</v>
      </c>
      <c r="D263" s="67">
        <v>0.138436639856968</v>
      </c>
      <c r="E263" s="67">
        <v>16.117918119416</v>
      </c>
      <c r="F263" s="67">
        <v>-1.8395190822696701</v>
      </c>
      <c r="G263" s="67">
        <v>0.33991923439677202</v>
      </c>
    </row>
    <row r="264" spans="1:7" x14ac:dyDescent="0.35">
      <c r="A264" s="65">
        <v>262</v>
      </c>
      <c r="B264" s="66">
        <v>6.3281378673285502</v>
      </c>
      <c r="C264" s="66">
        <v>-4.3664970129913998</v>
      </c>
      <c r="D264" s="67">
        <v>0.14965413730367699</v>
      </c>
      <c r="E264" s="67">
        <v>30.1694603948931</v>
      </c>
      <c r="F264" s="67">
        <v>-8.7258937103796903</v>
      </c>
      <c r="G264" s="67">
        <v>5.9297832266318302</v>
      </c>
    </row>
    <row r="265" spans="1:7" x14ac:dyDescent="0.35">
      <c r="A265" s="65">
        <v>263</v>
      </c>
      <c r="B265" s="66">
        <v>15.5264355791503</v>
      </c>
      <c r="C265" s="66">
        <v>1.86747044387651</v>
      </c>
      <c r="D265" s="67">
        <v>3.3139966880226002</v>
      </c>
      <c r="E265" s="67">
        <v>12.3006251779309</v>
      </c>
      <c r="F265" s="67">
        <v>-5.1163628407830899</v>
      </c>
      <c r="G265" s="67">
        <v>-6.1833182631565702</v>
      </c>
    </row>
    <row r="266" spans="1:7" x14ac:dyDescent="0.35">
      <c r="A266" s="65">
        <v>264</v>
      </c>
      <c r="B266" s="66">
        <v>-27.9732175556614</v>
      </c>
      <c r="C266" s="66">
        <v>1.2611704263945001</v>
      </c>
      <c r="D266" s="67">
        <v>0.85173132450563604</v>
      </c>
      <c r="E266" s="67">
        <v>31.874603400612099</v>
      </c>
      <c r="F266" s="67">
        <v>2.4103929043792802</v>
      </c>
      <c r="G266" s="67">
        <v>10.4094736916412</v>
      </c>
    </row>
    <row r="267" spans="1:7" x14ac:dyDescent="0.35">
      <c r="A267" s="65">
        <v>265</v>
      </c>
      <c r="B267" s="66">
        <v>-14.5953689256486</v>
      </c>
      <c r="C267" s="66">
        <v>-3.27696006513571</v>
      </c>
      <c r="D267" s="67">
        <v>1.1727483818067801</v>
      </c>
      <c r="E267" s="67">
        <v>-19.912574565783199</v>
      </c>
      <c r="F267" s="67">
        <v>-13.080005076122401</v>
      </c>
      <c r="G267" s="67">
        <v>7.2713996502000802</v>
      </c>
    </row>
    <row r="268" spans="1:7" x14ac:dyDescent="0.35">
      <c r="A268" s="65">
        <v>266</v>
      </c>
      <c r="B268" s="66">
        <v>-6.2202175538680198</v>
      </c>
      <c r="C268" s="66">
        <v>-0.52771276523640498</v>
      </c>
      <c r="D268" s="67">
        <v>3.1741428280210799</v>
      </c>
      <c r="E268" s="67">
        <v>11.571903182089599</v>
      </c>
      <c r="F268" s="67">
        <v>-0.43236907417484999</v>
      </c>
      <c r="G268" s="67">
        <v>1.4941383400282799</v>
      </c>
    </row>
    <row r="269" spans="1:7" x14ac:dyDescent="0.35">
      <c r="A269" s="65">
        <v>267</v>
      </c>
      <c r="B269" s="66">
        <v>-2.9676844697896101</v>
      </c>
      <c r="C269" s="66">
        <v>-0.68768989440325101</v>
      </c>
      <c r="D269" s="67">
        <v>2.45518756422502</v>
      </c>
      <c r="E269" s="67">
        <v>-24.071875816110602</v>
      </c>
      <c r="F269" s="67">
        <v>-4.6023351212203503</v>
      </c>
      <c r="G269" s="67">
        <v>7.4332968122060699</v>
      </c>
    </row>
    <row r="270" spans="1:7" x14ac:dyDescent="0.35">
      <c r="A270" s="65">
        <v>268</v>
      </c>
      <c r="B270" s="66">
        <v>1.6005044658163301</v>
      </c>
      <c r="C270" s="66">
        <v>-6.8624104805652797</v>
      </c>
      <c r="D270" s="67">
        <v>6.6488648838362803</v>
      </c>
      <c r="E270" s="67">
        <v>1.7116432947754201</v>
      </c>
      <c r="F270" s="67">
        <v>-2.0924334190463298</v>
      </c>
      <c r="G270" s="67">
        <v>3.7712576633217898</v>
      </c>
    </row>
    <row r="271" spans="1:7" x14ac:dyDescent="0.35">
      <c r="A271" s="65">
        <v>269</v>
      </c>
      <c r="B271" s="66">
        <v>2.5481780898980699</v>
      </c>
      <c r="C271" s="66">
        <v>-7.7882335393860904</v>
      </c>
      <c r="D271" s="67">
        <v>1.7629447764828301</v>
      </c>
      <c r="E271" s="67">
        <v>-5.1291842758740902</v>
      </c>
      <c r="F271" s="67">
        <v>20.931876341256299</v>
      </c>
      <c r="G271" s="67">
        <v>16.4722615247878</v>
      </c>
    </row>
    <row r="272" spans="1:7" x14ac:dyDescent="0.35">
      <c r="A272" s="65">
        <v>270</v>
      </c>
      <c r="B272" s="66">
        <v>-10.7900990887687</v>
      </c>
      <c r="C272" s="66">
        <v>3.9043947159403598</v>
      </c>
      <c r="D272" s="67">
        <v>3.1007089946399802</v>
      </c>
      <c r="E272" s="67">
        <v>10.065056777299599</v>
      </c>
      <c r="F272" s="67">
        <v>-9.8096665159950795</v>
      </c>
      <c r="G272" s="67">
        <v>-2.0240446907796699</v>
      </c>
    </row>
    <row r="273" spans="1:7" x14ac:dyDescent="0.35">
      <c r="A273" s="65">
        <v>271</v>
      </c>
      <c r="B273" s="66">
        <v>-2.45980446082062</v>
      </c>
      <c r="C273" s="66">
        <v>-0.58386571378065899</v>
      </c>
      <c r="D273" s="67">
        <v>3.2426738667445401</v>
      </c>
      <c r="E273" s="67">
        <v>10.3718397164065</v>
      </c>
      <c r="F273" s="67">
        <v>-24.6071987688245</v>
      </c>
      <c r="G273" s="67">
        <v>-7.2821053553286896</v>
      </c>
    </row>
    <row r="274" spans="1:7" x14ac:dyDescent="0.35">
      <c r="A274" s="65">
        <v>272</v>
      </c>
      <c r="B274" s="66">
        <v>1.2007706001143601</v>
      </c>
      <c r="C274" s="66">
        <v>-6.4104540694344898</v>
      </c>
      <c r="D274" s="67">
        <v>4.3811993860118497</v>
      </c>
      <c r="E274" s="67">
        <v>19.6840813116067</v>
      </c>
      <c r="F274" s="67">
        <v>0.261633590523072</v>
      </c>
      <c r="G274" s="67">
        <v>3.0979431960234001</v>
      </c>
    </row>
    <row r="275" spans="1:7" x14ac:dyDescent="0.35">
      <c r="A275" s="65">
        <v>273</v>
      </c>
      <c r="B275" s="66">
        <v>4.1776045446747396</v>
      </c>
      <c r="C275" s="66">
        <v>3.8813452871969898</v>
      </c>
      <c r="D275" s="67">
        <v>3.2425555675537399</v>
      </c>
      <c r="E275" s="67">
        <v>-23.0930421833217</v>
      </c>
      <c r="F275" s="67">
        <v>9.5041620640768194</v>
      </c>
      <c r="G275" s="67">
        <v>-5.69057499310611</v>
      </c>
    </row>
    <row r="276" spans="1:7" x14ac:dyDescent="0.35">
      <c r="A276" s="65">
        <v>274</v>
      </c>
      <c r="B276" s="66">
        <v>16.8611554397168</v>
      </c>
      <c r="C276" s="66">
        <v>1.1493408380771</v>
      </c>
      <c r="D276" s="67">
        <v>7.1360534634991</v>
      </c>
      <c r="E276" s="67">
        <v>12.596135413427801</v>
      </c>
      <c r="F276" s="67">
        <v>-1.4093911813300199</v>
      </c>
      <c r="G276" s="67">
        <v>2.2964846135074901</v>
      </c>
    </row>
    <row r="277" spans="1:7" x14ac:dyDescent="0.35">
      <c r="A277" s="65">
        <v>275</v>
      </c>
      <c r="B277" s="66">
        <v>2.23453821996603</v>
      </c>
      <c r="C277" s="66">
        <v>-1.3483967949975699</v>
      </c>
      <c r="D277" s="67">
        <v>0.92802718139205398</v>
      </c>
      <c r="E277" s="67">
        <v>-3.4054244163174601</v>
      </c>
      <c r="F277" s="67">
        <v>8.6639398236595095</v>
      </c>
      <c r="G277" s="67">
        <v>5.1268215136446296</v>
      </c>
    </row>
    <row r="278" spans="1:7" x14ac:dyDescent="0.35">
      <c r="A278" s="65">
        <v>276</v>
      </c>
      <c r="B278" s="66">
        <v>-15.808572688259099</v>
      </c>
      <c r="C278" s="66">
        <v>-3.65254281586826</v>
      </c>
      <c r="D278" s="67">
        <v>5.7379084500860902</v>
      </c>
      <c r="E278" s="67">
        <v>20.702774463086001</v>
      </c>
      <c r="F278" s="67">
        <v>-6.0620364166527896</v>
      </c>
      <c r="G278" s="67">
        <v>2.2333817420436</v>
      </c>
    </row>
    <row r="279" spans="1:7" x14ac:dyDescent="0.35">
      <c r="A279" s="65">
        <v>277</v>
      </c>
      <c r="B279" s="66">
        <v>-24.9553919763073</v>
      </c>
      <c r="C279" s="66">
        <v>6.7543707702291798</v>
      </c>
      <c r="D279" s="67">
        <v>6.9530492561067598</v>
      </c>
      <c r="E279" s="67">
        <v>-18.1664733705218</v>
      </c>
      <c r="F279" s="67">
        <v>0.50934772541455597</v>
      </c>
      <c r="G279" s="67">
        <v>-5.2809421025007701</v>
      </c>
    </row>
    <row r="280" spans="1:7" x14ac:dyDescent="0.35">
      <c r="A280" s="65">
        <v>278</v>
      </c>
      <c r="B280" s="66">
        <v>-9.7012694904906294</v>
      </c>
      <c r="C280" s="66">
        <v>-10.8451013374503</v>
      </c>
      <c r="D280" s="67">
        <v>0.62559184515116295</v>
      </c>
      <c r="E280" s="67">
        <v>4.86051717571375</v>
      </c>
      <c r="F280" s="67">
        <v>-6.4420942845296398</v>
      </c>
      <c r="G280" s="67">
        <v>-3.5865712469212201</v>
      </c>
    </row>
    <row r="281" spans="1:7" x14ac:dyDescent="0.35">
      <c r="A281" s="65">
        <v>279</v>
      </c>
      <c r="B281" s="66">
        <v>1.5718039473135099</v>
      </c>
      <c r="C281" s="66">
        <v>1.8449456790288601</v>
      </c>
      <c r="D281" s="67">
        <v>0.23738354887322199</v>
      </c>
      <c r="E281" s="67">
        <v>-24.554148453486501</v>
      </c>
      <c r="F281" s="67">
        <v>15.045441796378499</v>
      </c>
      <c r="G281" s="67">
        <v>2.9332472557945399</v>
      </c>
    </row>
    <row r="282" spans="1:7" x14ac:dyDescent="0.35">
      <c r="A282" s="65">
        <v>280</v>
      </c>
      <c r="B282" s="66">
        <v>-0.145188630433813</v>
      </c>
      <c r="C282" s="66">
        <v>3.00963084841178</v>
      </c>
      <c r="D282" s="67">
        <v>2.8444157053759702</v>
      </c>
      <c r="E282" s="67">
        <v>8.8117223339675004</v>
      </c>
      <c r="F282" s="67">
        <v>17.473415548801199</v>
      </c>
      <c r="G282" s="67">
        <v>5.0288618359660804</v>
      </c>
    </row>
    <row r="283" spans="1:7" x14ac:dyDescent="0.35">
      <c r="A283" s="65">
        <v>281</v>
      </c>
      <c r="B283" s="66">
        <v>2.67180943315884</v>
      </c>
      <c r="C283" s="66">
        <v>-7.2943547186008102</v>
      </c>
      <c r="D283" s="67">
        <v>1.2364037095623199</v>
      </c>
      <c r="E283" s="67">
        <v>8.9109203690680108</v>
      </c>
      <c r="F283" s="67">
        <v>0.91270782306392595</v>
      </c>
      <c r="G283" s="67">
        <v>4.7901684275085099</v>
      </c>
    </row>
    <row r="284" spans="1:7" x14ac:dyDescent="0.35">
      <c r="A284" s="65">
        <v>282</v>
      </c>
      <c r="B284" s="66">
        <v>-14.9937014568417</v>
      </c>
      <c r="C284" s="66">
        <v>-8.94209196874505</v>
      </c>
      <c r="D284" s="67">
        <v>3.36966003231742</v>
      </c>
      <c r="E284" s="67">
        <v>-14.532635694798</v>
      </c>
      <c r="F284" s="67">
        <v>0.637881967550326</v>
      </c>
      <c r="G284" s="67">
        <v>7.64003276615452</v>
      </c>
    </row>
    <row r="285" spans="1:7" x14ac:dyDescent="0.35">
      <c r="A285" s="65">
        <v>283</v>
      </c>
      <c r="B285" s="66">
        <v>-3.2395260188336001</v>
      </c>
      <c r="C285" s="66">
        <v>-5.7740048586229804</v>
      </c>
      <c r="D285" s="67">
        <v>3.1786116359749901</v>
      </c>
      <c r="E285" s="67">
        <v>14.994887649629099</v>
      </c>
      <c r="F285" s="67">
        <v>-2.1775687869592999</v>
      </c>
      <c r="G285" s="67">
        <v>15.0660205268689</v>
      </c>
    </row>
    <row r="286" spans="1:7" x14ac:dyDescent="0.35">
      <c r="A286" s="65">
        <v>284</v>
      </c>
      <c r="B286" s="66">
        <v>7.0875920030784698</v>
      </c>
      <c r="C286" s="66">
        <v>-2.3918345803912699</v>
      </c>
      <c r="D286" s="67">
        <v>11.0974839819372</v>
      </c>
      <c r="E286" s="67">
        <v>9.5228237532318296</v>
      </c>
      <c r="F286" s="67">
        <v>1.6547367566870601</v>
      </c>
      <c r="G286" s="67">
        <v>2.6547697753126598</v>
      </c>
    </row>
    <row r="287" spans="1:7" x14ac:dyDescent="0.35">
      <c r="A287" s="65">
        <v>285</v>
      </c>
      <c r="B287" s="66">
        <v>4.59951519896057</v>
      </c>
      <c r="C287" s="66">
        <v>4.2949476221874896</v>
      </c>
      <c r="D287" s="67">
        <v>0.65529876654711605</v>
      </c>
      <c r="E287" s="67">
        <v>-28.527826109537301</v>
      </c>
      <c r="F287" s="67">
        <v>-14.7848295488351</v>
      </c>
      <c r="G287" s="67">
        <v>6.0907611183733996</v>
      </c>
    </row>
    <row r="288" spans="1:7" x14ac:dyDescent="0.35">
      <c r="A288" s="65">
        <v>286</v>
      </c>
      <c r="B288" s="66">
        <v>-3.4550785674316602</v>
      </c>
      <c r="C288" s="66">
        <v>-2.2175025144924301</v>
      </c>
      <c r="D288" s="67">
        <v>3.6561585464590798</v>
      </c>
      <c r="E288" s="67">
        <v>-8.9147644345046206</v>
      </c>
      <c r="F288" s="67">
        <v>-19.919109570910301</v>
      </c>
      <c r="G288" s="67">
        <v>-2.4214492813128601</v>
      </c>
    </row>
    <row r="289" spans="1:7" x14ac:dyDescent="0.35">
      <c r="A289" s="65">
        <v>287</v>
      </c>
      <c r="B289" s="66">
        <v>-7.00265297034802</v>
      </c>
      <c r="C289" s="66">
        <v>0.107051446479476</v>
      </c>
      <c r="D289" s="67">
        <v>5.8980939153490999</v>
      </c>
      <c r="E289" s="67">
        <v>5.6933045764665797</v>
      </c>
      <c r="F289" s="67">
        <v>5.2864101983467</v>
      </c>
      <c r="G289" s="67">
        <v>-1.5640068886956999</v>
      </c>
    </row>
    <row r="290" spans="1:7" x14ac:dyDescent="0.35">
      <c r="A290" s="65">
        <v>288</v>
      </c>
      <c r="B290" s="66">
        <v>1.8818834270034499</v>
      </c>
      <c r="C290" s="66">
        <v>-4.5842944590558403</v>
      </c>
      <c r="D290" s="67">
        <v>5.61233115764382</v>
      </c>
      <c r="E290" s="67">
        <v>6.0838758484729798</v>
      </c>
      <c r="F290" s="67">
        <v>-0.60929493160346204</v>
      </c>
      <c r="G290" s="67">
        <v>-2.4379130030959901</v>
      </c>
    </row>
    <row r="291" spans="1:7" x14ac:dyDescent="0.35">
      <c r="A291" s="65">
        <v>289</v>
      </c>
      <c r="B291" s="66">
        <v>2.7754926944971898</v>
      </c>
      <c r="C291" s="66">
        <v>-2.3864830668133301</v>
      </c>
      <c r="D291" s="67">
        <v>3.4620557697319598</v>
      </c>
      <c r="E291" s="67">
        <v>8.4630521733216195</v>
      </c>
      <c r="F291" s="67">
        <v>6.7921321761064597</v>
      </c>
      <c r="G291" s="67">
        <v>2.9961576137097401</v>
      </c>
    </row>
    <row r="292" spans="1:7" x14ac:dyDescent="0.35">
      <c r="A292" s="65">
        <v>290</v>
      </c>
      <c r="B292" s="66">
        <v>-11.3020039404085</v>
      </c>
      <c r="C292" s="66">
        <v>9.90227481353255</v>
      </c>
      <c r="D292" s="67">
        <v>4.6320183487159596</v>
      </c>
      <c r="E292" s="67">
        <v>-19.880047279507099</v>
      </c>
      <c r="F292" s="67">
        <v>1.20419045134735</v>
      </c>
      <c r="G292" s="67">
        <v>7.7596841337713496</v>
      </c>
    </row>
    <row r="293" spans="1:7" x14ac:dyDescent="0.35">
      <c r="A293" s="65">
        <v>291</v>
      </c>
      <c r="B293" s="66">
        <v>-7.6667646907341096</v>
      </c>
      <c r="C293" s="66">
        <v>9.8822132949597599</v>
      </c>
      <c r="D293" s="67">
        <v>9.6876780258346393</v>
      </c>
      <c r="E293" s="67">
        <v>13.4350129813041</v>
      </c>
      <c r="F293" s="67">
        <v>-7.3265934180502903</v>
      </c>
      <c r="G293" s="67">
        <v>2.1402770637219799</v>
      </c>
    </row>
    <row r="294" spans="1:7" x14ac:dyDescent="0.35">
      <c r="A294" s="65">
        <v>292</v>
      </c>
      <c r="B294" s="66">
        <v>-15.603782220433001</v>
      </c>
      <c r="C294" s="66">
        <v>0.26780923350066299</v>
      </c>
      <c r="D294" s="67">
        <v>2.87791186053675</v>
      </c>
      <c r="E294" s="67">
        <v>16.616726880575399</v>
      </c>
      <c r="F294" s="67">
        <v>1.9323729416645901</v>
      </c>
      <c r="G294" s="67">
        <v>10.092277725113499</v>
      </c>
    </row>
    <row r="295" spans="1:7" x14ac:dyDescent="0.35">
      <c r="A295" s="65">
        <v>293</v>
      </c>
      <c r="B295" s="66">
        <v>-6.7010861291434001</v>
      </c>
      <c r="C295" s="66">
        <v>1.83261014526264</v>
      </c>
      <c r="D295" s="67">
        <v>0.89103543646725403</v>
      </c>
      <c r="E295" s="67">
        <v>-9.0879283098152595</v>
      </c>
      <c r="F295" s="67">
        <v>-3.6348792041719902</v>
      </c>
      <c r="G295" s="67">
        <v>2.4065155171948698</v>
      </c>
    </row>
    <row r="296" spans="1:7" x14ac:dyDescent="0.35">
      <c r="A296" s="65">
        <v>294</v>
      </c>
      <c r="B296" s="66">
        <v>-7.4455710668825397</v>
      </c>
      <c r="C296" s="66">
        <v>1.91503579037459</v>
      </c>
      <c r="D296" s="67">
        <v>11.7576450039544</v>
      </c>
      <c r="E296" s="67">
        <v>5.8234102487509096</v>
      </c>
      <c r="F296" s="67">
        <v>1.5996559433854201</v>
      </c>
      <c r="G296" s="67">
        <v>8.1295758591776792</v>
      </c>
    </row>
    <row r="297" spans="1:7" x14ac:dyDescent="0.35">
      <c r="A297" s="65">
        <v>295</v>
      </c>
      <c r="B297" s="66">
        <v>20.650668263035499</v>
      </c>
      <c r="C297" s="66">
        <v>-2.8394073838357898</v>
      </c>
      <c r="D297" s="67">
        <v>1.6414479498149701</v>
      </c>
      <c r="E297" s="67">
        <v>8.1285010340812693</v>
      </c>
      <c r="F297" s="67">
        <v>-0.372426151757901</v>
      </c>
      <c r="G297" s="67">
        <v>-6.4185714562424003</v>
      </c>
    </row>
    <row r="298" spans="1:7" x14ac:dyDescent="0.35">
      <c r="A298" s="65">
        <v>296</v>
      </c>
      <c r="B298" s="66">
        <v>5.0087154051300899</v>
      </c>
      <c r="C298" s="66">
        <v>-7.8285175787510903</v>
      </c>
      <c r="D298" s="67">
        <v>2.7926426271992502</v>
      </c>
      <c r="E298" s="67">
        <v>-22.169753219819601</v>
      </c>
      <c r="F298" s="67">
        <v>-2.6486297070062998</v>
      </c>
      <c r="G298" s="67">
        <v>-1.8402625979485701</v>
      </c>
    </row>
    <row r="299" spans="1:7" x14ac:dyDescent="0.35">
      <c r="A299" s="65">
        <v>297</v>
      </c>
      <c r="B299" s="66">
        <v>-13.515319346771101</v>
      </c>
      <c r="C299" s="66">
        <v>-9.0203432105662795</v>
      </c>
      <c r="D299" s="67">
        <v>1.2322856849753201</v>
      </c>
      <c r="E299" s="67">
        <v>3.69010088913116</v>
      </c>
      <c r="F299" s="67">
        <v>-4.8789105716665997</v>
      </c>
      <c r="G299" s="67">
        <v>-0.475768036119389</v>
      </c>
    </row>
    <row r="300" spans="1:7" x14ac:dyDescent="0.35">
      <c r="A300" s="65">
        <v>298</v>
      </c>
      <c r="B300" s="66">
        <v>-8.5338605594641397</v>
      </c>
      <c r="C300" s="66">
        <v>-3.3933357828205799</v>
      </c>
      <c r="D300" s="67">
        <v>2.6203989969274</v>
      </c>
      <c r="E300" s="67">
        <v>-4.2747395078357497</v>
      </c>
      <c r="F300" s="67">
        <v>10.1425503083807</v>
      </c>
      <c r="G300" s="67">
        <v>3.3464090246381502</v>
      </c>
    </row>
    <row r="301" spans="1:7" x14ac:dyDescent="0.35">
      <c r="A301" s="65">
        <v>299</v>
      </c>
      <c r="B301" s="66">
        <v>-6.46375283794137</v>
      </c>
      <c r="C301" s="66">
        <v>-6.3147703143990501</v>
      </c>
      <c r="D301" s="67">
        <v>0.69996565406497402</v>
      </c>
      <c r="E301" s="67">
        <v>-31.679501797037101</v>
      </c>
      <c r="F301" s="67">
        <v>-4.7401875352112599</v>
      </c>
      <c r="G301" s="67">
        <v>5.3577879125457999</v>
      </c>
    </row>
    <row r="302" spans="1:7" x14ac:dyDescent="0.35">
      <c r="A302" s="65">
        <v>300</v>
      </c>
      <c r="B302" s="66">
        <v>5.0293708979348901</v>
      </c>
      <c r="C302" s="66">
        <v>-5.6751251332740802</v>
      </c>
      <c r="D302" s="67">
        <v>2.7331774795316699</v>
      </c>
      <c r="E302" s="67">
        <v>-16.9363346003766</v>
      </c>
      <c r="F302" s="67">
        <v>0.64839231698055799</v>
      </c>
      <c r="G302" s="67">
        <v>-2.3438834756088598</v>
      </c>
    </row>
    <row r="303" spans="1:7" x14ac:dyDescent="0.35">
      <c r="A303" s="65">
        <v>301</v>
      </c>
      <c r="B303" s="66">
        <v>14.4420863127638</v>
      </c>
      <c r="C303" s="66">
        <v>1.39580945743027</v>
      </c>
      <c r="D303" s="67">
        <v>10.976087792443099</v>
      </c>
      <c r="E303" s="67">
        <v>2.3504120785151499</v>
      </c>
      <c r="F303" s="67">
        <v>-1.3679463220902499</v>
      </c>
      <c r="G303" s="67">
        <v>-16.994936850831099</v>
      </c>
    </row>
    <row r="304" spans="1:7" x14ac:dyDescent="0.35">
      <c r="A304" s="65">
        <v>302</v>
      </c>
      <c r="B304" s="66">
        <v>-3.8656809585506502</v>
      </c>
      <c r="C304" s="66">
        <v>-2.50565461140171</v>
      </c>
      <c r="D304" s="67">
        <v>9.6360525991395605</v>
      </c>
      <c r="E304" s="67">
        <v>0.13661230327368901</v>
      </c>
      <c r="F304" s="67">
        <v>-8.5235975522113403</v>
      </c>
      <c r="G304" s="67">
        <v>-4.0126057558930999</v>
      </c>
    </row>
    <row r="305" spans="1:7" x14ac:dyDescent="0.35">
      <c r="A305" s="65">
        <v>303</v>
      </c>
      <c r="B305" s="66">
        <v>-6.2439325552782199</v>
      </c>
      <c r="C305" s="66">
        <v>-3.2408121109096801</v>
      </c>
      <c r="D305" s="67">
        <v>2.5010118756607098</v>
      </c>
      <c r="E305" s="67">
        <v>-0.48262100540869501</v>
      </c>
      <c r="F305" s="67">
        <v>3.37198874852661</v>
      </c>
      <c r="G305" s="67">
        <v>4.9512432463829299</v>
      </c>
    </row>
    <row r="306" spans="1:7" x14ac:dyDescent="0.35">
      <c r="A306" s="65">
        <v>304</v>
      </c>
      <c r="B306" s="66">
        <v>-20.908786083526401</v>
      </c>
      <c r="C306" s="66">
        <v>-3.60017515721001</v>
      </c>
      <c r="D306" s="67">
        <v>1.7345675761558399</v>
      </c>
      <c r="E306" s="67">
        <v>-13.736350207826201</v>
      </c>
      <c r="F306" s="67">
        <v>-5.33125953161949</v>
      </c>
      <c r="G306" s="67">
        <v>5.7789097898196404</v>
      </c>
    </row>
    <row r="307" spans="1:7" x14ac:dyDescent="0.35">
      <c r="A307" s="65">
        <v>305</v>
      </c>
      <c r="B307" s="66">
        <v>-13.288079704369901</v>
      </c>
      <c r="C307" s="66">
        <v>-2.19154357174444</v>
      </c>
      <c r="D307" s="67">
        <v>0.92013214317008696</v>
      </c>
      <c r="E307" s="67">
        <v>5.5162933523451301</v>
      </c>
      <c r="F307" s="67">
        <v>-11.004074345500101</v>
      </c>
      <c r="G307" s="67">
        <v>8.5426041660155505</v>
      </c>
    </row>
    <row r="308" spans="1:7" x14ac:dyDescent="0.35">
      <c r="A308" s="65">
        <v>306</v>
      </c>
      <c r="B308" s="66">
        <v>1.0100090156609101</v>
      </c>
      <c r="C308" s="66">
        <v>4.3467458293325398</v>
      </c>
      <c r="D308" s="67">
        <v>13.5603067462973</v>
      </c>
      <c r="E308" s="67">
        <v>-2.0868263882755098</v>
      </c>
      <c r="F308" s="67">
        <v>4.20319113099821</v>
      </c>
      <c r="G308" s="67">
        <v>-7.6781079049278</v>
      </c>
    </row>
    <row r="309" spans="1:7" x14ac:dyDescent="0.35">
      <c r="A309" s="65">
        <v>307</v>
      </c>
      <c r="B309" s="66">
        <v>-2.7257551112793101</v>
      </c>
      <c r="C309" s="66">
        <v>1.2772804588834199</v>
      </c>
      <c r="D309" s="67">
        <v>1.5714633892869201</v>
      </c>
      <c r="E309" s="67">
        <v>10.333733512960899</v>
      </c>
      <c r="F309" s="67">
        <v>18.786586756050301</v>
      </c>
      <c r="G309" s="67">
        <v>-5.3556110169366704</v>
      </c>
    </row>
    <row r="310" spans="1:7" x14ac:dyDescent="0.35">
      <c r="A310" s="65">
        <v>308</v>
      </c>
      <c r="B310" s="66">
        <v>-5.2932593302954496</v>
      </c>
      <c r="C310" s="66">
        <v>-7.0988338595953104</v>
      </c>
      <c r="D310" s="67">
        <v>5.6070938045339203</v>
      </c>
      <c r="E310" s="67">
        <v>-7.4299648063058097</v>
      </c>
      <c r="F310" s="67">
        <v>7.7309511283629702</v>
      </c>
      <c r="G310" s="67">
        <v>10.069710618057901</v>
      </c>
    </row>
    <row r="311" spans="1:7" x14ac:dyDescent="0.35">
      <c r="A311" s="65">
        <v>309</v>
      </c>
      <c r="B311" s="66">
        <v>-19.386790377250801</v>
      </c>
      <c r="C311" s="66">
        <v>-6.9926103084898097</v>
      </c>
      <c r="D311" s="67">
        <v>2.3449881120310399</v>
      </c>
      <c r="E311" s="67">
        <v>-4.49683897184745</v>
      </c>
      <c r="F311" s="67">
        <v>-4.1909046459439701</v>
      </c>
      <c r="G311" s="67">
        <v>5.6918671642854504</v>
      </c>
    </row>
    <row r="312" spans="1:7" x14ac:dyDescent="0.35">
      <c r="A312" s="65">
        <v>310</v>
      </c>
      <c r="B312" s="66">
        <v>-0.49224842659981599</v>
      </c>
      <c r="C312" s="66">
        <v>-3.0107360179517801</v>
      </c>
      <c r="D312" s="67">
        <v>0.26512204509655302</v>
      </c>
      <c r="E312" s="67">
        <v>-15.0936025741939</v>
      </c>
      <c r="F312" s="67">
        <v>0.204857995316272</v>
      </c>
      <c r="G312" s="67">
        <v>-5.5596427757156999</v>
      </c>
    </row>
    <row r="313" spans="1:7" x14ac:dyDescent="0.35">
      <c r="A313" s="65">
        <v>311</v>
      </c>
      <c r="B313" s="66">
        <v>-13.483716703698301</v>
      </c>
      <c r="C313" s="66">
        <v>1.28539577216974</v>
      </c>
      <c r="D313" s="67">
        <v>8.5471728373898692</v>
      </c>
      <c r="E313" s="67">
        <v>-46.381174481334298</v>
      </c>
      <c r="F313" s="67">
        <v>15.15381548789</v>
      </c>
      <c r="G313" s="67">
        <v>9.8792133837034495</v>
      </c>
    </row>
    <row r="314" spans="1:7" x14ac:dyDescent="0.35">
      <c r="A314" s="65">
        <v>312</v>
      </c>
      <c r="B314" s="66">
        <v>-8.4254422742886508</v>
      </c>
      <c r="C314" s="66">
        <v>-3.1135258231603999</v>
      </c>
      <c r="D314" s="67">
        <v>2.6915003872224599</v>
      </c>
      <c r="E314" s="67">
        <v>2.1203090362216201</v>
      </c>
      <c r="F314" s="67">
        <v>7.5322178311811001</v>
      </c>
      <c r="G314" s="67">
        <v>0.73997416887152301</v>
      </c>
    </row>
    <row r="315" spans="1:7" x14ac:dyDescent="0.35">
      <c r="A315" s="65">
        <v>313</v>
      </c>
      <c r="B315" s="66">
        <v>-6.7113821797419799</v>
      </c>
      <c r="C315" s="66">
        <v>-8.4448184309603196</v>
      </c>
      <c r="D315" s="67">
        <v>1.03004365962691</v>
      </c>
      <c r="E315" s="67">
        <v>-14.6553910075639</v>
      </c>
      <c r="F315" s="67">
        <v>-7.1543679070961401</v>
      </c>
      <c r="G315" s="67">
        <v>-1.6176099234761001</v>
      </c>
    </row>
    <row r="316" spans="1:7" x14ac:dyDescent="0.35">
      <c r="A316" s="65">
        <v>314</v>
      </c>
      <c r="B316" s="66">
        <v>-12.7807235151533</v>
      </c>
      <c r="C316" s="66">
        <v>2.5282281713493902</v>
      </c>
      <c r="D316" s="67">
        <v>9.5829491679730801</v>
      </c>
      <c r="E316" s="67">
        <v>16.654249460643001</v>
      </c>
      <c r="F316" s="67">
        <v>8.3019706542306704</v>
      </c>
      <c r="G316" s="67">
        <v>4.2431740828749298</v>
      </c>
    </row>
    <row r="317" spans="1:7" x14ac:dyDescent="0.35">
      <c r="A317" s="65">
        <v>315</v>
      </c>
      <c r="B317" s="66">
        <v>1.0253785510748299</v>
      </c>
      <c r="C317" s="66">
        <v>2.8331909756346301</v>
      </c>
      <c r="D317" s="67">
        <v>7.5176345714918504</v>
      </c>
      <c r="E317" s="67">
        <v>-34.743484232942301</v>
      </c>
      <c r="F317" s="67">
        <v>12.8500703824645</v>
      </c>
      <c r="G317" s="67">
        <v>-0.33916071372595202</v>
      </c>
    </row>
    <row r="318" spans="1:7" x14ac:dyDescent="0.35">
      <c r="A318" s="65">
        <v>316</v>
      </c>
      <c r="B318" s="66">
        <v>-1.3625319758962</v>
      </c>
      <c r="C318" s="66">
        <v>2.6121101644789402</v>
      </c>
      <c r="D318" s="67">
        <v>13.7009550583806</v>
      </c>
      <c r="E318" s="67">
        <v>27.043064479972099</v>
      </c>
      <c r="F318" s="67">
        <v>-9.8446512568082394</v>
      </c>
      <c r="G318" s="67">
        <v>13.2556137804005</v>
      </c>
    </row>
    <row r="319" spans="1:7" x14ac:dyDescent="0.35">
      <c r="A319" s="65">
        <v>317</v>
      </c>
      <c r="B319" s="66">
        <v>13.979002063592899</v>
      </c>
      <c r="C319" s="66">
        <v>3.0256630170115302</v>
      </c>
      <c r="D319" s="67">
        <v>3.85655202800515</v>
      </c>
      <c r="E319" s="67">
        <v>-11.335272288308101</v>
      </c>
      <c r="F319" s="67">
        <v>5.7967604283182403</v>
      </c>
      <c r="G319" s="67">
        <v>14.980655981646199</v>
      </c>
    </row>
    <row r="320" spans="1:7" x14ac:dyDescent="0.35">
      <c r="A320" s="65">
        <v>318</v>
      </c>
      <c r="B320" s="66">
        <v>-0.57006544851718399</v>
      </c>
      <c r="C320" s="66">
        <v>-2.5706579648586998</v>
      </c>
      <c r="D320" s="67">
        <v>0.83079967625302098</v>
      </c>
      <c r="E320" s="67">
        <v>11.527352829662499</v>
      </c>
      <c r="F320" s="67">
        <v>-2.9281214613492001</v>
      </c>
      <c r="G320" s="67">
        <v>7.5257343329562199</v>
      </c>
    </row>
    <row r="321" spans="1:7" x14ac:dyDescent="0.35">
      <c r="A321" s="65">
        <v>319</v>
      </c>
      <c r="B321" s="66">
        <v>4.1578125785424804</v>
      </c>
      <c r="C321" s="66">
        <v>-2.7443506924494301</v>
      </c>
      <c r="D321" s="67">
        <v>2.3574137224649401</v>
      </c>
      <c r="E321" s="67">
        <v>4.7131350898357596</v>
      </c>
      <c r="F321" s="67">
        <v>5.3933462185093699</v>
      </c>
      <c r="G321" s="67">
        <v>7.9413679834305997</v>
      </c>
    </row>
    <row r="322" spans="1:7" x14ac:dyDescent="0.35">
      <c r="A322" s="65">
        <v>320</v>
      </c>
      <c r="B322" s="66">
        <v>11.7433491565714</v>
      </c>
      <c r="C322" s="66">
        <v>-0.907085963056245</v>
      </c>
      <c r="D322" s="67">
        <v>0.54635908033165304</v>
      </c>
      <c r="E322" s="67">
        <v>-0.89103462701610103</v>
      </c>
      <c r="F322" s="67">
        <v>9.8577127394694504</v>
      </c>
      <c r="G322" s="67">
        <v>3.2254332610076801</v>
      </c>
    </row>
    <row r="323" spans="1:7" x14ac:dyDescent="0.35">
      <c r="A323" s="65">
        <v>321</v>
      </c>
      <c r="B323" s="66">
        <v>-8.95665022834703</v>
      </c>
      <c r="C323" s="66">
        <v>-1.1491934517267</v>
      </c>
      <c r="D323" s="67">
        <v>2.0041992274777201</v>
      </c>
      <c r="E323" s="67">
        <v>14.1953087716259</v>
      </c>
      <c r="F323" s="67">
        <v>10.1447075926053</v>
      </c>
      <c r="G323" s="67">
        <v>4.2048798618917997</v>
      </c>
    </row>
    <row r="324" spans="1:7" x14ac:dyDescent="0.35">
      <c r="A324" s="65">
        <v>322</v>
      </c>
      <c r="B324" s="66">
        <v>27.3899748070302</v>
      </c>
      <c r="C324" s="66">
        <v>-7.4161301597184304</v>
      </c>
      <c r="D324" s="67">
        <v>0.84627429945052501</v>
      </c>
      <c r="E324" s="67">
        <v>14.660895249458401</v>
      </c>
      <c r="F324" s="67">
        <v>-6.8719807874500001</v>
      </c>
      <c r="G324" s="67">
        <v>-0.35427385374112202</v>
      </c>
    </row>
    <row r="325" spans="1:7" x14ac:dyDescent="0.35">
      <c r="A325" s="65">
        <v>323</v>
      </c>
      <c r="B325" s="66">
        <v>2.5878051849474799</v>
      </c>
      <c r="C325" s="66">
        <v>0.436450330643326</v>
      </c>
      <c r="D325" s="67">
        <v>5.06942536011542</v>
      </c>
      <c r="E325" s="67">
        <v>1.03947740660066</v>
      </c>
      <c r="F325" s="67">
        <v>4.6100266550856599</v>
      </c>
      <c r="G325" s="67">
        <v>4.2674310491944896</v>
      </c>
    </row>
    <row r="326" spans="1:7" x14ac:dyDescent="0.35">
      <c r="A326" s="65">
        <v>324</v>
      </c>
      <c r="B326" s="66">
        <v>-14.5808737673264</v>
      </c>
      <c r="C326" s="66">
        <v>-2.5609093964126202</v>
      </c>
      <c r="D326" s="67">
        <v>10.5053203849337</v>
      </c>
      <c r="E326" s="67">
        <v>-5.7841244283592603</v>
      </c>
      <c r="F326" s="67">
        <v>-5.2782981461637597</v>
      </c>
      <c r="G326" s="67">
        <v>2.8024387563516502</v>
      </c>
    </row>
    <row r="327" spans="1:7" x14ac:dyDescent="0.35">
      <c r="A327" s="65">
        <v>325</v>
      </c>
      <c r="B327" s="66">
        <v>24.5837438419561</v>
      </c>
      <c r="C327" s="66">
        <v>-6.5643519717612699</v>
      </c>
      <c r="D327" s="67">
        <v>0.18374238309827301</v>
      </c>
      <c r="E327" s="67">
        <v>-9.64941063967205</v>
      </c>
      <c r="F327" s="67">
        <v>0.60131998512225904</v>
      </c>
      <c r="G327" s="67">
        <v>8.8964191926280307</v>
      </c>
    </row>
    <row r="328" spans="1:7" x14ac:dyDescent="0.35">
      <c r="A328" s="65">
        <v>326</v>
      </c>
      <c r="B328" s="66">
        <v>4.66337346323572</v>
      </c>
      <c r="C328" s="66">
        <v>-9.5047069246728206</v>
      </c>
      <c r="D328" s="67">
        <v>1.31285269775403</v>
      </c>
      <c r="E328" s="67">
        <v>-0.117218003661861</v>
      </c>
      <c r="F328" s="67">
        <v>11.1407826175829</v>
      </c>
      <c r="G328" s="67">
        <v>-3.16936654443878</v>
      </c>
    </row>
    <row r="329" spans="1:7" x14ac:dyDescent="0.35">
      <c r="A329" s="65">
        <v>327</v>
      </c>
      <c r="B329" s="66">
        <v>-0.30806197781369699</v>
      </c>
      <c r="C329" s="66">
        <v>-5.5583046088239003</v>
      </c>
      <c r="D329" s="67">
        <v>1.0271839818399899</v>
      </c>
      <c r="E329" s="67">
        <v>6.07515821354861</v>
      </c>
      <c r="F329" s="67">
        <v>-16.135738108448798</v>
      </c>
      <c r="G329" s="67">
        <v>4.1445260333115002</v>
      </c>
    </row>
    <row r="330" spans="1:7" x14ac:dyDescent="0.35">
      <c r="A330" s="65">
        <v>328</v>
      </c>
      <c r="B330" s="66">
        <v>-5.0934801060557398</v>
      </c>
      <c r="C330" s="66">
        <v>-2.80223374789214</v>
      </c>
      <c r="D330" s="67">
        <v>4.6772074003857398</v>
      </c>
      <c r="E330" s="67">
        <v>-24.653356401507299</v>
      </c>
      <c r="F330" s="67">
        <v>18.1331795061941</v>
      </c>
      <c r="G330" s="67">
        <v>-5.2017018366537897</v>
      </c>
    </row>
    <row r="331" spans="1:7" x14ac:dyDescent="0.35">
      <c r="A331" s="65">
        <v>329</v>
      </c>
      <c r="B331" s="66">
        <v>10.654690036050299</v>
      </c>
      <c r="C331" s="66">
        <v>-6.0460174397429496</v>
      </c>
      <c r="D331" s="67">
        <v>7.6918923513472297</v>
      </c>
      <c r="E331" s="67">
        <v>8.8853399195854301</v>
      </c>
      <c r="F331" s="67">
        <v>-6.2146705753217404</v>
      </c>
      <c r="G331" s="67">
        <v>3.7124640552047499</v>
      </c>
    </row>
    <row r="332" spans="1:7" x14ac:dyDescent="0.35">
      <c r="A332" s="65">
        <v>330</v>
      </c>
      <c r="B332" s="66">
        <v>5.46457097522027</v>
      </c>
      <c r="C332" s="66">
        <v>-1.60311616854743</v>
      </c>
      <c r="D332" s="67">
        <v>16.160663503814501</v>
      </c>
      <c r="E332" s="67">
        <v>-0.92658539454644395</v>
      </c>
      <c r="F332" s="67">
        <v>4.6162637701686897</v>
      </c>
      <c r="G332" s="67">
        <v>-6.3450266812354403</v>
      </c>
    </row>
    <row r="333" spans="1:7" x14ac:dyDescent="0.35">
      <c r="A333" s="65">
        <v>331</v>
      </c>
      <c r="B333" s="66">
        <v>1.7824048711659499</v>
      </c>
      <c r="C333" s="66">
        <v>-2.9485001352640801</v>
      </c>
      <c r="D333" s="67">
        <v>30.572144876572398</v>
      </c>
      <c r="E333" s="67">
        <v>4.5605671323291803</v>
      </c>
      <c r="F333" s="67">
        <v>3.5467067385316602</v>
      </c>
      <c r="G333" s="67">
        <v>9.4527179022849204</v>
      </c>
    </row>
    <row r="334" spans="1:7" x14ac:dyDescent="0.35">
      <c r="A334" s="65">
        <v>332</v>
      </c>
      <c r="B334" s="66">
        <v>9.3285354070669193</v>
      </c>
      <c r="C334" s="66">
        <v>-4.6675103212963904</v>
      </c>
      <c r="D334" s="67">
        <v>0.83293665775092496</v>
      </c>
      <c r="E334" s="67">
        <v>21.4571662380379</v>
      </c>
      <c r="F334" s="67">
        <v>-2.5470642704929101</v>
      </c>
      <c r="G334" s="67">
        <v>-3.95670834619103</v>
      </c>
    </row>
    <row r="335" spans="1:7" x14ac:dyDescent="0.35">
      <c r="A335" s="65">
        <v>333</v>
      </c>
      <c r="B335" s="66">
        <v>4.0646344346122598</v>
      </c>
      <c r="C335" s="66">
        <v>-0.164856906394546</v>
      </c>
      <c r="D335" s="67">
        <v>6.1479947501880696</v>
      </c>
      <c r="E335" s="67">
        <v>16.865571904899099</v>
      </c>
      <c r="F335" s="67">
        <v>0.13194334574851499</v>
      </c>
      <c r="G335" s="67">
        <v>-2.7604711921772499E-2</v>
      </c>
    </row>
    <row r="336" spans="1:7" x14ac:dyDescent="0.35">
      <c r="A336" s="65">
        <v>334</v>
      </c>
      <c r="B336" s="66">
        <v>0.98518830713838002</v>
      </c>
      <c r="C336" s="66">
        <v>1.14307533593871</v>
      </c>
      <c r="D336" s="67">
        <v>0.985495480517383</v>
      </c>
      <c r="E336" s="67">
        <v>1.13528586197459</v>
      </c>
      <c r="F336" s="67">
        <v>7.0042578631324801</v>
      </c>
      <c r="G336" s="67">
        <v>-6.1298256478075697</v>
      </c>
    </row>
    <row r="337" spans="1:7" x14ac:dyDescent="0.35">
      <c r="A337" s="65">
        <v>335</v>
      </c>
      <c r="B337" s="66">
        <v>-18.979423318544299</v>
      </c>
      <c r="C337" s="66">
        <v>-7.5528035014618897</v>
      </c>
      <c r="D337" s="67">
        <v>1.4117045544779401</v>
      </c>
      <c r="E337" s="67">
        <v>0.59975024188993498</v>
      </c>
      <c r="F337" s="67">
        <v>-11.1506247897329</v>
      </c>
      <c r="G337" s="67">
        <v>9.7822899236126695</v>
      </c>
    </row>
    <row r="338" spans="1:7" x14ac:dyDescent="0.35">
      <c r="A338" s="65">
        <v>336</v>
      </c>
      <c r="B338" s="66">
        <v>-9.1888174020565092</v>
      </c>
      <c r="C338" s="66">
        <v>13.998159771225801</v>
      </c>
      <c r="D338" s="67">
        <v>1.1454295714928899</v>
      </c>
      <c r="E338" s="67">
        <v>-24.522339500257999</v>
      </c>
      <c r="F338" s="67">
        <v>-7.3427730113368703</v>
      </c>
      <c r="G338" s="67">
        <v>-16.217020086631301</v>
      </c>
    </row>
    <row r="339" spans="1:7" x14ac:dyDescent="0.35">
      <c r="A339" s="65">
        <v>337</v>
      </c>
      <c r="B339" s="66">
        <v>0.66833937567535995</v>
      </c>
      <c r="C339" s="66">
        <v>-7.5108060066382398</v>
      </c>
      <c r="D339" s="67">
        <v>1.00989139251264</v>
      </c>
      <c r="E339" s="67">
        <v>-17.882967465896101</v>
      </c>
      <c r="F339" s="67">
        <v>7.3184301148066497</v>
      </c>
      <c r="G339" s="67">
        <v>12.059692651494901</v>
      </c>
    </row>
    <row r="340" spans="1:7" x14ac:dyDescent="0.35">
      <c r="A340" s="65">
        <v>338</v>
      </c>
      <c r="B340" s="66">
        <v>0.19186110736352899</v>
      </c>
      <c r="C340" s="66">
        <v>5.1681421573996502</v>
      </c>
      <c r="D340" s="67">
        <v>1.5423927362780601</v>
      </c>
      <c r="E340" s="67">
        <v>-5.4264862712386996</v>
      </c>
      <c r="F340" s="67">
        <v>-13.191152366961701</v>
      </c>
      <c r="G340" s="67">
        <v>-0.81001010530099404</v>
      </c>
    </row>
    <row r="341" spans="1:7" x14ac:dyDescent="0.35">
      <c r="A341" s="65">
        <v>339</v>
      </c>
      <c r="B341" s="66">
        <v>-8.54502313211845</v>
      </c>
      <c r="C341" s="66">
        <v>0.43237848605877599</v>
      </c>
      <c r="D341" s="67">
        <v>4.33460949785111</v>
      </c>
      <c r="E341" s="67">
        <v>13.1986120780071</v>
      </c>
      <c r="F341" s="67">
        <v>7.3180236125393598</v>
      </c>
      <c r="G341" s="67">
        <v>3.4484383018966098</v>
      </c>
    </row>
    <row r="342" spans="1:7" x14ac:dyDescent="0.35">
      <c r="A342" s="65">
        <v>340</v>
      </c>
      <c r="B342" s="66">
        <v>-6.5929048849729304</v>
      </c>
      <c r="C342" s="66">
        <v>6.29171147930548</v>
      </c>
      <c r="D342" s="67">
        <v>5.7308880432724099</v>
      </c>
      <c r="E342" s="67">
        <v>-6.3363912424632396</v>
      </c>
      <c r="F342" s="67">
        <v>-7.8321210294224102</v>
      </c>
      <c r="G342" s="67">
        <v>8.1912799598219603</v>
      </c>
    </row>
    <row r="343" spans="1:7" x14ac:dyDescent="0.35">
      <c r="A343" s="65">
        <v>341</v>
      </c>
      <c r="B343" s="66">
        <v>-5.1792196201993299</v>
      </c>
      <c r="C343" s="66">
        <v>-2.03540712304302</v>
      </c>
      <c r="D343" s="67">
        <v>3.7772367781059701</v>
      </c>
      <c r="E343" s="67">
        <v>-6.1624383101482403</v>
      </c>
      <c r="F343" s="67">
        <v>1.5488830289890401</v>
      </c>
      <c r="G343" s="67">
        <v>1.54381559937646</v>
      </c>
    </row>
    <row r="344" spans="1:7" x14ac:dyDescent="0.35">
      <c r="A344" s="65">
        <v>342</v>
      </c>
      <c r="B344" s="66">
        <v>-3.6330069880479399</v>
      </c>
      <c r="C344" s="66">
        <v>-0.74380025949284101</v>
      </c>
      <c r="D344" s="67">
        <v>0.74466602603693799</v>
      </c>
      <c r="E344" s="67">
        <v>-15.183421848039499</v>
      </c>
      <c r="F344" s="67">
        <v>4.5865795021737004</v>
      </c>
      <c r="G344" s="67">
        <v>4.6179751397780802</v>
      </c>
    </row>
    <row r="345" spans="1:7" x14ac:dyDescent="0.35">
      <c r="A345" s="65">
        <v>343</v>
      </c>
      <c r="B345" s="66">
        <v>-7.1719707966639499</v>
      </c>
      <c r="C345" s="66">
        <v>-2.73076748826271</v>
      </c>
      <c r="D345" s="67">
        <v>1.73007566854537</v>
      </c>
      <c r="E345" s="67">
        <v>6.8079090007045098</v>
      </c>
      <c r="F345" s="67">
        <v>3.87450405872967</v>
      </c>
      <c r="G345" s="67">
        <v>4.7332469948741602</v>
      </c>
    </row>
    <row r="346" spans="1:7" x14ac:dyDescent="0.35">
      <c r="A346" s="65">
        <v>344</v>
      </c>
      <c r="B346" s="66">
        <v>8.6062844156380507</v>
      </c>
      <c r="C346" s="66">
        <v>-6.4871036535314897</v>
      </c>
      <c r="D346" s="67">
        <v>19.550989067143</v>
      </c>
      <c r="E346" s="67">
        <v>-10.670708102419599</v>
      </c>
      <c r="F346" s="67">
        <v>4.5687960879541398</v>
      </c>
      <c r="G346" s="67">
        <v>4.9614080052756702</v>
      </c>
    </row>
    <row r="347" spans="1:7" x14ac:dyDescent="0.35">
      <c r="A347" s="65">
        <v>345</v>
      </c>
      <c r="B347" s="66">
        <v>-4.54710864818278</v>
      </c>
      <c r="C347" s="66">
        <v>-1.0339658568124199</v>
      </c>
      <c r="D347" s="67">
        <v>2.3629971131413399</v>
      </c>
      <c r="E347" s="67">
        <v>-1.56557337121137</v>
      </c>
      <c r="F347" s="67">
        <v>10.6700512226382</v>
      </c>
      <c r="G347" s="67">
        <v>1.4238988781131601</v>
      </c>
    </row>
    <row r="348" spans="1:7" x14ac:dyDescent="0.35">
      <c r="A348" s="65">
        <v>346</v>
      </c>
      <c r="B348" s="66">
        <v>8.3475631647786006</v>
      </c>
      <c r="C348" s="66">
        <v>-0.62903734257461397</v>
      </c>
      <c r="D348" s="67">
        <v>13.8190222283307</v>
      </c>
      <c r="E348" s="67">
        <v>16.319727566760299</v>
      </c>
      <c r="F348" s="67">
        <v>-21.3218650854296</v>
      </c>
      <c r="G348" s="67">
        <v>4.9579189351099302</v>
      </c>
    </row>
    <row r="349" spans="1:7" x14ac:dyDescent="0.35">
      <c r="A349" s="65">
        <v>347</v>
      </c>
      <c r="B349" s="66">
        <v>26.340744064278901</v>
      </c>
      <c r="C349" s="66">
        <v>-5.4891575298544604</v>
      </c>
      <c r="D349" s="67">
        <v>9.9353546581023693</v>
      </c>
      <c r="E349" s="67">
        <v>14.5034505310505</v>
      </c>
      <c r="F349" s="67">
        <v>-2.6750972106156898</v>
      </c>
      <c r="G349" s="67">
        <v>5.0918924784316699</v>
      </c>
    </row>
    <row r="350" spans="1:7" x14ac:dyDescent="0.35">
      <c r="A350" s="65">
        <v>348</v>
      </c>
      <c r="B350" s="66">
        <v>-7.5453479456314501</v>
      </c>
      <c r="C350" s="66">
        <v>-6.6039379125423903</v>
      </c>
      <c r="D350" s="67">
        <v>0.44538213117981801</v>
      </c>
      <c r="E350" s="67">
        <v>5.3900737408949801</v>
      </c>
      <c r="F350" s="67">
        <v>-11.349807945350101</v>
      </c>
      <c r="G350" s="67">
        <v>-0.24399781662692199</v>
      </c>
    </row>
    <row r="351" spans="1:7" x14ac:dyDescent="0.35">
      <c r="A351" s="65">
        <v>349</v>
      </c>
      <c r="B351" s="66">
        <v>2.0146115415822998</v>
      </c>
      <c r="C351" s="66">
        <v>1.30340958597104</v>
      </c>
      <c r="D351" s="67">
        <v>3.04125198884006</v>
      </c>
      <c r="E351" s="67">
        <v>-8.4695555842082797</v>
      </c>
      <c r="F351" s="67">
        <v>12.053818137044299</v>
      </c>
      <c r="G351" s="67">
        <v>9.1904061344155306</v>
      </c>
    </row>
    <row r="352" spans="1:7" x14ac:dyDescent="0.35">
      <c r="A352" s="65">
        <v>350</v>
      </c>
      <c r="B352" s="66">
        <v>-8.9250195701065493</v>
      </c>
      <c r="C352" s="66">
        <v>-7.0757335643406201</v>
      </c>
      <c r="D352" s="67">
        <v>1.3912823642124299</v>
      </c>
      <c r="E352" s="67">
        <v>-2.33281402786141</v>
      </c>
      <c r="F352" s="67">
        <v>16.874198234052301</v>
      </c>
      <c r="G352" s="67">
        <v>4.9798419457231597</v>
      </c>
    </row>
    <row r="353" spans="1:7" x14ac:dyDescent="0.35">
      <c r="A353" s="65">
        <v>351</v>
      </c>
      <c r="B353" s="66">
        <v>2.0531967842352699</v>
      </c>
      <c r="C353" s="66">
        <v>0.79650716201988703</v>
      </c>
      <c r="D353" s="67">
        <v>0.92090890293200101</v>
      </c>
      <c r="E353" s="67">
        <v>-3.8990885433468199</v>
      </c>
      <c r="F353" s="67">
        <v>-4.2364431950965198</v>
      </c>
      <c r="G353" s="67">
        <v>8.0005226728451309</v>
      </c>
    </row>
    <row r="354" spans="1:7" x14ac:dyDescent="0.35">
      <c r="A354" s="65">
        <v>352</v>
      </c>
      <c r="B354" s="66">
        <v>-5.1310170599705103</v>
      </c>
      <c r="C354" s="66">
        <v>5.3564729166023604</v>
      </c>
      <c r="D354" s="67">
        <v>0.95411419005234799</v>
      </c>
      <c r="E354" s="67">
        <v>-1.3483319759983201</v>
      </c>
      <c r="F354" s="67">
        <v>-4.5321469969681498</v>
      </c>
      <c r="G354" s="67">
        <v>7.1800933675472001</v>
      </c>
    </row>
    <row r="355" spans="1:7" x14ac:dyDescent="0.35">
      <c r="A355" s="65">
        <v>353</v>
      </c>
      <c r="B355" s="66">
        <v>-6.19974092353449</v>
      </c>
      <c r="C355" s="66">
        <v>-3.1499402036099098</v>
      </c>
      <c r="D355" s="67">
        <v>1.4732247757018</v>
      </c>
      <c r="E355" s="67">
        <v>1.5258001400311201</v>
      </c>
      <c r="F355" s="67">
        <v>6.7709546500544597</v>
      </c>
      <c r="G355" s="67">
        <v>11.421608757621801</v>
      </c>
    </row>
    <row r="356" spans="1:7" x14ac:dyDescent="0.35">
      <c r="A356" s="65">
        <v>354</v>
      </c>
      <c r="B356" s="66">
        <v>-1.9647175913074499</v>
      </c>
      <c r="C356" s="66">
        <v>3.5346436997894202</v>
      </c>
      <c r="D356" s="67">
        <v>2.0300310894782001</v>
      </c>
      <c r="E356" s="67">
        <v>-5.27515639434991</v>
      </c>
      <c r="F356" s="67">
        <v>2.9160540593082098</v>
      </c>
      <c r="G356" s="67">
        <v>1.20158647387418E-2</v>
      </c>
    </row>
    <row r="357" spans="1:7" x14ac:dyDescent="0.35">
      <c r="A357" s="65">
        <v>355</v>
      </c>
      <c r="B357" s="66">
        <v>-1.7058983049273</v>
      </c>
      <c r="C357" s="66">
        <v>5.3921348046855702</v>
      </c>
      <c r="D357" s="67">
        <v>2.5867818307664301</v>
      </c>
      <c r="E357" s="67">
        <v>4.3535859157423502</v>
      </c>
      <c r="F357" s="67">
        <v>15.095715642935</v>
      </c>
      <c r="G357" s="67">
        <v>6.5669575462552796</v>
      </c>
    </row>
    <row r="358" spans="1:7" x14ac:dyDescent="0.35">
      <c r="A358" s="65">
        <v>356</v>
      </c>
      <c r="B358" s="66">
        <v>2.1640099762117702</v>
      </c>
      <c r="C358" s="66">
        <v>-5.5704448770157198</v>
      </c>
      <c r="D358" s="67">
        <v>0.83661324689088401</v>
      </c>
      <c r="E358" s="67">
        <v>2.2966260012958299</v>
      </c>
      <c r="F358" s="67">
        <v>4.5403116441978604</v>
      </c>
      <c r="G358" s="67">
        <v>-4.9758577143081402</v>
      </c>
    </row>
    <row r="359" spans="1:7" x14ac:dyDescent="0.35">
      <c r="A359" s="65">
        <v>357</v>
      </c>
      <c r="B359" s="66">
        <v>-16.2170068796955</v>
      </c>
      <c r="C359" s="66">
        <v>12.4375440974491</v>
      </c>
      <c r="D359" s="67">
        <v>4.0260665527362596</v>
      </c>
      <c r="E359" s="67">
        <v>29.502972224673101</v>
      </c>
      <c r="F359" s="67">
        <v>15.365817837799501</v>
      </c>
      <c r="G359" s="67">
        <v>-1.78255303735672</v>
      </c>
    </row>
    <row r="360" spans="1:7" x14ac:dyDescent="0.35">
      <c r="A360" s="65">
        <v>358</v>
      </c>
      <c r="B360" s="66">
        <v>-4.3422184352787099</v>
      </c>
      <c r="C360" s="66">
        <v>6.0168045603586204</v>
      </c>
      <c r="D360" s="67">
        <v>1.3627801851315899</v>
      </c>
      <c r="E360" s="67">
        <v>9.7646298464280399</v>
      </c>
      <c r="F360" s="67">
        <v>-16.600287950999501</v>
      </c>
      <c r="G360" s="67">
        <v>2.8149753449697701</v>
      </c>
    </row>
    <row r="361" spans="1:7" x14ac:dyDescent="0.35">
      <c r="A361" s="65">
        <v>359</v>
      </c>
      <c r="B361" s="66">
        <v>0.17522699047961399</v>
      </c>
      <c r="C361" s="66">
        <v>3.2074669868767298</v>
      </c>
      <c r="D361" s="67">
        <v>5.1763430337754501</v>
      </c>
      <c r="E361" s="67">
        <v>22.105599640134901</v>
      </c>
      <c r="F361" s="67">
        <v>2.4771008639976499</v>
      </c>
      <c r="G361" s="67">
        <v>10.6371095962418</v>
      </c>
    </row>
    <row r="362" spans="1:7" x14ac:dyDescent="0.35">
      <c r="A362" s="65">
        <v>360</v>
      </c>
      <c r="B362" s="66">
        <v>2.2562769551548798</v>
      </c>
      <c r="C362" s="66">
        <v>-5.0544913920618697</v>
      </c>
      <c r="D362" s="67">
        <v>2.1877123978349302</v>
      </c>
      <c r="E362" s="67">
        <v>-12.3170395221776</v>
      </c>
      <c r="F362" s="67">
        <v>1.6175716327479599</v>
      </c>
      <c r="G362" s="67">
        <v>-1.4729590827274199</v>
      </c>
    </row>
    <row r="363" spans="1:7" x14ac:dyDescent="0.35">
      <c r="A363" s="65">
        <v>361</v>
      </c>
      <c r="B363" s="66">
        <v>-3.9746719802695401</v>
      </c>
      <c r="C363" s="66">
        <v>-12.574096579314601</v>
      </c>
      <c r="D363" s="67">
        <v>1.67823654185757</v>
      </c>
      <c r="E363" s="67">
        <v>12.5329608313466</v>
      </c>
      <c r="F363" s="67">
        <v>-2.8174362126856898</v>
      </c>
      <c r="G363" s="67">
        <v>0.13413877938709201</v>
      </c>
    </row>
    <row r="364" spans="1:7" x14ac:dyDescent="0.35">
      <c r="A364" s="65">
        <v>362</v>
      </c>
      <c r="B364" s="66">
        <v>-8.2293913711207107</v>
      </c>
      <c r="C364" s="66">
        <v>-1.15031780444503</v>
      </c>
      <c r="D364" s="67">
        <v>6.0778107995913899</v>
      </c>
      <c r="E364" s="67">
        <v>5.4962916859747901</v>
      </c>
      <c r="F364" s="67">
        <v>3.32136496762794</v>
      </c>
      <c r="G364" s="67">
        <v>1.48141320266862</v>
      </c>
    </row>
    <row r="365" spans="1:7" x14ac:dyDescent="0.35">
      <c r="A365" s="65">
        <v>363</v>
      </c>
      <c r="B365" s="66">
        <v>-16.1744149158258</v>
      </c>
      <c r="C365" s="66">
        <v>0.387066997876374</v>
      </c>
      <c r="D365" s="67">
        <v>1.5456576687780299</v>
      </c>
      <c r="E365" s="67">
        <v>-23.001379063512399</v>
      </c>
      <c r="F365" s="67">
        <v>-8.1234753100698303</v>
      </c>
      <c r="G365" s="67">
        <v>-3.1376637469338999</v>
      </c>
    </row>
    <row r="366" spans="1:7" x14ac:dyDescent="0.35">
      <c r="A366" s="65">
        <v>364</v>
      </c>
      <c r="B366" s="66">
        <v>6.0009388076475298</v>
      </c>
      <c r="C366" s="66">
        <v>0.89250835434817899</v>
      </c>
      <c r="D366" s="67">
        <v>0.67205049057773403</v>
      </c>
      <c r="E366" s="67">
        <v>-7.386477450768</v>
      </c>
      <c r="F366" s="67">
        <v>2.9337055667596199</v>
      </c>
      <c r="G366" s="67">
        <v>6.8888227459012601</v>
      </c>
    </row>
    <row r="367" spans="1:7" x14ac:dyDescent="0.35">
      <c r="A367" s="65">
        <v>365</v>
      </c>
      <c r="B367" s="66">
        <v>-6.6040392234474599</v>
      </c>
      <c r="C367" s="66">
        <v>2.46012658452393</v>
      </c>
      <c r="D367" s="67">
        <v>6.7304614307967103</v>
      </c>
      <c r="E367" s="67">
        <v>-2.9998993193629699</v>
      </c>
      <c r="F367" s="67">
        <v>-4.3039444552654604</v>
      </c>
      <c r="G367" s="67">
        <v>-18.1626167372821</v>
      </c>
    </row>
    <row r="368" spans="1:7" x14ac:dyDescent="0.35">
      <c r="A368" s="65">
        <v>366</v>
      </c>
      <c r="B368" s="66">
        <v>-0.75153064510387302</v>
      </c>
      <c r="C368" s="66">
        <v>-7.90787698356199</v>
      </c>
      <c r="D368" s="67">
        <v>2.4375032124590099</v>
      </c>
      <c r="E368" s="67">
        <v>1.8244526400372501</v>
      </c>
      <c r="F368" s="67">
        <v>-10.5526120859274</v>
      </c>
      <c r="G368" s="67">
        <v>4.8226289812624499</v>
      </c>
    </row>
    <row r="369" spans="1:7" x14ac:dyDescent="0.35">
      <c r="A369" s="65">
        <v>367</v>
      </c>
      <c r="B369" s="66">
        <v>-7.76807495872354</v>
      </c>
      <c r="C369" s="66">
        <v>-3.30721618617507</v>
      </c>
      <c r="D369" s="67">
        <v>0.88712313174449098</v>
      </c>
      <c r="E369" s="67">
        <v>-11.7368432550166</v>
      </c>
      <c r="F369" s="67">
        <v>-5.8973352235073797</v>
      </c>
      <c r="G369" s="67">
        <v>10.3166874368506</v>
      </c>
    </row>
    <row r="370" spans="1:7" x14ac:dyDescent="0.35">
      <c r="A370" s="65">
        <v>368</v>
      </c>
      <c r="B370" s="66">
        <v>7.9690724427851602</v>
      </c>
      <c r="C370" s="66">
        <v>-3.8052051709966599</v>
      </c>
      <c r="D370" s="67">
        <v>2.0947233110382801</v>
      </c>
      <c r="E370" s="67">
        <v>12.352618421706399</v>
      </c>
      <c r="F370" s="67">
        <v>3.4010172294533798</v>
      </c>
      <c r="G370" s="67">
        <v>-11.8298074949984</v>
      </c>
    </row>
    <row r="371" spans="1:7" x14ac:dyDescent="0.35">
      <c r="A371" s="65">
        <v>369</v>
      </c>
      <c r="B371" s="66">
        <v>-7.9634459737554701</v>
      </c>
      <c r="C371" s="66">
        <v>-0.91306267706222399</v>
      </c>
      <c r="D371" s="67">
        <v>2.1842703404438399</v>
      </c>
      <c r="E371" s="67">
        <v>-8.8028953734434303</v>
      </c>
      <c r="F371" s="67">
        <v>3.85937553995706</v>
      </c>
      <c r="G371" s="67">
        <v>-6.1536945834021104</v>
      </c>
    </row>
    <row r="372" spans="1:7" x14ac:dyDescent="0.35">
      <c r="A372" s="65">
        <v>370</v>
      </c>
      <c r="B372" s="66">
        <v>-9.5406609827477205</v>
      </c>
      <c r="C372" s="66">
        <v>-1.6202187573972999</v>
      </c>
      <c r="D372" s="67">
        <v>0.64024230716390695</v>
      </c>
      <c r="E372" s="67">
        <v>40.462032900658301</v>
      </c>
      <c r="F372" s="67">
        <v>1.6861537585547799</v>
      </c>
      <c r="G372" s="67">
        <v>6.4552845211612597</v>
      </c>
    </row>
    <row r="373" spans="1:7" x14ac:dyDescent="0.35">
      <c r="A373" s="65">
        <v>371</v>
      </c>
      <c r="B373" s="66">
        <v>-1.33353818246957</v>
      </c>
      <c r="C373" s="66">
        <v>-3.3514225724003102</v>
      </c>
      <c r="D373" s="67">
        <v>0.28024569340889099</v>
      </c>
      <c r="E373" s="67">
        <v>-4.4860579424537796</v>
      </c>
      <c r="F373" s="67">
        <v>-9.1595153966026004</v>
      </c>
      <c r="G373" s="67">
        <v>8.1252504760106792</v>
      </c>
    </row>
    <row r="374" spans="1:7" x14ac:dyDescent="0.35">
      <c r="A374" s="65">
        <v>372</v>
      </c>
      <c r="B374" s="66">
        <v>4.3908163692753703</v>
      </c>
      <c r="C374" s="66">
        <v>-5.9830863628274003</v>
      </c>
      <c r="D374" s="67">
        <v>1.5358613366671101</v>
      </c>
      <c r="E374" s="67">
        <v>-10.0040616915092</v>
      </c>
      <c r="F374" s="67">
        <v>0.48853117846428401</v>
      </c>
      <c r="G374" s="67">
        <v>6.3301712557195202</v>
      </c>
    </row>
    <row r="375" spans="1:7" x14ac:dyDescent="0.35">
      <c r="A375" s="65">
        <v>373</v>
      </c>
      <c r="B375" s="66">
        <v>-22.218615708604201</v>
      </c>
      <c r="C375" s="66">
        <v>3.5749449762777501</v>
      </c>
      <c r="D375" s="67">
        <v>2.4120306379638801</v>
      </c>
      <c r="E375" s="67">
        <v>-4.0654883980827599</v>
      </c>
      <c r="F375" s="67">
        <v>-4.2868564789953902</v>
      </c>
      <c r="G375" s="67">
        <v>1.65409916291655</v>
      </c>
    </row>
    <row r="376" spans="1:7" x14ac:dyDescent="0.35">
      <c r="A376" s="65">
        <v>374</v>
      </c>
      <c r="B376" s="66">
        <v>-11.4830623532385</v>
      </c>
      <c r="C376" s="66">
        <v>7.0570331526565102</v>
      </c>
      <c r="D376" s="67">
        <v>3.6265382430530999</v>
      </c>
      <c r="E376" s="67">
        <v>-17.836989291879799</v>
      </c>
      <c r="F376" s="67">
        <v>9.7390546057914396</v>
      </c>
      <c r="G376" s="67">
        <v>14.780029095647301</v>
      </c>
    </row>
    <row r="377" spans="1:7" x14ac:dyDescent="0.35">
      <c r="A377" s="65">
        <v>375</v>
      </c>
      <c r="B377" s="66">
        <v>4.60254654629267</v>
      </c>
      <c r="C377" s="66">
        <v>-1.97039908931591</v>
      </c>
      <c r="D377" s="67">
        <v>0.32983374958034301</v>
      </c>
      <c r="E377" s="67">
        <v>-3.22412775520844</v>
      </c>
      <c r="F377" s="67">
        <v>-5.20452142822589</v>
      </c>
      <c r="G377" s="67">
        <v>7.6048523185645402</v>
      </c>
    </row>
    <row r="378" spans="1:7" x14ac:dyDescent="0.35">
      <c r="A378" s="65">
        <v>376</v>
      </c>
      <c r="B378" s="66">
        <v>7.9439249708131596</v>
      </c>
      <c r="C378" s="66">
        <v>7.4742567799515802</v>
      </c>
      <c r="D378" s="67">
        <v>7.99448790506991</v>
      </c>
      <c r="E378" s="67">
        <v>11.613413823379499</v>
      </c>
      <c r="F378" s="67">
        <v>-28.475432886291301</v>
      </c>
      <c r="G378" s="67">
        <v>3.6281615029135699</v>
      </c>
    </row>
    <row r="379" spans="1:7" x14ac:dyDescent="0.35">
      <c r="A379" s="65">
        <v>377</v>
      </c>
      <c r="B379" s="66">
        <v>6.9662738190961697</v>
      </c>
      <c r="C379" s="66">
        <v>-1.7227898842751901</v>
      </c>
      <c r="D379" s="67">
        <v>29.1466182638997</v>
      </c>
      <c r="E379" s="67">
        <v>-10.273277389350699</v>
      </c>
      <c r="F379" s="67">
        <v>-6.3220705027939301</v>
      </c>
      <c r="G379" s="67">
        <v>0.86575937683575999</v>
      </c>
    </row>
    <row r="380" spans="1:7" x14ac:dyDescent="0.35">
      <c r="A380" s="65">
        <v>378</v>
      </c>
      <c r="B380" s="66">
        <v>-4.1652529720123699</v>
      </c>
      <c r="C380" s="66">
        <v>-1.8778530559573401</v>
      </c>
      <c r="D380" s="67">
        <v>0.19693397872124799</v>
      </c>
      <c r="E380" s="67">
        <v>-15.4421222059994</v>
      </c>
      <c r="F380" s="67">
        <v>8.1751954575158408</v>
      </c>
      <c r="G380" s="67">
        <v>1.22281844191542</v>
      </c>
    </row>
    <row r="381" spans="1:7" x14ac:dyDescent="0.35">
      <c r="A381" s="65">
        <v>379</v>
      </c>
      <c r="B381" s="66">
        <v>-2.48461205792775</v>
      </c>
      <c r="C381" s="66">
        <v>0.384513770140614</v>
      </c>
      <c r="D381" s="67">
        <v>1.4966866660620199</v>
      </c>
      <c r="E381" s="67">
        <v>-15.6180457241451</v>
      </c>
      <c r="F381" s="67">
        <v>6.1584141588084602</v>
      </c>
      <c r="G381" s="67">
        <v>3.7321934017500702</v>
      </c>
    </row>
    <row r="382" spans="1:7" x14ac:dyDescent="0.35">
      <c r="A382" s="65">
        <v>380</v>
      </c>
      <c r="B382" s="66">
        <v>-2.16799688576257</v>
      </c>
      <c r="C382" s="66">
        <v>-2.3048141020952002</v>
      </c>
      <c r="D382" s="67">
        <v>1.0580077215363699</v>
      </c>
      <c r="E382" s="67">
        <v>33.719628461270901</v>
      </c>
      <c r="F382" s="67">
        <v>14.1718421418828</v>
      </c>
      <c r="G382" s="67">
        <v>0.70001657716037402</v>
      </c>
    </row>
    <row r="383" spans="1:7" x14ac:dyDescent="0.35">
      <c r="A383" s="65">
        <v>381</v>
      </c>
      <c r="B383" s="66">
        <v>10.390576266941</v>
      </c>
      <c r="C383" s="66">
        <v>-4.2395370171808597</v>
      </c>
      <c r="D383" s="67">
        <v>0.81653568872015203</v>
      </c>
      <c r="E383" s="67">
        <v>-9.8678162755013705</v>
      </c>
      <c r="F383" s="67">
        <v>2.1159588157062799</v>
      </c>
      <c r="G383" s="67">
        <v>-3.3962936846253999</v>
      </c>
    </row>
    <row r="384" spans="1:7" x14ac:dyDescent="0.35">
      <c r="A384" s="65">
        <v>382</v>
      </c>
      <c r="B384" s="66">
        <v>14.2827907554442</v>
      </c>
      <c r="C384" s="66">
        <v>8.2349011487722201</v>
      </c>
      <c r="D384" s="67">
        <v>0.146522005204825</v>
      </c>
      <c r="E384" s="67">
        <v>-25.131066777252201</v>
      </c>
      <c r="F384" s="67">
        <v>-6.1080613941497104</v>
      </c>
      <c r="G384" s="67">
        <v>8.04074589271268</v>
      </c>
    </row>
    <row r="385" spans="1:7" x14ac:dyDescent="0.35">
      <c r="A385" s="65">
        <v>383</v>
      </c>
      <c r="B385" s="66">
        <v>-6.5597853957998797</v>
      </c>
      <c r="C385" s="66">
        <v>-3.3971656424867498</v>
      </c>
      <c r="D385" s="67">
        <v>16.0285370674133</v>
      </c>
      <c r="E385" s="67">
        <v>-9.8268095096889905</v>
      </c>
      <c r="F385" s="67">
        <v>-19.5134092967021</v>
      </c>
      <c r="G385" s="67">
        <v>1.1230054658049899</v>
      </c>
    </row>
    <row r="386" spans="1:7" x14ac:dyDescent="0.35">
      <c r="A386" s="65">
        <v>384</v>
      </c>
      <c r="B386" s="66">
        <v>-15.191478532099801</v>
      </c>
      <c r="C386" s="66">
        <v>-0.67530585145218502</v>
      </c>
      <c r="D386" s="67">
        <v>2.15788925077173</v>
      </c>
      <c r="E386" s="67">
        <v>8.0452635705444493</v>
      </c>
      <c r="F386" s="67">
        <v>4.7448701181298398</v>
      </c>
      <c r="G386" s="67">
        <v>3.4196029813101299</v>
      </c>
    </row>
    <row r="387" spans="1:7" x14ac:dyDescent="0.35">
      <c r="A387" s="65">
        <v>385</v>
      </c>
      <c r="B387" s="66">
        <v>-2.1580138676549199</v>
      </c>
      <c r="C387" s="66">
        <v>10.4077457539841</v>
      </c>
      <c r="D387" s="67">
        <v>1.9767916211030201</v>
      </c>
      <c r="E387" s="67">
        <v>19.298874701249002</v>
      </c>
      <c r="F387" s="67">
        <v>-8.7356040274802105</v>
      </c>
      <c r="G387" s="67">
        <v>5.9095167064913197</v>
      </c>
    </row>
    <row r="388" spans="1:7" x14ac:dyDescent="0.35">
      <c r="A388" s="65">
        <v>386</v>
      </c>
      <c r="B388" s="66">
        <v>12.029092492735099</v>
      </c>
      <c r="C388" s="66">
        <v>-9.7452252637456294</v>
      </c>
      <c r="D388" s="67">
        <v>131.87140791802801</v>
      </c>
      <c r="E388" s="67">
        <v>7.4305460156138601</v>
      </c>
      <c r="F388" s="67">
        <v>-14.1688840536403</v>
      </c>
      <c r="G388" s="67">
        <v>12.163718505703899</v>
      </c>
    </row>
    <row r="389" spans="1:7" x14ac:dyDescent="0.35">
      <c r="A389" s="65">
        <v>387</v>
      </c>
      <c r="B389" s="66">
        <v>5.8098785052288102</v>
      </c>
      <c r="C389" s="66">
        <v>-2.2322505721589501</v>
      </c>
      <c r="D389" s="67">
        <v>0.87716768051584304</v>
      </c>
      <c r="E389" s="67">
        <v>1.39613644565257</v>
      </c>
      <c r="F389" s="67">
        <v>7.4308023573963897</v>
      </c>
      <c r="G389" s="67">
        <v>-2.1967709850200099</v>
      </c>
    </row>
    <row r="390" spans="1:7" x14ac:dyDescent="0.35">
      <c r="A390" s="65">
        <v>388</v>
      </c>
      <c r="B390" s="66">
        <v>17.1133082661011</v>
      </c>
      <c r="C390" s="66">
        <v>2.8775315165147601</v>
      </c>
      <c r="D390" s="67">
        <v>0.65757626448944395</v>
      </c>
      <c r="E390" s="67">
        <v>-8.5841660404514997</v>
      </c>
      <c r="F390" s="67">
        <v>-4.2835536913679304</v>
      </c>
      <c r="G390" s="67">
        <v>6.6913043661987102</v>
      </c>
    </row>
    <row r="391" spans="1:7" x14ac:dyDescent="0.35">
      <c r="A391" s="65">
        <v>389</v>
      </c>
      <c r="B391" s="66">
        <v>4.6466607006790701</v>
      </c>
      <c r="C391" s="66">
        <v>-4.6580040139416701</v>
      </c>
      <c r="D391" s="67">
        <v>4.3770630482439401</v>
      </c>
      <c r="E391" s="67">
        <v>-4.6563837925076301</v>
      </c>
      <c r="F391" s="67">
        <v>2.37141930607712</v>
      </c>
      <c r="G391" s="67">
        <v>-3.2030697821053198</v>
      </c>
    </row>
    <row r="392" spans="1:7" x14ac:dyDescent="0.35">
      <c r="A392" s="65">
        <v>390</v>
      </c>
      <c r="B392" s="66">
        <v>4.6211165926118003</v>
      </c>
      <c r="C392" s="66">
        <v>-2.9061964816460102</v>
      </c>
      <c r="D392" s="67">
        <v>1.47999837725313</v>
      </c>
      <c r="E392" s="67">
        <v>-10.7008402235898</v>
      </c>
      <c r="F392" s="67">
        <v>1.03905610881209</v>
      </c>
      <c r="G392" s="67">
        <v>6.4770723121078699</v>
      </c>
    </row>
    <row r="393" spans="1:7" x14ac:dyDescent="0.35">
      <c r="A393" s="65">
        <v>391</v>
      </c>
      <c r="B393" s="66">
        <v>10.934252120549701</v>
      </c>
      <c r="C393" s="66">
        <v>-2.9281934283613702</v>
      </c>
      <c r="D393" s="67">
        <v>7.7422507903453299</v>
      </c>
      <c r="E393" s="67">
        <v>-17.7182949556979</v>
      </c>
      <c r="F393" s="67">
        <v>1.7196249926298199</v>
      </c>
      <c r="G393" s="67">
        <v>5.6522573955285296</v>
      </c>
    </row>
    <row r="394" spans="1:7" x14ac:dyDescent="0.35">
      <c r="A394" s="65">
        <v>392</v>
      </c>
      <c r="B394" s="66">
        <v>-13.244467720470499</v>
      </c>
      <c r="C394" s="66">
        <v>3.1017331100492198</v>
      </c>
      <c r="D394" s="67">
        <v>0.111430449904058</v>
      </c>
      <c r="E394" s="67">
        <v>0.34665807922125402</v>
      </c>
      <c r="F394" s="67">
        <v>-16.682469975883802</v>
      </c>
      <c r="G394" s="67">
        <v>8.0649697594818299</v>
      </c>
    </row>
    <row r="395" spans="1:7" x14ac:dyDescent="0.35">
      <c r="A395" s="65">
        <v>393</v>
      </c>
      <c r="B395" s="66">
        <v>13.3832347973817</v>
      </c>
      <c r="C395" s="66">
        <v>-1.79816790605308</v>
      </c>
      <c r="D395" s="67">
        <v>1.7275824520104199</v>
      </c>
      <c r="E395" s="67">
        <v>-9.0602653454152495</v>
      </c>
      <c r="F395" s="67">
        <v>-12.8047737989514</v>
      </c>
      <c r="G395" s="67">
        <v>-3.44411266268702</v>
      </c>
    </row>
    <row r="396" spans="1:7" x14ac:dyDescent="0.35">
      <c r="A396" s="65">
        <v>394</v>
      </c>
      <c r="B396" s="66">
        <v>-15.2984376710634</v>
      </c>
      <c r="C396" s="66">
        <v>-2.6572046495652302</v>
      </c>
      <c r="D396" s="67">
        <v>10.779785835195799</v>
      </c>
      <c r="E396" s="67">
        <v>23.1626042557528</v>
      </c>
      <c r="F396" s="67">
        <v>-7.3023578106919196</v>
      </c>
      <c r="G396" s="67">
        <v>4.4877181323816098</v>
      </c>
    </row>
    <row r="397" spans="1:7" x14ac:dyDescent="0.35">
      <c r="A397" s="65">
        <v>395</v>
      </c>
      <c r="B397" s="66">
        <v>1.71585233802715</v>
      </c>
      <c r="C397" s="66">
        <v>4.0257668082606104</v>
      </c>
      <c r="D397" s="67">
        <v>19.093831741828399</v>
      </c>
      <c r="E397" s="67">
        <v>-0.17240671528120899</v>
      </c>
      <c r="F397" s="67">
        <v>2.2736963119901401</v>
      </c>
      <c r="G397" s="67">
        <v>1.8867725274602001</v>
      </c>
    </row>
    <row r="398" spans="1:7" x14ac:dyDescent="0.35">
      <c r="A398" s="65">
        <v>396</v>
      </c>
      <c r="B398" s="66">
        <v>-17.963780159090899</v>
      </c>
      <c r="C398" s="66">
        <v>5.9111346439763999</v>
      </c>
      <c r="D398" s="67">
        <v>2.16645820639219</v>
      </c>
      <c r="E398" s="67">
        <v>-31.406983698801799</v>
      </c>
      <c r="F398" s="67">
        <v>-14.3894920989895</v>
      </c>
      <c r="G398" s="67">
        <v>4.1621635964402204</v>
      </c>
    </row>
    <row r="399" spans="1:7" x14ac:dyDescent="0.35">
      <c r="A399" s="65">
        <v>397</v>
      </c>
      <c r="B399" s="66">
        <v>0.93872219570057003</v>
      </c>
      <c r="C399" s="66">
        <v>-5.6485693685737797</v>
      </c>
      <c r="D399" s="67">
        <v>0.16240926202894901</v>
      </c>
      <c r="E399" s="67">
        <v>-6.2133659995841803</v>
      </c>
      <c r="F399" s="67">
        <v>-15.562439366919801</v>
      </c>
      <c r="G399" s="67">
        <v>-6.7643594379300698</v>
      </c>
    </row>
    <row r="400" spans="1:7" x14ac:dyDescent="0.35">
      <c r="A400" s="65">
        <v>398</v>
      </c>
      <c r="B400" s="66">
        <v>-1.8578421129837499</v>
      </c>
      <c r="C400" s="66">
        <v>-1.91826994555261</v>
      </c>
      <c r="D400" s="67">
        <v>1.1115005762794501</v>
      </c>
      <c r="E400" s="67">
        <v>7.2969459292915104</v>
      </c>
      <c r="F400" s="67">
        <v>2.6335488413509398</v>
      </c>
      <c r="G400" s="67">
        <v>2.3985175544098598</v>
      </c>
    </row>
    <row r="401" spans="1:7" x14ac:dyDescent="0.35">
      <c r="A401" s="65">
        <v>399</v>
      </c>
      <c r="B401" s="66">
        <v>8.2403264496521302</v>
      </c>
      <c r="C401" s="66">
        <v>0.374245726526511</v>
      </c>
      <c r="D401" s="67">
        <v>1.4613520553793899</v>
      </c>
      <c r="E401" s="67">
        <v>15.4625855245912</v>
      </c>
      <c r="F401" s="67">
        <v>-7.6034035959728401</v>
      </c>
      <c r="G401" s="67">
        <v>5.2296125366094603</v>
      </c>
    </row>
    <row r="402" spans="1:7" x14ac:dyDescent="0.35">
      <c r="A402" s="65">
        <v>400</v>
      </c>
      <c r="B402" s="66">
        <v>3.9537486746925898</v>
      </c>
      <c r="C402" s="66">
        <v>-2.1898327037749401</v>
      </c>
      <c r="D402" s="67">
        <v>7.71919572851123</v>
      </c>
      <c r="E402" s="67">
        <v>-9.6744570540174593</v>
      </c>
      <c r="F402" s="67">
        <v>-7.4827056494577997</v>
      </c>
      <c r="G402" s="67">
        <v>3.78557037508532</v>
      </c>
    </row>
    <row r="403" spans="1:7" x14ac:dyDescent="0.35">
      <c r="A403" s="65">
        <v>401</v>
      </c>
      <c r="B403" s="66">
        <v>-3.3033367946118002</v>
      </c>
      <c r="C403" s="66">
        <v>-4.9843681318461996</v>
      </c>
      <c r="D403" s="67">
        <v>0.50054645126309105</v>
      </c>
      <c r="E403" s="67">
        <v>-17.284663361251798</v>
      </c>
      <c r="F403" s="67">
        <v>-3.1035434108979398</v>
      </c>
      <c r="G403" s="67">
        <v>0.45820658134616099</v>
      </c>
    </row>
    <row r="404" spans="1:7" x14ac:dyDescent="0.35">
      <c r="A404" s="65">
        <v>402</v>
      </c>
      <c r="B404" s="66">
        <v>12.0454225011866</v>
      </c>
      <c r="C404" s="66">
        <v>5.4460174750593398</v>
      </c>
      <c r="D404" s="67">
        <v>8.0052668408814398</v>
      </c>
      <c r="E404" s="67">
        <v>24.417150724747401</v>
      </c>
      <c r="F404" s="67">
        <v>-0.95494223097631703</v>
      </c>
      <c r="G404" s="67">
        <v>7.0518568952466598</v>
      </c>
    </row>
    <row r="405" spans="1:7" x14ac:dyDescent="0.35">
      <c r="A405" s="65">
        <v>403</v>
      </c>
      <c r="B405" s="66">
        <v>-3.9423270211147798</v>
      </c>
      <c r="C405" s="66">
        <v>-3.10963873306632</v>
      </c>
      <c r="D405" s="67">
        <v>1.37560053550013</v>
      </c>
      <c r="E405" s="67">
        <v>17.065597947266401</v>
      </c>
      <c r="F405" s="67">
        <v>27.047543281197001</v>
      </c>
      <c r="G405" s="67">
        <v>-9.2711146526356494</v>
      </c>
    </row>
    <row r="406" spans="1:7" x14ac:dyDescent="0.35">
      <c r="A406" s="65">
        <v>404</v>
      </c>
      <c r="B406" s="66">
        <v>-2.2070967099931802</v>
      </c>
      <c r="C406" s="66">
        <v>-0.238089005413674</v>
      </c>
      <c r="D406" s="67">
        <v>8.65169844044439</v>
      </c>
      <c r="E406" s="67">
        <v>38.702783918963597</v>
      </c>
      <c r="F406" s="67">
        <v>11.667064864040601</v>
      </c>
      <c r="G406" s="67">
        <v>12.9853204083857</v>
      </c>
    </row>
    <row r="407" spans="1:7" x14ac:dyDescent="0.35">
      <c r="A407" s="65">
        <v>405</v>
      </c>
      <c r="B407" s="66">
        <v>-5.04031362986251</v>
      </c>
      <c r="C407" s="66">
        <v>1.36159687412465</v>
      </c>
      <c r="D407" s="67">
        <v>1.24297742807575</v>
      </c>
      <c r="E407" s="67">
        <v>-15.6968942650876</v>
      </c>
      <c r="F407" s="67">
        <v>20.510355557812399</v>
      </c>
      <c r="G407" s="67">
        <v>-4.6949127659701402</v>
      </c>
    </row>
    <row r="408" spans="1:7" x14ac:dyDescent="0.35">
      <c r="A408" s="65">
        <v>406</v>
      </c>
      <c r="B408" s="66">
        <v>22.163976034034299</v>
      </c>
      <c r="C408" s="66">
        <v>4.47098523962622</v>
      </c>
      <c r="D408" s="67">
        <v>1.43002207488259</v>
      </c>
      <c r="E408" s="67">
        <v>-23.155709194599801</v>
      </c>
      <c r="F408" s="67">
        <v>10.412015534685899</v>
      </c>
      <c r="G408" s="67">
        <v>3.0129997670156401</v>
      </c>
    </row>
    <row r="409" spans="1:7" x14ac:dyDescent="0.35">
      <c r="A409" s="65">
        <v>407</v>
      </c>
      <c r="B409" s="66">
        <v>-2.0426839596331399</v>
      </c>
      <c r="C409" s="66">
        <v>0.72388365031601698</v>
      </c>
      <c r="D409" s="67">
        <v>1.1168749427612199</v>
      </c>
      <c r="E409" s="67">
        <v>8.9406537284179795</v>
      </c>
      <c r="F409" s="67">
        <v>-2.1203762492348699</v>
      </c>
      <c r="G409" s="67">
        <v>-9.2327008956029992</v>
      </c>
    </row>
    <row r="410" spans="1:7" x14ac:dyDescent="0.35">
      <c r="A410" s="65">
        <v>408</v>
      </c>
      <c r="B410" s="66">
        <v>1.39868886881264</v>
      </c>
      <c r="C410" s="66">
        <v>1.48904685786526</v>
      </c>
      <c r="D410" s="67">
        <v>0.14430175683855501</v>
      </c>
      <c r="E410" s="67">
        <v>-14.4328752103317</v>
      </c>
      <c r="F410" s="67">
        <v>-3.86086564288324</v>
      </c>
      <c r="G410" s="67">
        <v>5.3168845354851797</v>
      </c>
    </row>
    <row r="411" spans="1:7" x14ac:dyDescent="0.35">
      <c r="A411" s="65">
        <v>409</v>
      </c>
      <c r="B411" s="66">
        <v>10.3334460115924</v>
      </c>
      <c r="C411" s="66">
        <v>-0.133519082885138</v>
      </c>
      <c r="D411" s="67">
        <v>4.6963508739509496</v>
      </c>
      <c r="E411" s="67">
        <v>21.601050828043501</v>
      </c>
      <c r="F411" s="67">
        <v>5.4890765768230798</v>
      </c>
      <c r="G411" s="67">
        <v>3.72192234985065</v>
      </c>
    </row>
    <row r="412" spans="1:7" x14ac:dyDescent="0.35">
      <c r="A412" s="65">
        <v>410</v>
      </c>
      <c r="B412" s="66">
        <v>-3.28674395782831</v>
      </c>
      <c r="C412" s="66">
        <v>-4.0125796204754502</v>
      </c>
      <c r="D412" s="67">
        <v>0.98492281804409598</v>
      </c>
      <c r="E412" s="67">
        <v>9.7872200606436408</v>
      </c>
      <c r="F412" s="67">
        <v>14.9302101776202</v>
      </c>
      <c r="G412" s="67">
        <v>-0.139316795249772</v>
      </c>
    </row>
    <row r="413" spans="1:7" x14ac:dyDescent="0.35">
      <c r="A413" s="65">
        <v>411</v>
      </c>
      <c r="B413" s="66">
        <v>2.1757008568982701</v>
      </c>
      <c r="C413" s="66">
        <v>5.54629493215789</v>
      </c>
      <c r="D413" s="67">
        <v>1.2275663787811899</v>
      </c>
      <c r="E413" s="67">
        <v>26.847712022243002</v>
      </c>
      <c r="F413" s="67">
        <v>-10.7231775722219</v>
      </c>
      <c r="G413" s="67">
        <v>1.45852767549147E-2</v>
      </c>
    </row>
    <row r="414" spans="1:7" x14ac:dyDescent="0.35">
      <c r="A414" s="65">
        <v>412</v>
      </c>
      <c r="B414" s="66">
        <v>10.0583125491922</v>
      </c>
      <c r="C414" s="66">
        <v>2.7404193650785702</v>
      </c>
      <c r="D414" s="67">
        <v>2.4365771313733</v>
      </c>
      <c r="E414" s="67">
        <v>25.017582027046899</v>
      </c>
      <c r="F414" s="67">
        <v>-9.8114585671662606</v>
      </c>
      <c r="G414" s="67">
        <v>1.7938619809327601</v>
      </c>
    </row>
    <row r="415" spans="1:7" x14ac:dyDescent="0.35">
      <c r="A415" s="65">
        <v>413</v>
      </c>
      <c r="B415" s="66">
        <v>-4.8866589580764197</v>
      </c>
      <c r="C415" s="66">
        <v>1.98838197066431</v>
      </c>
      <c r="D415" s="67">
        <v>0.44621413864127202</v>
      </c>
      <c r="E415" s="67">
        <v>-24.560040881366199</v>
      </c>
      <c r="F415" s="67">
        <v>11.1161072706557</v>
      </c>
      <c r="G415" s="67">
        <v>-3.1477733459167401</v>
      </c>
    </row>
    <row r="416" spans="1:7" x14ac:dyDescent="0.35">
      <c r="A416" s="65">
        <v>414</v>
      </c>
      <c r="B416" s="66">
        <v>2.7960224850415401</v>
      </c>
      <c r="C416" s="66">
        <v>-1.8418189694357601</v>
      </c>
      <c r="D416" s="67">
        <v>1.4475159493449901</v>
      </c>
      <c r="E416" s="67">
        <v>4.8387739622936898</v>
      </c>
      <c r="F416" s="67">
        <v>0.94594018410221503</v>
      </c>
      <c r="G416" s="67">
        <v>10.2820419085153</v>
      </c>
    </row>
    <row r="417" spans="1:7" x14ac:dyDescent="0.35">
      <c r="A417" s="65">
        <v>415</v>
      </c>
      <c r="B417" s="66">
        <v>-13.3404328956108</v>
      </c>
      <c r="C417" s="66">
        <v>5.4249838249175504</v>
      </c>
      <c r="D417" s="67">
        <v>1.3899533061332501</v>
      </c>
      <c r="E417" s="67">
        <v>-17.956094963811299</v>
      </c>
      <c r="F417" s="67">
        <v>1.53468507366694</v>
      </c>
      <c r="G417" s="67">
        <v>4.4794516393055099</v>
      </c>
    </row>
    <row r="418" spans="1:7" x14ac:dyDescent="0.35">
      <c r="A418" s="65">
        <v>416</v>
      </c>
      <c r="B418" s="66">
        <v>-28.067300712479</v>
      </c>
      <c r="C418" s="66">
        <v>-5.93391855004674</v>
      </c>
      <c r="D418" s="67">
        <v>0.42075560582547</v>
      </c>
      <c r="E418" s="67">
        <v>10.607175101292301</v>
      </c>
      <c r="F418" s="67">
        <v>14.7462565921016</v>
      </c>
      <c r="G418" s="67">
        <v>-13.819217574683799</v>
      </c>
    </row>
    <row r="419" spans="1:7" x14ac:dyDescent="0.35">
      <c r="A419" s="65">
        <v>417</v>
      </c>
      <c r="B419" s="66">
        <v>1.87376602394337</v>
      </c>
      <c r="C419" s="66">
        <v>-0.21283212371882901</v>
      </c>
      <c r="D419" s="67">
        <v>9.4015486830851902</v>
      </c>
      <c r="E419" s="67">
        <v>23.202027254087898</v>
      </c>
      <c r="F419" s="67">
        <v>-9.5700881524275694</v>
      </c>
      <c r="G419" s="67">
        <v>2.3171559881066202</v>
      </c>
    </row>
    <row r="420" spans="1:7" x14ac:dyDescent="0.35">
      <c r="A420" s="65">
        <v>418</v>
      </c>
      <c r="B420" s="66">
        <v>13.9832614954801</v>
      </c>
      <c r="C420" s="66">
        <v>-1.6546430188715999</v>
      </c>
      <c r="D420" s="67">
        <v>11.2490114066874</v>
      </c>
      <c r="E420" s="67">
        <v>-5.2148988568645702</v>
      </c>
      <c r="F420" s="67">
        <v>11.0828216767593</v>
      </c>
      <c r="G420" s="67">
        <v>4.2464819715574196</v>
      </c>
    </row>
    <row r="421" spans="1:7" x14ac:dyDescent="0.35">
      <c r="A421" s="65">
        <v>419</v>
      </c>
      <c r="B421" s="66">
        <v>-4.6732798799011199</v>
      </c>
      <c r="C421" s="66">
        <v>-5.1829972620196196</v>
      </c>
      <c r="D421" s="67">
        <v>51.654278638526499</v>
      </c>
      <c r="E421" s="67">
        <v>2.1587670268279302</v>
      </c>
      <c r="F421" s="67">
        <v>-15.3042852684978</v>
      </c>
      <c r="G421" s="67">
        <v>6.8871636391529503</v>
      </c>
    </row>
    <row r="422" spans="1:7" x14ac:dyDescent="0.35">
      <c r="A422" s="65">
        <v>420</v>
      </c>
      <c r="B422" s="66">
        <v>-4.2225635798954402</v>
      </c>
      <c r="C422" s="66">
        <v>3.5022795107932301</v>
      </c>
      <c r="D422" s="67">
        <v>4.3142937360950899</v>
      </c>
      <c r="E422" s="67">
        <v>19.689941881945099</v>
      </c>
      <c r="F422" s="67">
        <v>7.2607623545912503</v>
      </c>
      <c r="G422" s="67">
        <v>-10.8447317651841</v>
      </c>
    </row>
    <row r="423" spans="1:7" x14ac:dyDescent="0.35">
      <c r="A423" s="65">
        <v>421</v>
      </c>
      <c r="B423" s="66">
        <v>-4.5481669740470601</v>
      </c>
      <c r="C423" s="66">
        <v>-4.2305488063766399</v>
      </c>
      <c r="D423" s="67">
        <v>1.0484695011760501</v>
      </c>
      <c r="E423" s="67">
        <v>13.7223131584008</v>
      </c>
      <c r="F423" s="67">
        <v>-8.9471797077827606</v>
      </c>
      <c r="G423" s="67">
        <v>1.91990141871203</v>
      </c>
    </row>
    <row r="424" spans="1:7" x14ac:dyDescent="0.35">
      <c r="A424" s="65">
        <v>422</v>
      </c>
      <c r="B424" s="66">
        <v>-19.848345086649399</v>
      </c>
      <c r="C424" s="66">
        <v>8.5491916815693791</v>
      </c>
      <c r="D424" s="67">
        <v>2.2475737108706402</v>
      </c>
      <c r="E424" s="67">
        <v>9.5217112720213102</v>
      </c>
      <c r="F424" s="67">
        <v>6.1653959228329098</v>
      </c>
      <c r="G424" s="67">
        <v>-1.13122897422484</v>
      </c>
    </row>
    <row r="425" spans="1:7" x14ac:dyDescent="0.35">
      <c r="A425" s="65">
        <v>423</v>
      </c>
      <c r="B425" s="66">
        <v>-3.6352910470007398</v>
      </c>
      <c r="C425" s="66">
        <v>2.75607979173276</v>
      </c>
      <c r="D425" s="67">
        <v>2.1708894062622801</v>
      </c>
      <c r="E425" s="67">
        <v>3.8895390601019701</v>
      </c>
      <c r="F425" s="67">
        <v>15.8852869500944</v>
      </c>
      <c r="G425" s="67">
        <v>3.8088815748940901</v>
      </c>
    </row>
    <row r="426" spans="1:7" x14ac:dyDescent="0.35">
      <c r="A426" s="65">
        <v>424</v>
      </c>
      <c r="B426" s="66">
        <v>1.8837763166989001</v>
      </c>
      <c r="C426" s="66">
        <v>2.3950585384626502</v>
      </c>
      <c r="D426" s="67">
        <v>2.2373497858523401</v>
      </c>
      <c r="E426" s="67">
        <v>-2.3920869396804099</v>
      </c>
      <c r="F426" s="67">
        <v>20.745069813548501</v>
      </c>
      <c r="G426" s="67">
        <v>10.0839283142283</v>
      </c>
    </row>
    <row r="427" spans="1:7" x14ac:dyDescent="0.35">
      <c r="A427" s="65">
        <v>425</v>
      </c>
      <c r="B427" s="66">
        <v>12.4743097429667</v>
      </c>
      <c r="C427" s="66">
        <v>-16.9690879189253</v>
      </c>
      <c r="D427" s="67">
        <v>1.0489297529921999</v>
      </c>
      <c r="E427" s="67">
        <v>-10.0052488331402</v>
      </c>
      <c r="F427" s="67">
        <v>-8.5278719692757807</v>
      </c>
      <c r="G427" s="67">
        <v>1.6345462791493801</v>
      </c>
    </row>
    <row r="428" spans="1:7" x14ac:dyDescent="0.35">
      <c r="A428" s="65">
        <v>426</v>
      </c>
      <c r="B428" s="66">
        <v>1.9072910045313201</v>
      </c>
      <c r="C428" s="66">
        <v>-3.7904532345326301</v>
      </c>
      <c r="D428" s="67">
        <v>1.3196944557599</v>
      </c>
      <c r="E428" s="67">
        <v>9.3154690236953002</v>
      </c>
      <c r="F428" s="67">
        <v>20.212146074973699</v>
      </c>
      <c r="G428" s="67">
        <v>-0.52999989493652</v>
      </c>
    </row>
    <row r="429" spans="1:7" x14ac:dyDescent="0.35">
      <c r="A429" s="65">
        <v>427</v>
      </c>
      <c r="B429" s="66">
        <v>-2.0246824786490101</v>
      </c>
      <c r="C429" s="66">
        <v>-5.0694619140688397</v>
      </c>
      <c r="D429" s="67">
        <v>0.49695679989161801</v>
      </c>
      <c r="E429" s="67">
        <v>15.4992561090496</v>
      </c>
      <c r="F429" s="67">
        <v>-13.550832995885299</v>
      </c>
      <c r="G429" s="67">
        <v>1.9839071990094199</v>
      </c>
    </row>
    <row r="430" spans="1:7" x14ac:dyDescent="0.35">
      <c r="A430" s="65">
        <v>428</v>
      </c>
      <c r="B430" s="66">
        <v>-3.16707385869507</v>
      </c>
      <c r="C430" s="66">
        <v>-5.8122598050616903</v>
      </c>
      <c r="D430" s="67">
        <v>4.78360800252524E-2</v>
      </c>
      <c r="E430" s="67">
        <v>-28.625931758725301</v>
      </c>
      <c r="F430" s="67">
        <v>-17.538413771119899</v>
      </c>
      <c r="G430" s="67">
        <v>2.5114228237623299</v>
      </c>
    </row>
    <row r="431" spans="1:7" x14ac:dyDescent="0.35">
      <c r="A431" s="65">
        <v>429</v>
      </c>
      <c r="B431" s="66">
        <v>18.320139383338599</v>
      </c>
      <c r="C431" s="66">
        <v>9.6241186284679792</v>
      </c>
      <c r="D431" s="67">
        <v>0.48123692236056198</v>
      </c>
      <c r="E431" s="67">
        <v>14.531753456213799</v>
      </c>
      <c r="F431" s="67">
        <v>-3.1226471416680002</v>
      </c>
      <c r="G431" s="67">
        <v>6.04361399237348</v>
      </c>
    </row>
    <row r="432" spans="1:7" x14ac:dyDescent="0.35">
      <c r="A432" s="65">
        <v>430</v>
      </c>
      <c r="B432" s="66">
        <v>-0.64350090945591398</v>
      </c>
      <c r="C432" s="66">
        <v>-0.65719896623943796</v>
      </c>
      <c r="D432" s="67">
        <v>3.8777938142382999</v>
      </c>
      <c r="E432" s="67">
        <v>14.3909674758031</v>
      </c>
      <c r="F432" s="67">
        <v>5.5902518417136902</v>
      </c>
      <c r="G432" s="67">
        <v>6.4613806170250401</v>
      </c>
    </row>
    <row r="433" spans="1:7" x14ac:dyDescent="0.35">
      <c r="A433" s="65">
        <v>431</v>
      </c>
      <c r="B433" s="66">
        <v>4.9995007663601596</v>
      </c>
      <c r="C433" s="66">
        <v>-0.95570749638549601</v>
      </c>
      <c r="D433" s="67">
        <v>5.3215477393476496</v>
      </c>
      <c r="E433" s="67">
        <v>-11.1089321966508</v>
      </c>
      <c r="F433" s="67">
        <v>-18.9881754042197</v>
      </c>
      <c r="G433" s="67">
        <v>-1.4287984318050599</v>
      </c>
    </row>
    <row r="434" spans="1:7" x14ac:dyDescent="0.35">
      <c r="A434" s="65">
        <v>432</v>
      </c>
      <c r="B434" s="66">
        <v>-6.2096319149135297</v>
      </c>
      <c r="C434" s="66">
        <v>8.2786435081925696</v>
      </c>
      <c r="D434" s="67">
        <v>5.7882996045426101</v>
      </c>
      <c r="E434" s="67">
        <v>-3.1677622265062002</v>
      </c>
      <c r="F434" s="67">
        <v>2.5691834359176702</v>
      </c>
      <c r="G434" s="67">
        <v>2.1607047508753001</v>
      </c>
    </row>
    <row r="435" spans="1:7" x14ac:dyDescent="0.35">
      <c r="A435" s="65">
        <v>433</v>
      </c>
      <c r="B435" s="66">
        <v>0.28654921722029197</v>
      </c>
      <c r="C435" s="66">
        <v>3.6901781857996498</v>
      </c>
      <c r="D435" s="67">
        <v>10.9861747552849</v>
      </c>
      <c r="E435" s="67">
        <v>1.9714383379845799</v>
      </c>
      <c r="F435" s="67">
        <v>-2.4731287387171701</v>
      </c>
      <c r="G435" s="67">
        <v>2.4313275726457202</v>
      </c>
    </row>
    <row r="436" spans="1:7" x14ac:dyDescent="0.35">
      <c r="A436" s="65">
        <v>434</v>
      </c>
      <c r="B436" s="66">
        <v>20.6278322934062</v>
      </c>
      <c r="C436" s="66">
        <v>-4.28709890938954</v>
      </c>
      <c r="D436" s="67">
        <v>3.73082014039987</v>
      </c>
      <c r="E436" s="67">
        <v>-9.2448595934464901</v>
      </c>
      <c r="F436" s="67">
        <v>0.43258940707432503</v>
      </c>
      <c r="G436" s="67">
        <v>-2.0855765436739002</v>
      </c>
    </row>
    <row r="437" spans="1:7" x14ac:dyDescent="0.35">
      <c r="A437" s="65">
        <v>435</v>
      </c>
      <c r="B437" s="66">
        <v>1.8049994725151599</v>
      </c>
      <c r="C437" s="66">
        <v>5.3038766841981699</v>
      </c>
      <c r="D437" s="67">
        <v>11.285170722232801</v>
      </c>
      <c r="E437" s="67">
        <v>-11.7470256437876</v>
      </c>
      <c r="F437" s="67">
        <v>4.1956583513157604</v>
      </c>
      <c r="G437" s="67">
        <v>-0.33418663049726099</v>
      </c>
    </row>
    <row r="438" spans="1:7" x14ac:dyDescent="0.35">
      <c r="A438" s="65">
        <v>436</v>
      </c>
      <c r="B438" s="66">
        <v>0.65945660333327205</v>
      </c>
      <c r="C438" s="66">
        <v>-3.6362706363400301</v>
      </c>
      <c r="D438" s="67">
        <v>2.0454214917879301</v>
      </c>
      <c r="E438" s="67">
        <v>4.4232701079319598</v>
      </c>
      <c r="F438" s="67">
        <v>-11.4565274340583</v>
      </c>
      <c r="G438" s="67">
        <v>5.5667547409984603</v>
      </c>
    </row>
    <row r="439" spans="1:7" x14ac:dyDescent="0.35">
      <c r="A439" s="65">
        <v>437</v>
      </c>
      <c r="B439" s="66">
        <v>13.5390875935989</v>
      </c>
      <c r="C439" s="66">
        <v>5.2586469357488799</v>
      </c>
      <c r="D439" s="67">
        <v>2.89896185433805</v>
      </c>
      <c r="E439" s="67">
        <v>10.915349652267301</v>
      </c>
      <c r="F439" s="67">
        <v>-12.998162460469199</v>
      </c>
      <c r="G439" s="67">
        <v>6.99721319327623</v>
      </c>
    </row>
    <row r="440" spans="1:7" x14ac:dyDescent="0.35">
      <c r="A440" s="65">
        <v>438</v>
      </c>
      <c r="B440" s="66">
        <v>-24.1864895239476</v>
      </c>
      <c r="C440" s="66">
        <v>4.3359592169085897</v>
      </c>
      <c r="D440" s="67">
        <v>6.8754719970325597</v>
      </c>
      <c r="E440" s="67">
        <v>-18.099145806708002</v>
      </c>
      <c r="F440" s="67">
        <v>4.5106686949418604</v>
      </c>
      <c r="G440" s="67">
        <v>7.1294181235121998</v>
      </c>
    </row>
    <row r="441" spans="1:7" x14ac:dyDescent="0.35">
      <c r="A441" s="65">
        <v>439</v>
      </c>
      <c r="B441" s="66">
        <v>7.56427233762291</v>
      </c>
      <c r="C441" s="66">
        <v>9.2804192489073003</v>
      </c>
      <c r="D441" s="67">
        <v>0.68099795073474501</v>
      </c>
      <c r="E441" s="67">
        <v>-17.956499853230099</v>
      </c>
      <c r="F441" s="67">
        <v>6.9841168612036597</v>
      </c>
      <c r="G441" s="67">
        <v>19.914608588688299</v>
      </c>
    </row>
    <row r="442" spans="1:7" x14ac:dyDescent="0.35">
      <c r="A442" s="65">
        <v>440</v>
      </c>
      <c r="B442" s="66">
        <v>8.88047981254884</v>
      </c>
      <c r="C442" s="66">
        <v>5.0042515781726902</v>
      </c>
      <c r="D442" s="67">
        <v>0.93836740507123195</v>
      </c>
      <c r="E442" s="67">
        <v>-19.423557904934199</v>
      </c>
      <c r="F442" s="67">
        <v>-6.0314975653891096</v>
      </c>
      <c r="G442" s="67">
        <v>-5.3528009159728196</v>
      </c>
    </row>
    <row r="443" spans="1:7" x14ac:dyDescent="0.35">
      <c r="A443" s="65">
        <v>441</v>
      </c>
      <c r="B443" s="66">
        <v>11.7932986013251</v>
      </c>
      <c r="C443" s="66">
        <v>-3.5250828112889399</v>
      </c>
      <c r="D443" s="67">
        <v>2.209095357147</v>
      </c>
      <c r="E443" s="67">
        <v>-8.4065144643330996</v>
      </c>
      <c r="F443" s="67">
        <v>-15.112556419712799</v>
      </c>
      <c r="G443" s="67">
        <v>3.05696492549585</v>
      </c>
    </row>
    <row r="444" spans="1:7" x14ac:dyDescent="0.35">
      <c r="A444" s="65">
        <v>442</v>
      </c>
      <c r="B444" s="66">
        <v>-10.8266800699085</v>
      </c>
      <c r="C444" s="66">
        <v>2.26718135349318</v>
      </c>
      <c r="D444" s="67">
        <v>0.65581725807365299</v>
      </c>
      <c r="E444" s="67">
        <v>16.432546309932199</v>
      </c>
      <c r="F444" s="67">
        <v>-14.5487435111948</v>
      </c>
      <c r="G444" s="67">
        <v>3.0386659986314299</v>
      </c>
    </row>
    <row r="445" spans="1:7" x14ac:dyDescent="0.35">
      <c r="A445" s="65">
        <v>443</v>
      </c>
      <c r="B445" s="66">
        <v>7.1134354666716</v>
      </c>
      <c r="C445" s="66">
        <v>3.7558485303768401</v>
      </c>
      <c r="D445" s="67">
        <v>9.2933747424926505</v>
      </c>
      <c r="E445" s="67">
        <v>-4.9704123660530604</v>
      </c>
      <c r="F445" s="67">
        <v>5.6685057120830402</v>
      </c>
      <c r="G445" s="67">
        <v>-6.9837894410775601</v>
      </c>
    </row>
    <row r="446" spans="1:7" x14ac:dyDescent="0.35">
      <c r="A446" s="65">
        <v>444</v>
      </c>
      <c r="B446" s="66">
        <v>-9.4947600603415303</v>
      </c>
      <c r="C446" s="66">
        <v>2.7653430159243402</v>
      </c>
      <c r="D446" s="67">
        <v>3.5530418112729301</v>
      </c>
      <c r="E446" s="67">
        <v>25.8372287318922</v>
      </c>
      <c r="F446" s="67">
        <v>2.8189106998292699</v>
      </c>
      <c r="G446" s="67">
        <v>-1.40428949942047</v>
      </c>
    </row>
    <row r="447" spans="1:7" x14ac:dyDescent="0.35">
      <c r="A447" s="65">
        <v>445</v>
      </c>
      <c r="B447" s="66">
        <v>0.87517706182840704</v>
      </c>
      <c r="C447" s="66">
        <v>5.74843714196364</v>
      </c>
      <c r="D447" s="67">
        <v>4.87031365592438</v>
      </c>
      <c r="E447" s="67">
        <v>8.4808723048391099E-2</v>
      </c>
      <c r="F447" s="67">
        <v>10.2337900351021</v>
      </c>
      <c r="G447" s="67">
        <v>-3.3551599643041699</v>
      </c>
    </row>
    <row r="448" spans="1:7" x14ac:dyDescent="0.35">
      <c r="A448" s="65">
        <v>446</v>
      </c>
      <c r="B448" s="66">
        <v>6.7158026106542597</v>
      </c>
      <c r="C448" s="66">
        <v>7.8706808226731502</v>
      </c>
      <c r="D448" s="67">
        <v>1.99101170685822</v>
      </c>
      <c r="E448" s="67">
        <v>3.5045340820336301</v>
      </c>
      <c r="F448" s="67">
        <v>11.708890898805199</v>
      </c>
      <c r="G448" s="67">
        <v>8.5621591616632102</v>
      </c>
    </row>
    <row r="449" spans="1:7" x14ac:dyDescent="0.35">
      <c r="A449" s="65">
        <v>447</v>
      </c>
      <c r="B449" s="66">
        <v>0.79925867893225799</v>
      </c>
      <c r="C449" s="66">
        <v>0.32155876225151198</v>
      </c>
      <c r="D449" s="67">
        <v>6.12733811133009</v>
      </c>
      <c r="E449" s="67">
        <v>10.6920307095484</v>
      </c>
      <c r="F449" s="67">
        <v>12.5562539637247</v>
      </c>
      <c r="G449" s="67">
        <v>-0.116569710116857</v>
      </c>
    </row>
    <row r="450" spans="1:7" x14ac:dyDescent="0.35">
      <c r="A450" s="65">
        <v>448</v>
      </c>
      <c r="B450" s="66">
        <v>5.97334061745764</v>
      </c>
      <c r="C450" s="66">
        <v>4.5998435293653204</v>
      </c>
      <c r="D450" s="67">
        <v>0.52540514039582598</v>
      </c>
      <c r="E450" s="67">
        <v>-35.592941856806597</v>
      </c>
      <c r="F450" s="67">
        <v>6.3329890512432296</v>
      </c>
      <c r="G450" s="67">
        <v>7.9590948122958904</v>
      </c>
    </row>
    <row r="451" spans="1:7" x14ac:dyDescent="0.35">
      <c r="A451" s="65">
        <v>449</v>
      </c>
      <c r="B451" s="66">
        <v>-6.9472564142606803</v>
      </c>
      <c r="C451" s="66">
        <v>6.3433161300255296</v>
      </c>
      <c r="D451" s="67">
        <v>0.93707919274317197</v>
      </c>
      <c r="E451" s="67">
        <v>3.9423170713923299</v>
      </c>
      <c r="F451" s="67">
        <v>9.6198642865638107</v>
      </c>
      <c r="G451" s="67">
        <v>0.11011812730055701</v>
      </c>
    </row>
    <row r="452" spans="1:7" x14ac:dyDescent="0.35">
      <c r="A452" s="65">
        <v>450</v>
      </c>
      <c r="B452" s="66">
        <v>-6.6245368936737803</v>
      </c>
      <c r="C452" s="66">
        <v>-2.6314890449557198</v>
      </c>
      <c r="D452" s="67">
        <v>6.3982200916024601</v>
      </c>
      <c r="E452" s="67">
        <v>-12.133537133093199</v>
      </c>
      <c r="F452" s="67">
        <v>-4.86400213286817</v>
      </c>
      <c r="G452" s="67">
        <v>6.58549702927876</v>
      </c>
    </row>
    <row r="453" spans="1:7" x14ac:dyDescent="0.35">
      <c r="A453" s="65">
        <v>451</v>
      </c>
      <c r="B453" s="66">
        <v>11.983248624563799</v>
      </c>
      <c r="C453" s="66">
        <v>-1.3173933784692</v>
      </c>
      <c r="D453" s="67">
        <v>5.4737153074456799</v>
      </c>
      <c r="E453" s="67">
        <v>22.8141472830814</v>
      </c>
      <c r="F453" s="67">
        <v>2.3459534643221001</v>
      </c>
      <c r="G453" s="67">
        <v>-14.2297263789459</v>
      </c>
    </row>
    <row r="454" spans="1:7" x14ac:dyDescent="0.35">
      <c r="A454" s="65">
        <v>452</v>
      </c>
      <c r="B454" s="66">
        <v>-12.639191277494501</v>
      </c>
      <c r="C454" s="66">
        <v>-0.27136472432777098</v>
      </c>
      <c r="D454" s="67">
        <v>1.9146584713453401</v>
      </c>
      <c r="E454" s="67">
        <v>-10.469307936425</v>
      </c>
      <c r="F454" s="67">
        <v>8.5363659425546192</v>
      </c>
      <c r="G454" s="67">
        <v>-9.3344120075185497</v>
      </c>
    </row>
    <row r="455" spans="1:7" x14ac:dyDescent="0.35">
      <c r="A455" s="65">
        <v>453</v>
      </c>
      <c r="B455" s="66">
        <v>4.1305972044512798</v>
      </c>
      <c r="C455" s="66">
        <v>-1.00754206067709</v>
      </c>
      <c r="D455" s="67">
        <v>0.321158422932103</v>
      </c>
      <c r="E455" s="67">
        <v>22.754039317713801</v>
      </c>
      <c r="F455" s="67">
        <v>9.3620271361508003</v>
      </c>
      <c r="G455" s="67">
        <v>9.5094542693014503</v>
      </c>
    </row>
    <row r="456" spans="1:7" x14ac:dyDescent="0.35">
      <c r="A456" s="65">
        <v>454</v>
      </c>
      <c r="B456" s="66">
        <v>6.5664215597977504</v>
      </c>
      <c r="C456" s="66">
        <v>-7.3163887199018403</v>
      </c>
      <c r="D456" s="67">
        <v>1.7536522372044301</v>
      </c>
      <c r="E456" s="67">
        <v>-0.78163416081378401</v>
      </c>
      <c r="F456" s="67">
        <v>-11.4117531048381</v>
      </c>
      <c r="G456" s="67">
        <v>2.2388701547361598</v>
      </c>
    </row>
    <row r="457" spans="1:7" x14ac:dyDescent="0.35">
      <c r="A457" s="65">
        <v>455</v>
      </c>
      <c r="B457" s="66">
        <v>-8.8963324395926602</v>
      </c>
      <c r="C457" s="66">
        <v>-3.3237758839846201</v>
      </c>
      <c r="D457" s="67">
        <v>1.2523460629202501</v>
      </c>
      <c r="E457" s="67">
        <v>-7.5601714469764998</v>
      </c>
      <c r="F457" s="67">
        <v>-11.1469744544143</v>
      </c>
      <c r="G457" s="67">
        <v>1.6157915631898601</v>
      </c>
    </row>
    <row r="458" spans="1:7" x14ac:dyDescent="0.35">
      <c r="A458" s="65">
        <v>456</v>
      </c>
      <c r="B458" s="66">
        <v>-9.6290189146564007</v>
      </c>
      <c r="C458" s="66">
        <v>-1.0701750162472501</v>
      </c>
      <c r="D458" s="67">
        <v>2.5833153877020401</v>
      </c>
      <c r="E458" s="67">
        <v>5.7092926274220002</v>
      </c>
      <c r="F458" s="67">
        <v>-4.3395250672302197</v>
      </c>
      <c r="G458" s="67">
        <v>12.669015876205499</v>
      </c>
    </row>
    <row r="459" spans="1:7" x14ac:dyDescent="0.35">
      <c r="A459" s="65">
        <v>457</v>
      </c>
      <c r="B459" s="66">
        <v>-3.9516095492537699</v>
      </c>
      <c r="C459" s="66">
        <v>-4.4605515829597602</v>
      </c>
      <c r="D459" s="67">
        <v>4.2710385497444703</v>
      </c>
      <c r="E459" s="67">
        <v>14.3415366375476</v>
      </c>
      <c r="F459" s="67">
        <v>0.36511992551315198</v>
      </c>
      <c r="G459" s="67">
        <v>8.9046770375576099</v>
      </c>
    </row>
    <row r="460" spans="1:7" x14ac:dyDescent="0.35">
      <c r="A460" s="65">
        <v>458</v>
      </c>
      <c r="B460" s="66">
        <v>18.278504967482299</v>
      </c>
      <c r="C460" s="66">
        <v>-5.3443861164883701</v>
      </c>
      <c r="D460" s="67">
        <v>1.9887889813992301</v>
      </c>
      <c r="E460" s="67">
        <v>18.437778031116501</v>
      </c>
      <c r="F460" s="67">
        <v>-0.88098020804483601</v>
      </c>
      <c r="G460" s="67">
        <v>11.967909910028601</v>
      </c>
    </row>
    <row r="461" spans="1:7" x14ac:dyDescent="0.35">
      <c r="A461" s="65">
        <v>459</v>
      </c>
      <c r="B461" s="66">
        <v>-10.5561261183616</v>
      </c>
      <c r="C461" s="66">
        <v>0.543868355999921</v>
      </c>
      <c r="D461" s="67">
        <v>42.376932212666901</v>
      </c>
      <c r="E461" s="67">
        <v>-0.34690842037524</v>
      </c>
      <c r="F461" s="67">
        <v>4.3918807145011396</v>
      </c>
      <c r="G461" s="67">
        <v>5.6464793584042603</v>
      </c>
    </row>
    <row r="462" spans="1:7" x14ac:dyDescent="0.35">
      <c r="A462" s="65">
        <v>460</v>
      </c>
      <c r="B462" s="66">
        <v>9.2712241309958898</v>
      </c>
      <c r="C462" s="66">
        <v>7.46962471473684</v>
      </c>
      <c r="D462" s="67">
        <v>36.993212637874898</v>
      </c>
      <c r="E462" s="67">
        <v>-25.175746078179898</v>
      </c>
      <c r="F462" s="67">
        <v>1.5744595525612199</v>
      </c>
      <c r="G462" s="67">
        <v>2.7721766245168702</v>
      </c>
    </row>
    <row r="463" spans="1:7" x14ac:dyDescent="0.35">
      <c r="A463" s="65">
        <v>461</v>
      </c>
      <c r="B463" s="66">
        <v>-3.8971783975386902</v>
      </c>
      <c r="C463" s="66">
        <v>4.6712522604932998</v>
      </c>
      <c r="D463" s="67">
        <v>5.7009477640309498</v>
      </c>
      <c r="E463" s="67">
        <v>16.394108377011499</v>
      </c>
      <c r="F463" s="67">
        <v>-12.787611496218901</v>
      </c>
      <c r="G463" s="67">
        <v>-3.6121095229078901</v>
      </c>
    </row>
    <row r="464" spans="1:7" x14ac:dyDescent="0.35">
      <c r="A464" s="65">
        <v>462</v>
      </c>
      <c r="B464" s="66">
        <v>-3.9156198394351902</v>
      </c>
      <c r="C464" s="66">
        <v>-8.4628435953913304</v>
      </c>
      <c r="D464" s="67">
        <v>7.1653595695758696</v>
      </c>
      <c r="E464" s="67">
        <v>-5.8471719146595698</v>
      </c>
      <c r="F464" s="67">
        <v>-18.613005193187899</v>
      </c>
      <c r="G464" s="67">
        <v>0.37067425838368101</v>
      </c>
    </row>
    <row r="465" spans="1:7" x14ac:dyDescent="0.35">
      <c r="A465" s="65">
        <v>463</v>
      </c>
      <c r="B465" s="66">
        <v>8.4356388751918102E-3</v>
      </c>
      <c r="C465" s="66">
        <v>1.5664691262780299</v>
      </c>
      <c r="D465" s="67">
        <v>7.6997070259095501</v>
      </c>
      <c r="E465" s="67">
        <v>-18.506318789073099</v>
      </c>
      <c r="F465" s="67">
        <v>1.03504090078294</v>
      </c>
      <c r="G465" s="67">
        <v>5.7416230487714301</v>
      </c>
    </row>
    <row r="466" spans="1:7" x14ac:dyDescent="0.35">
      <c r="A466" s="65">
        <v>464</v>
      </c>
      <c r="B466" s="66">
        <v>8.0761715695908691</v>
      </c>
      <c r="C466" s="66">
        <v>4.3377796732768399</v>
      </c>
      <c r="D466" s="67">
        <v>1.6548798951380901</v>
      </c>
      <c r="E466" s="67">
        <v>-5.2503455504919803</v>
      </c>
      <c r="F466" s="67">
        <v>-2.92567638492058</v>
      </c>
      <c r="G466" s="67">
        <v>7.7338905280043804</v>
      </c>
    </row>
    <row r="467" spans="1:7" x14ac:dyDescent="0.35">
      <c r="A467" s="65">
        <v>465</v>
      </c>
      <c r="B467" s="66">
        <v>-3.7539061616850899</v>
      </c>
      <c r="C467" s="66">
        <v>0.64181038624838804</v>
      </c>
      <c r="D467" s="67">
        <v>11.9802051702522</v>
      </c>
      <c r="E467" s="67">
        <v>4.2461259618834397</v>
      </c>
      <c r="F467" s="67">
        <v>-3.4348562211442299</v>
      </c>
      <c r="G467" s="67">
        <v>-4.66112535621152E-2</v>
      </c>
    </row>
    <row r="468" spans="1:7" x14ac:dyDescent="0.35">
      <c r="A468" s="65">
        <v>466</v>
      </c>
      <c r="B468" s="66">
        <v>-7.9391314475530299</v>
      </c>
      <c r="C468" s="66">
        <v>-10.939742731344399</v>
      </c>
      <c r="D468" s="67">
        <v>2.27525587712773</v>
      </c>
      <c r="E468" s="67">
        <v>-5.9084198603016302</v>
      </c>
      <c r="F468" s="67">
        <v>5.7922130547157202</v>
      </c>
      <c r="G468" s="67">
        <v>10.944844394185701</v>
      </c>
    </row>
    <row r="469" spans="1:7" x14ac:dyDescent="0.35">
      <c r="A469" s="65">
        <v>467</v>
      </c>
      <c r="B469" s="66">
        <v>-1.6587609434303101</v>
      </c>
      <c r="C469" s="66">
        <v>2.9240650631948601</v>
      </c>
      <c r="D469" s="67">
        <v>6.2425097809957002</v>
      </c>
      <c r="E469" s="67">
        <v>-1.9800737197590901</v>
      </c>
      <c r="F469" s="67">
        <v>-8.1880735876848991</v>
      </c>
      <c r="G469" s="67">
        <v>7.8881647746560697</v>
      </c>
    </row>
    <row r="470" spans="1:7" x14ac:dyDescent="0.35">
      <c r="A470" s="65">
        <v>468</v>
      </c>
      <c r="B470" s="66">
        <v>0.37219741611018398</v>
      </c>
      <c r="C470" s="66">
        <v>9.0236870569905303</v>
      </c>
      <c r="D470" s="67">
        <v>0.32748641215221402</v>
      </c>
      <c r="E470" s="67">
        <v>11.9627444533711</v>
      </c>
      <c r="F470" s="67">
        <v>-9.9644553013055592</v>
      </c>
      <c r="G470" s="67">
        <v>1.2630554758707599</v>
      </c>
    </row>
    <row r="471" spans="1:7" x14ac:dyDescent="0.35">
      <c r="A471" s="65">
        <v>469</v>
      </c>
      <c r="B471" s="66">
        <v>-6.1386086907008401</v>
      </c>
      <c r="C471" s="66">
        <v>-0.57067150387607501</v>
      </c>
      <c r="D471" s="67">
        <v>18.567115213201902</v>
      </c>
      <c r="E471" s="67">
        <v>-19.847415530139099</v>
      </c>
      <c r="F471" s="67">
        <v>-1.1646874267523499</v>
      </c>
      <c r="G471" s="67">
        <v>2.8599731416471998</v>
      </c>
    </row>
    <row r="472" spans="1:7" x14ac:dyDescent="0.35">
      <c r="A472" s="65">
        <v>470</v>
      </c>
      <c r="B472" s="66">
        <v>3.69215927748726</v>
      </c>
      <c r="C472" s="66">
        <v>9.8029250621137898</v>
      </c>
      <c r="D472" s="67">
        <v>4.84513318349586</v>
      </c>
      <c r="E472" s="67">
        <v>-2.0230381471318699</v>
      </c>
      <c r="F472" s="67">
        <v>7.0906065790270896</v>
      </c>
      <c r="G472" s="67">
        <v>-5.1479472438982103</v>
      </c>
    </row>
    <row r="473" spans="1:7" x14ac:dyDescent="0.35">
      <c r="A473" s="65">
        <v>471</v>
      </c>
      <c r="B473" s="66">
        <v>0.306417214947454</v>
      </c>
      <c r="C473" s="66">
        <v>7.5551749003494804</v>
      </c>
      <c r="D473" s="67">
        <v>0.81870491304834803</v>
      </c>
      <c r="E473" s="67">
        <v>9.6431306952899405</v>
      </c>
      <c r="F473" s="67">
        <v>5.2344950519526297</v>
      </c>
      <c r="G473" s="67">
        <v>5.5224053729662002</v>
      </c>
    </row>
    <row r="474" spans="1:7" x14ac:dyDescent="0.35">
      <c r="A474" s="65">
        <v>472</v>
      </c>
      <c r="B474" s="66">
        <v>3.5134836200440498</v>
      </c>
      <c r="C474" s="66">
        <v>4.8776426360410197</v>
      </c>
      <c r="D474" s="67">
        <v>2.23461085439956</v>
      </c>
      <c r="E474" s="67">
        <v>9.5560755244291897</v>
      </c>
      <c r="F474" s="67">
        <v>0.69050221563465997</v>
      </c>
      <c r="G474" s="67">
        <v>2.6209679916993802</v>
      </c>
    </row>
    <row r="475" spans="1:7" x14ac:dyDescent="0.35">
      <c r="A475" s="65">
        <v>473</v>
      </c>
      <c r="B475" s="66">
        <v>8.9724946418113696</v>
      </c>
      <c r="C475" s="66">
        <v>-6.8179642723267602</v>
      </c>
      <c r="D475" s="67">
        <v>0.891115803892643</v>
      </c>
      <c r="E475" s="67">
        <v>-14.2539322123879</v>
      </c>
      <c r="F475" s="67">
        <v>-3.59461375126808</v>
      </c>
      <c r="G475" s="67">
        <v>-1.4306640594411399</v>
      </c>
    </row>
    <row r="476" spans="1:7" x14ac:dyDescent="0.35">
      <c r="A476" s="65">
        <v>474</v>
      </c>
      <c r="B476" s="66">
        <v>-3.5317460776732998</v>
      </c>
      <c r="C476" s="66">
        <v>-6.6535112939868002</v>
      </c>
      <c r="D476" s="67">
        <v>1.75287947606438</v>
      </c>
      <c r="E476" s="67">
        <v>10.967912169109599</v>
      </c>
      <c r="F476" s="67">
        <v>-10.56046261511</v>
      </c>
      <c r="G476" s="67">
        <v>-8.6215364137805093</v>
      </c>
    </row>
    <row r="477" spans="1:7" x14ac:dyDescent="0.35">
      <c r="A477" s="65">
        <v>475</v>
      </c>
      <c r="B477" s="66">
        <v>-2.8826515379653102</v>
      </c>
      <c r="C477" s="66">
        <v>3.4456465851139599</v>
      </c>
      <c r="D477" s="67">
        <v>0.79625785204643096</v>
      </c>
      <c r="E477" s="67">
        <v>5.0369816386058002</v>
      </c>
      <c r="F477" s="67">
        <v>0.46969019559130598</v>
      </c>
      <c r="G477" s="67">
        <v>4.6048582944733196</v>
      </c>
    </row>
    <row r="478" spans="1:7" x14ac:dyDescent="0.35">
      <c r="A478" s="65">
        <v>476</v>
      </c>
      <c r="B478" s="66">
        <v>13.2672894412168</v>
      </c>
      <c r="C478" s="66">
        <v>-5.7106877967189096</v>
      </c>
      <c r="D478" s="67">
        <v>1.8187942577748999</v>
      </c>
      <c r="E478" s="67">
        <v>-17.9622837530227</v>
      </c>
      <c r="F478" s="67">
        <v>-3.4454882802253901</v>
      </c>
      <c r="G478" s="67">
        <v>4.1363506757617596</v>
      </c>
    </row>
    <row r="479" spans="1:7" x14ac:dyDescent="0.35">
      <c r="A479" s="65">
        <v>477</v>
      </c>
      <c r="B479" s="66">
        <v>5.2666115463166596</v>
      </c>
      <c r="C479" s="66">
        <v>2.04957055178971</v>
      </c>
      <c r="D479" s="67">
        <v>4.7202421456929597</v>
      </c>
      <c r="E479" s="67">
        <v>6.9995212531477096</v>
      </c>
      <c r="F479" s="67">
        <v>16.237984710496701</v>
      </c>
      <c r="G479" s="67">
        <v>-3.7921473658568101</v>
      </c>
    </row>
    <row r="480" spans="1:7" x14ac:dyDescent="0.35">
      <c r="A480" s="65">
        <v>478</v>
      </c>
      <c r="B480" s="66">
        <v>-7.7573088045479102</v>
      </c>
      <c r="C480" s="66">
        <v>-4.1744836644554804</v>
      </c>
      <c r="D480" s="67">
        <v>1.45877497693803</v>
      </c>
      <c r="E480" s="67">
        <v>9.4722510291780395</v>
      </c>
      <c r="F480" s="67">
        <v>-10.990810673350399</v>
      </c>
      <c r="G480" s="67">
        <v>-5.9264907490676002</v>
      </c>
    </row>
    <row r="481" spans="1:7" x14ac:dyDescent="0.35">
      <c r="A481" s="65">
        <v>479</v>
      </c>
      <c r="B481" s="66">
        <v>7.7829020813643002</v>
      </c>
      <c r="C481" s="66">
        <v>2.0906583315310199</v>
      </c>
      <c r="D481" s="67">
        <v>4.4962335722754299</v>
      </c>
      <c r="E481" s="67">
        <v>12.793525236769201</v>
      </c>
      <c r="F481" s="67">
        <v>1.5572934898559201</v>
      </c>
      <c r="G481" s="67">
        <v>5.4866887878713797</v>
      </c>
    </row>
    <row r="482" spans="1:7" x14ac:dyDescent="0.35">
      <c r="A482" s="65">
        <v>480</v>
      </c>
      <c r="B482" s="66">
        <v>-8.0755221570918607</v>
      </c>
      <c r="C482" s="66">
        <v>1.25910681648344</v>
      </c>
      <c r="D482" s="67">
        <v>12.730342975978999</v>
      </c>
      <c r="E482" s="67">
        <v>7.6880285056217001</v>
      </c>
      <c r="F482" s="67">
        <v>1.5647535637458201</v>
      </c>
      <c r="G482" s="67">
        <v>-4.3590417014778398</v>
      </c>
    </row>
    <row r="483" spans="1:7" x14ac:dyDescent="0.35">
      <c r="A483" s="65">
        <v>481</v>
      </c>
      <c r="B483" s="66">
        <v>-17.344661115636999</v>
      </c>
      <c r="C483" s="66">
        <v>-0.57839881550515404</v>
      </c>
      <c r="D483" s="67">
        <v>0.756466587258532</v>
      </c>
      <c r="E483" s="67">
        <v>-0.53442717529260797</v>
      </c>
      <c r="F483" s="67">
        <v>-14.6413501295568</v>
      </c>
      <c r="G483" s="67">
        <v>2.4277225568370402</v>
      </c>
    </row>
    <row r="484" spans="1:7" x14ac:dyDescent="0.35">
      <c r="A484" s="65">
        <v>482</v>
      </c>
      <c r="B484" s="66">
        <v>-5.9978294902210303</v>
      </c>
      <c r="C484" s="66">
        <v>3.8860636610015402</v>
      </c>
      <c r="D484" s="67">
        <v>1.30376711070935</v>
      </c>
      <c r="E484" s="67">
        <v>-10.593557797912</v>
      </c>
      <c r="F484" s="67">
        <v>-9.9133596146117604</v>
      </c>
      <c r="G484" s="67">
        <v>-3.44729144749035</v>
      </c>
    </row>
    <row r="485" spans="1:7" x14ac:dyDescent="0.35">
      <c r="A485" s="65">
        <v>483</v>
      </c>
      <c r="B485" s="66">
        <v>4.98486877967418</v>
      </c>
      <c r="C485" s="66">
        <v>-9.1568134352569395</v>
      </c>
      <c r="D485" s="67">
        <v>1.0904744865259299</v>
      </c>
      <c r="E485" s="67">
        <v>6.7254766919340803</v>
      </c>
      <c r="F485" s="67">
        <v>1.8384773041073901</v>
      </c>
      <c r="G485" s="67">
        <v>-5.2788756525854499</v>
      </c>
    </row>
    <row r="486" spans="1:7" x14ac:dyDescent="0.35">
      <c r="A486" s="65">
        <v>484</v>
      </c>
      <c r="B486" s="66">
        <v>-13.3783325875781</v>
      </c>
      <c r="C486" s="66">
        <v>2.4690333309803401</v>
      </c>
      <c r="D486" s="67">
        <v>9.9393428146786302</v>
      </c>
      <c r="E486" s="67">
        <v>-3.2628095969584501</v>
      </c>
      <c r="F486" s="67">
        <v>-4.73821145460048E-2</v>
      </c>
      <c r="G486" s="67">
        <v>12.4416766254622</v>
      </c>
    </row>
    <row r="487" spans="1:7" x14ac:dyDescent="0.35">
      <c r="A487" s="65">
        <v>485</v>
      </c>
      <c r="B487" s="66">
        <v>-5.47816868016423</v>
      </c>
      <c r="C487" s="66">
        <v>2.0276699263362898</v>
      </c>
      <c r="D487" s="67">
        <v>0.27619170007636101</v>
      </c>
      <c r="E487" s="67">
        <v>-14.9102228728912</v>
      </c>
      <c r="F487" s="67">
        <v>0.55265775923031002</v>
      </c>
      <c r="G487" s="67">
        <v>6.28352576572847</v>
      </c>
    </row>
    <row r="488" spans="1:7" x14ac:dyDescent="0.35">
      <c r="A488" s="65">
        <v>486</v>
      </c>
      <c r="B488" s="66">
        <v>0.36101862223695802</v>
      </c>
      <c r="C488" s="66">
        <v>-7.6197554306779303</v>
      </c>
      <c r="D488" s="67">
        <v>2.8324889377292002</v>
      </c>
      <c r="E488" s="67">
        <v>-8.0985766999373094</v>
      </c>
      <c r="F488" s="67">
        <v>-8.8289434545734693</v>
      </c>
      <c r="G488" s="67">
        <v>4.3420174047706599</v>
      </c>
    </row>
    <row r="489" spans="1:7" x14ac:dyDescent="0.35">
      <c r="A489" s="65">
        <v>487</v>
      </c>
      <c r="B489" s="66">
        <v>-5.1193000203835304</v>
      </c>
      <c r="C489" s="66">
        <v>-4.5031833739220604</v>
      </c>
      <c r="D489" s="67">
        <v>1.3090534424903399</v>
      </c>
      <c r="E489" s="67">
        <v>-13.107835608421899</v>
      </c>
      <c r="F489" s="67">
        <v>-1.3586814587690199</v>
      </c>
      <c r="G489" s="67">
        <v>-5.7918284344277096</v>
      </c>
    </row>
    <row r="490" spans="1:7" x14ac:dyDescent="0.35">
      <c r="A490" s="65">
        <v>488</v>
      </c>
      <c r="B490" s="66">
        <v>3.8322729975639001</v>
      </c>
      <c r="C490" s="66">
        <v>-10.4681706264155</v>
      </c>
      <c r="D490" s="67">
        <v>0.59684307320513896</v>
      </c>
      <c r="E490" s="67">
        <v>13.7277348004337</v>
      </c>
      <c r="F490" s="67">
        <v>1.61333284760083</v>
      </c>
      <c r="G490" s="67">
        <v>5.3253325595399499</v>
      </c>
    </row>
    <row r="491" spans="1:7" x14ac:dyDescent="0.35">
      <c r="A491" s="65">
        <v>489</v>
      </c>
      <c r="B491" s="66">
        <v>30.578486917197601</v>
      </c>
      <c r="C491" s="66">
        <v>-4.1595971463188599</v>
      </c>
      <c r="D491" s="67">
        <v>5.15589707772076</v>
      </c>
      <c r="E491" s="67">
        <v>1.4677813793671</v>
      </c>
      <c r="F491" s="67">
        <v>-4.5703125931048403</v>
      </c>
      <c r="G491" s="67">
        <v>7.3928987121255298</v>
      </c>
    </row>
    <row r="492" spans="1:7" x14ac:dyDescent="0.35">
      <c r="A492" s="65">
        <v>490</v>
      </c>
      <c r="B492" s="66">
        <v>12.266675035157199</v>
      </c>
      <c r="C492" s="66">
        <v>-7.5879947484026999</v>
      </c>
      <c r="D492" s="67">
        <v>1.4539253042287901</v>
      </c>
      <c r="E492" s="67">
        <v>-7.2854971502798698</v>
      </c>
      <c r="F492" s="67">
        <v>13.910829730967</v>
      </c>
      <c r="G492" s="67">
        <v>-2.1968661350316401E-2</v>
      </c>
    </row>
    <row r="493" spans="1:7" x14ac:dyDescent="0.35">
      <c r="A493" s="65">
        <v>491</v>
      </c>
      <c r="B493" s="66">
        <v>-25.124568839047001</v>
      </c>
      <c r="C493" s="66">
        <v>-4.8312120388404196</v>
      </c>
      <c r="D493" s="67">
        <v>2.88522753738944</v>
      </c>
      <c r="E493" s="67">
        <v>16.590155580075098</v>
      </c>
      <c r="F493" s="67">
        <v>1.5637688800909599</v>
      </c>
      <c r="G493" s="67">
        <v>-8.5067476858763005</v>
      </c>
    </row>
    <row r="494" spans="1:7" x14ac:dyDescent="0.35">
      <c r="A494" s="65">
        <v>492</v>
      </c>
      <c r="B494" s="66">
        <v>-12.1609091371412</v>
      </c>
      <c r="C494" s="66">
        <v>3.62934571682981</v>
      </c>
      <c r="D494" s="67">
        <v>4.5136002368160604</v>
      </c>
      <c r="E494" s="67">
        <v>-19.4839211855885</v>
      </c>
      <c r="F494" s="67">
        <v>-1.2126567597395199</v>
      </c>
      <c r="G494" s="67">
        <v>8.2737699547239707</v>
      </c>
    </row>
    <row r="495" spans="1:7" x14ac:dyDescent="0.35">
      <c r="A495" s="65">
        <v>493</v>
      </c>
      <c r="B495" s="66">
        <v>-10.7417532689353</v>
      </c>
      <c r="C495" s="66">
        <v>-8.5998048404439302</v>
      </c>
      <c r="D495" s="67">
        <v>8.6604970238307004</v>
      </c>
      <c r="E495" s="67">
        <v>-1.1840487315155701</v>
      </c>
      <c r="F495" s="67">
        <v>0.94242968669688199</v>
      </c>
      <c r="G495" s="67">
        <v>4.10542029018682</v>
      </c>
    </row>
    <row r="496" spans="1:7" x14ac:dyDescent="0.35">
      <c r="A496" s="65">
        <v>494</v>
      </c>
      <c r="B496" s="66">
        <v>20.285055707143201</v>
      </c>
      <c r="C496" s="66">
        <v>0.66029946022170805</v>
      </c>
      <c r="D496" s="67">
        <v>3.4027532140104402</v>
      </c>
      <c r="E496" s="67">
        <v>7.3942710001954</v>
      </c>
      <c r="F496" s="67">
        <v>-20.806591815844399</v>
      </c>
      <c r="G496" s="67">
        <v>2.9014959743267301</v>
      </c>
    </row>
    <row r="497" spans="1:7" x14ac:dyDescent="0.35">
      <c r="A497" s="65">
        <v>495</v>
      </c>
      <c r="B497" s="66">
        <v>-6.14731212615707</v>
      </c>
      <c r="C497" s="66">
        <v>2.5499821856123401</v>
      </c>
      <c r="D497" s="67">
        <v>15.9497425923982</v>
      </c>
      <c r="E497" s="67">
        <v>8.1989847112343792</v>
      </c>
      <c r="F497" s="67">
        <v>12.6478468710591</v>
      </c>
      <c r="G497" s="67">
        <v>8.2778809488861995</v>
      </c>
    </row>
    <row r="498" spans="1:7" x14ac:dyDescent="0.35">
      <c r="A498" s="65">
        <v>496</v>
      </c>
      <c r="B498" s="66">
        <v>6.5071895892669103</v>
      </c>
      <c r="C498" s="66">
        <v>3.7407604667819299</v>
      </c>
      <c r="D498" s="67">
        <v>1.3436618838518399</v>
      </c>
      <c r="E498" s="67">
        <v>-10.918033355615901</v>
      </c>
      <c r="F498" s="67">
        <v>4.3385039616467802</v>
      </c>
      <c r="G498" s="67">
        <v>-1.56701014030849</v>
      </c>
    </row>
    <row r="499" spans="1:7" x14ac:dyDescent="0.35">
      <c r="A499" s="65">
        <v>497</v>
      </c>
      <c r="B499" s="66">
        <v>8.0640741078714093</v>
      </c>
      <c r="C499" s="66">
        <v>-6.8281909554776803</v>
      </c>
      <c r="D499" s="67">
        <v>1.3711548998551</v>
      </c>
      <c r="E499" s="67">
        <v>17.2625731925312</v>
      </c>
      <c r="F499" s="67">
        <v>-0.20726861529055701</v>
      </c>
      <c r="G499" s="67">
        <v>-3.7058261336097802</v>
      </c>
    </row>
    <row r="500" spans="1:7" x14ac:dyDescent="0.35">
      <c r="A500" s="65">
        <v>498</v>
      </c>
      <c r="B500" s="66">
        <v>3.6410057029946099</v>
      </c>
      <c r="C500" s="66">
        <v>-0.17310319494030699</v>
      </c>
      <c r="D500" s="67">
        <v>2.95255775453127</v>
      </c>
      <c r="E500" s="67">
        <v>6.0016796424534098</v>
      </c>
      <c r="F500" s="67">
        <v>-4.0419868819955198</v>
      </c>
      <c r="G500" s="67">
        <v>9.3247471990209707</v>
      </c>
    </row>
    <row r="501" spans="1:7" x14ac:dyDescent="0.35">
      <c r="A501" s="65">
        <v>499</v>
      </c>
      <c r="B501" s="66">
        <v>-9.7826840805058204</v>
      </c>
      <c r="C501" s="66">
        <v>-6.8282258331038301</v>
      </c>
      <c r="D501" s="67">
        <v>1.1948755205680299</v>
      </c>
      <c r="E501" s="67">
        <v>-4.3151443230412099</v>
      </c>
      <c r="F501" s="67">
        <v>18.134726900572002</v>
      </c>
      <c r="G501" s="67">
        <v>6.7891399099002001</v>
      </c>
    </row>
    <row r="502" spans="1:7" x14ac:dyDescent="0.35">
      <c r="A502" s="65">
        <v>500</v>
      </c>
      <c r="B502" s="66">
        <v>-5.3525683785970601</v>
      </c>
      <c r="C502" s="66">
        <v>-6.5851674130673503</v>
      </c>
      <c r="D502" s="67">
        <v>8.1775046978303596</v>
      </c>
      <c r="E502" s="67">
        <v>32.103077422792403</v>
      </c>
      <c r="F502" s="67">
        <v>4.6301208443820698</v>
      </c>
      <c r="G502" s="67">
        <v>13.1504423301449</v>
      </c>
    </row>
    <row r="503" spans="1:7" x14ac:dyDescent="0.35">
      <c r="A503" s="65">
        <v>501</v>
      </c>
      <c r="B503" s="66">
        <v>-9.5745235892881997</v>
      </c>
      <c r="C503" s="66">
        <v>6.0208896974866699E-2</v>
      </c>
      <c r="D503" s="67">
        <v>1.6288276954309899</v>
      </c>
      <c r="E503" s="67">
        <v>6.4098114230703596</v>
      </c>
      <c r="F503" s="67">
        <v>8.7050886800519507</v>
      </c>
      <c r="G503" s="67">
        <v>10.817925849347899</v>
      </c>
    </row>
    <row r="504" spans="1:7" x14ac:dyDescent="0.35">
      <c r="A504" s="65">
        <v>502</v>
      </c>
      <c r="B504" s="66">
        <v>9.6333778040196307</v>
      </c>
      <c r="C504" s="66">
        <v>3.8363853655321201</v>
      </c>
      <c r="D504" s="67">
        <v>5.1825118504490399</v>
      </c>
      <c r="E504" s="67">
        <v>-15.804235581993501</v>
      </c>
      <c r="F504" s="67">
        <v>-6.7076677316638103</v>
      </c>
      <c r="G504" s="67">
        <v>1.7069224977686099</v>
      </c>
    </row>
    <row r="505" spans="1:7" x14ac:dyDescent="0.35">
      <c r="A505" s="65">
        <v>503</v>
      </c>
      <c r="B505" s="66">
        <v>-6.1468388972087302</v>
      </c>
      <c r="C505" s="66">
        <v>5.8404219055461803</v>
      </c>
      <c r="D505" s="67">
        <v>4.9893872631205696</v>
      </c>
      <c r="E505" s="67">
        <v>0.481873685563106</v>
      </c>
      <c r="F505" s="67">
        <v>-0.14538404442215599</v>
      </c>
      <c r="G505" s="67">
        <v>0.86573430972350796</v>
      </c>
    </row>
    <row r="506" spans="1:7" x14ac:dyDescent="0.35">
      <c r="A506" s="65">
        <v>504</v>
      </c>
      <c r="B506" s="66">
        <v>-12.4456617380766</v>
      </c>
      <c r="C506" s="66">
        <v>-3.43058540968818</v>
      </c>
      <c r="D506" s="67">
        <v>5.7555247404802703</v>
      </c>
      <c r="E506" s="67">
        <v>-5.0177041426100999</v>
      </c>
      <c r="F506" s="67">
        <v>-4.0068711447005798</v>
      </c>
      <c r="G506" s="67">
        <v>7.24032265141126</v>
      </c>
    </row>
    <row r="507" spans="1:7" x14ac:dyDescent="0.35">
      <c r="A507" s="65">
        <v>505</v>
      </c>
      <c r="B507" s="66">
        <v>0.60620160929650302</v>
      </c>
      <c r="C507" s="66">
        <v>0.27627296306862698</v>
      </c>
      <c r="D507" s="67">
        <v>0.36869332639855001</v>
      </c>
      <c r="E507" s="67">
        <v>-1.1363900257433199</v>
      </c>
      <c r="F507" s="67">
        <v>18.833156348587298</v>
      </c>
      <c r="G507" s="67">
        <v>-5.11754483953455</v>
      </c>
    </row>
    <row r="508" spans="1:7" x14ac:dyDescent="0.35">
      <c r="A508" s="65">
        <v>506</v>
      </c>
      <c r="B508" s="66">
        <v>-7.1115783490851001</v>
      </c>
      <c r="C508" s="66">
        <v>10.447827346232399</v>
      </c>
      <c r="D508" s="67">
        <v>0.15092937695898601</v>
      </c>
      <c r="E508" s="67">
        <v>8.5680587470716407</v>
      </c>
      <c r="F508" s="67">
        <v>-7.9840995369196097</v>
      </c>
      <c r="G508" s="67">
        <v>3.5587417259482801</v>
      </c>
    </row>
    <row r="509" spans="1:7" x14ac:dyDescent="0.35">
      <c r="A509" s="65">
        <v>507</v>
      </c>
      <c r="B509" s="66">
        <v>8.9672230352672404</v>
      </c>
      <c r="C509" s="66">
        <v>-0.970425541257533</v>
      </c>
      <c r="D509" s="67">
        <v>7.8666728489463402</v>
      </c>
      <c r="E509" s="67">
        <v>-13.393291092087299</v>
      </c>
      <c r="F509" s="67">
        <v>-9.4968639527944205</v>
      </c>
      <c r="G509" s="67">
        <v>0.16041181843414601</v>
      </c>
    </row>
    <row r="510" spans="1:7" x14ac:dyDescent="0.35">
      <c r="A510" s="65">
        <v>508</v>
      </c>
      <c r="B510" s="66">
        <v>-6.0315356736853101</v>
      </c>
      <c r="C510" s="66">
        <v>4.3213956897653896</v>
      </c>
      <c r="D510" s="67">
        <v>1.27737723336886</v>
      </c>
      <c r="E510" s="67">
        <v>24.034353956002501</v>
      </c>
      <c r="F510" s="67">
        <v>12.131754789519899</v>
      </c>
      <c r="G510" s="67">
        <v>1.1098033286448701</v>
      </c>
    </row>
    <row r="511" spans="1:7" x14ac:dyDescent="0.35">
      <c r="A511" s="65">
        <v>509</v>
      </c>
      <c r="B511" s="66">
        <v>2.9071739898921698</v>
      </c>
      <c r="C511" s="66">
        <v>1.5931327967434701</v>
      </c>
      <c r="D511" s="67">
        <v>1.0190837646326201</v>
      </c>
      <c r="E511" s="67">
        <v>4.3952982904990003</v>
      </c>
      <c r="F511" s="67">
        <v>1.3605026029116301</v>
      </c>
      <c r="G511" s="67">
        <v>1.5204736206157701</v>
      </c>
    </row>
    <row r="512" spans="1:7" x14ac:dyDescent="0.35">
      <c r="A512" s="65">
        <v>510</v>
      </c>
      <c r="B512" s="66">
        <v>-0.22699339855744999</v>
      </c>
      <c r="C512" s="66">
        <v>-2.9169415130596898</v>
      </c>
      <c r="D512" s="67">
        <v>18.5919043908665</v>
      </c>
      <c r="E512" s="67">
        <v>12.3795864678087</v>
      </c>
      <c r="F512" s="67">
        <v>0.23143536231645701</v>
      </c>
      <c r="G512" s="67">
        <v>11.695093494730299</v>
      </c>
    </row>
    <row r="513" spans="1:7" x14ac:dyDescent="0.35">
      <c r="A513" s="65">
        <v>511</v>
      </c>
      <c r="B513" s="66">
        <v>11.7006810462885</v>
      </c>
      <c r="C513" s="66">
        <v>3.5950571482722702</v>
      </c>
      <c r="D513" s="67">
        <v>4.4812161187763797</v>
      </c>
      <c r="E513" s="67">
        <v>-12.887246360832201</v>
      </c>
      <c r="F513" s="67">
        <v>6.0956065157484103</v>
      </c>
      <c r="G513" s="67">
        <v>-2.4588514976972502</v>
      </c>
    </row>
    <row r="514" spans="1:7" x14ac:dyDescent="0.35">
      <c r="A514" s="65">
        <v>512</v>
      </c>
      <c r="B514" s="66">
        <v>0.922752417730762</v>
      </c>
      <c r="C514" s="66">
        <v>8.2761025550657408</v>
      </c>
      <c r="D514" s="67">
        <v>2.33207717376931</v>
      </c>
      <c r="E514" s="67">
        <v>-7.5719442729781203</v>
      </c>
      <c r="F514" s="67">
        <v>7.5331961146347401</v>
      </c>
      <c r="G514" s="67">
        <v>-8.8834162138028798</v>
      </c>
    </row>
    <row r="515" spans="1:7" x14ac:dyDescent="0.35">
      <c r="A515" s="65">
        <v>513</v>
      </c>
      <c r="B515" s="66">
        <v>-6.3556585173369697</v>
      </c>
      <c r="C515" s="66">
        <v>-2.6230193334063898</v>
      </c>
      <c r="D515" s="67">
        <v>1.77683899676639</v>
      </c>
      <c r="E515" s="67">
        <v>9.5934306396398608</v>
      </c>
      <c r="F515" s="67">
        <v>10.773409691478401</v>
      </c>
      <c r="G515" s="67">
        <v>1.39741817365355</v>
      </c>
    </row>
    <row r="516" spans="1:7" x14ac:dyDescent="0.35">
      <c r="A516" s="65">
        <v>514</v>
      </c>
      <c r="B516" s="66">
        <v>-8.0407043043597195</v>
      </c>
      <c r="C516" s="66">
        <v>2.7796992838854</v>
      </c>
      <c r="D516" s="67">
        <v>5.3401741767534698</v>
      </c>
      <c r="E516" s="67">
        <v>-13.7192124461764</v>
      </c>
      <c r="F516" s="67">
        <v>-4.4402114016907603</v>
      </c>
      <c r="G516" s="67">
        <v>-2.9521391590063</v>
      </c>
    </row>
    <row r="517" spans="1:7" x14ac:dyDescent="0.35">
      <c r="A517" s="65">
        <v>515</v>
      </c>
      <c r="B517" s="66">
        <v>7.9918270937704401</v>
      </c>
      <c r="C517" s="66">
        <v>2.5210167692666601</v>
      </c>
      <c r="D517" s="67">
        <v>5.2262906499303803</v>
      </c>
      <c r="E517" s="67">
        <v>-10.307297702537401</v>
      </c>
      <c r="F517" s="67">
        <v>9.9281853734208294</v>
      </c>
      <c r="G517" s="67">
        <v>-3.9159857430254301</v>
      </c>
    </row>
    <row r="518" spans="1:7" x14ac:dyDescent="0.35">
      <c r="A518" s="65">
        <v>516</v>
      </c>
      <c r="B518" s="66">
        <v>-8.9976003384019805</v>
      </c>
      <c r="C518" s="66">
        <v>-7.65747781056346</v>
      </c>
      <c r="D518" s="67">
        <v>4.8675023038585099</v>
      </c>
      <c r="E518" s="67">
        <v>12.373132887269</v>
      </c>
      <c r="F518" s="67">
        <v>8.1743028731443506</v>
      </c>
      <c r="G518" s="67">
        <v>5.7539314326608899</v>
      </c>
    </row>
    <row r="519" spans="1:7" x14ac:dyDescent="0.35">
      <c r="A519" s="65">
        <v>517</v>
      </c>
      <c r="B519" s="66">
        <v>-4.4114810789271299</v>
      </c>
      <c r="C519" s="66">
        <v>1.0942348191305999</v>
      </c>
      <c r="D519" s="67">
        <v>0.69797261672653998</v>
      </c>
      <c r="E519" s="67">
        <v>-9.0880946605640798</v>
      </c>
      <c r="F519" s="67">
        <v>3.6441635257967699</v>
      </c>
      <c r="G519" s="67">
        <v>2.23917621111221</v>
      </c>
    </row>
    <row r="520" spans="1:7" x14ac:dyDescent="0.35">
      <c r="A520" s="65">
        <v>518</v>
      </c>
      <c r="B520" s="66">
        <v>15.5604135256623</v>
      </c>
      <c r="C520" s="66">
        <v>-4.72997277817141</v>
      </c>
      <c r="D520" s="67">
        <v>1.20702569586173</v>
      </c>
      <c r="E520" s="67">
        <v>7.0246622394095199</v>
      </c>
      <c r="F520" s="67">
        <v>-0.40933981572929701</v>
      </c>
      <c r="G520" s="67">
        <v>-6.2312419466040296</v>
      </c>
    </row>
    <row r="521" spans="1:7" x14ac:dyDescent="0.35">
      <c r="A521" s="65">
        <v>519</v>
      </c>
      <c r="B521" s="66">
        <v>2.9120339455618698</v>
      </c>
      <c r="C521" s="66">
        <v>-10.7443563152608</v>
      </c>
      <c r="D521" s="67">
        <v>16.804929075510401</v>
      </c>
      <c r="E521" s="67">
        <v>15.742885765629399</v>
      </c>
      <c r="F521" s="67">
        <v>-23.393024589477999</v>
      </c>
      <c r="G521" s="67">
        <v>14.190262463958399</v>
      </c>
    </row>
    <row r="522" spans="1:7" x14ac:dyDescent="0.35">
      <c r="A522" s="65">
        <v>520</v>
      </c>
      <c r="B522" s="66">
        <v>3.0796305947120901</v>
      </c>
      <c r="C522" s="66">
        <v>-3.6545899379619602</v>
      </c>
      <c r="D522" s="67">
        <v>0.57885879316697797</v>
      </c>
      <c r="E522" s="67">
        <v>19.220966846929699</v>
      </c>
      <c r="F522" s="67">
        <v>1.1487076258181399</v>
      </c>
      <c r="G522" s="67">
        <v>-2.1273797652611499</v>
      </c>
    </row>
    <row r="523" spans="1:7" x14ac:dyDescent="0.35">
      <c r="A523" s="65">
        <v>521</v>
      </c>
      <c r="B523" s="66">
        <v>-5.6872378095908704</v>
      </c>
      <c r="C523" s="66">
        <v>-5.7421175671403599</v>
      </c>
      <c r="D523" s="67">
        <v>2.8537486257151401</v>
      </c>
      <c r="E523" s="67">
        <v>10.326100699782399</v>
      </c>
      <c r="F523" s="67">
        <v>5.4262675762834203</v>
      </c>
      <c r="G523" s="67">
        <v>7.02487058322858</v>
      </c>
    </row>
    <row r="524" spans="1:7" x14ac:dyDescent="0.35">
      <c r="A524" s="65">
        <v>522</v>
      </c>
      <c r="B524" s="66">
        <v>5.6112176319543297</v>
      </c>
      <c r="C524" s="66">
        <v>8.3209946024059498</v>
      </c>
      <c r="D524" s="67">
        <v>3.3907599379120898</v>
      </c>
      <c r="E524" s="67">
        <v>-18.689226741600098</v>
      </c>
      <c r="F524" s="67">
        <v>2.94365326438554</v>
      </c>
      <c r="G524" s="67">
        <v>-2.33858440201133</v>
      </c>
    </row>
    <row r="525" spans="1:7" x14ac:dyDescent="0.35">
      <c r="A525" s="65">
        <v>523</v>
      </c>
      <c r="B525" s="66">
        <v>16.8706312917787</v>
      </c>
      <c r="C525" s="66">
        <v>6.5190064598204502</v>
      </c>
      <c r="D525" s="67">
        <v>8.8312348939809304</v>
      </c>
      <c r="E525" s="67">
        <v>-24.772511132178199</v>
      </c>
      <c r="F525" s="67">
        <v>4.2238403259171404</v>
      </c>
      <c r="G525" s="67">
        <v>14.329651432428999</v>
      </c>
    </row>
    <row r="526" spans="1:7" x14ac:dyDescent="0.35">
      <c r="A526" s="65">
        <v>524</v>
      </c>
      <c r="B526" s="66">
        <v>4.0390085959837698</v>
      </c>
      <c r="C526" s="66">
        <v>-5.82197223207507</v>
      </c>
      <c r="D526" s="67">
        <v>1.27842861740352</v>
      </c>
      <c r="E526" s="67">
        <v>46.321785015355999</v>
      </c>
      <c r="F526" s="67">
        <v>-20.1994328241272</v>
      </c>
      <c r="G526" s="67">
        <v>-0.783583027102698</v>
      </c>
    </row>
    <row r="527" spans="1:7" x14ac:dyDescent="0.35">
      <c r="A527" s="65">
        <v>525</v>
      </c>
      <c r="B527" s="66">
        <v>-16.601507446997498</v>
      </c>
      <c r="C527" s="66">
        <v>-4.1895050852338702</v>
      </c>
      <c r="D527" s="67">
        <v>11.761683375427801</v>
      </c>
      <c r="E527" s="67">
        <v>6.1032740466664102</v>
      </c>
      <c r="F527" s="67">
        <v>-1.8958290483143601</v>
      </c>
      <c r="G527" s="67">
        <v>3.5828081090160899</v>
      </c>
    </row>
    <row r="528" spans="1:7" x14ac:dyDescent="0.35">
      <c r="A528" s="65">
        <v>526</v>
      </c>
      <c r="B528" s="66">
        <v>-6.7357710745504198</v>
      </c>
      <c r="C528" s="66">
        <v>2.2273892823543799</v>
      </c>
      <c r="D528" s="67">
        <v>1.54332157716686</v>
      </c>
      <c r="E528" s="67">
        <v>16.5960094063642</v>
      </c>
      <c r="F528" s="67">
        <v>11.8609955848325</v>
      </c>
      <c r="G528" s="67">
        <v>2.4631400708299598</v>
      </c>
    </row>
    <row r="529" spans="1:7" x14ac:dyDescent="0.35">
      <c r="A529" s="65">
        <v>527</v>
      </c>
      <c r="B529" s="66">
        <v>-8.2830621528433799</v>
      </c>
      <c r="C529" s="66">
        <v>1.8592960841986601</v>
      </c>
      <c r="D529" s="67">
        <v>9.4748147232329707</v>
      </c>
      <c r="E529" s="67">
        <v>-8.6130535517177798</v>
      </c>
      <c r="F529" s="67">
        <v>7.5545407549890298</v>
      </c>
      <c r="G529" s="67">
        <v>-2.6518344416208501</v>
      </c>
    </row>
    <row r="530" spans="1:7" x14ac:dyDescent="0.35">
      <c r="A530" s="65">
        <v>528</v>
      </c>
      <c r="B530" s="66">
        <v>-10.7278755689091</v>
      </c>
      <c r="C530" s="66">
        <v>5.2887239061032503</v>
      </c>
      <c r="D530" s="67">
        <v>1.2803677268306799</v>
      </c>
      <c r="E530" s="67">
        <v>-0.31456805554723399</v>
      </c>
      <c r="F530" s="67">
        <v>-10.1190442041219</v>
      </c>
      <c r="G530" s="67">
        <v>8.1819344077363105</v>
      </c>
    </row>
    <row r="531" spans="1:7" x14ac:dyDescent="0.35">
      <c r="A531" s="65">
        <v>529</v>
      </c>
      <c r="B531" s="66">
        <v>8.24429998023877</v>
      </c>
      <c r="C531" s="66">
        <v>0.35545317704099899</v>
      </c>
      <c r="D531" s="67">
        <v>2.7695613874420602</v>
      </c>
      <c r="E531" s="67">
        <v>-4.0123789043595703</v>
      </c>
      <c r="F531" s="67">
        <v>1.5342197835471201</v>
      </c>
      <c r="G531" s="67">
        <v>4.4846194466423901</v>
      </c>
    </row>
    <row r="532" spans="1:7" x14ac:dyDescent="0.35">
      <c r="A532" s="65">
        <v>530</v>
      </c>
      <c r="B532" s="66">
        <v>4.7609815823504897</v>
      </c>
      <c r="C532" s="66">
        <v>-2.02744054576501</v>
      </c>
      <c r="D532" s="67">
        <v>1.5671954443124601</v>
      </c>
      <c r="E532" s="67">
        <v>3.9003762072719201</v>
      </c>
      <c r="F532" s="67">
        <v>3.9833700680031998</v>
      </c>
      <c r="G532" s="67">
        <v>1.01682920423754</v>
      </c>
    </row>
    <row r="533" spans="1:7" x14ac:dyDescent="0.35">
      <c r="A533" s="65">
        <v>531</v>
      </c>
      <c r="B533" s="66">
        <v>8.2206395502096203</v>
      </c>
      <c r="C533" s="66">
        <v>1.6387090978521099</v>
      </c>
      <c r="D533" s="67">
        <v>3.66942008640771</v>
      </c>
      <c r="E533" s="67">
        <v>-26.201953194525402</v>
      </c>
      <c r="F533" s="67">
        <v>-4.3870466163005499</v>
      </c>
      <c r="G533" s="67">
        <v>5.25210561339546</v>
      </c>
    </row>
    <row r="534" spans="1:7" x14ac:dyDescent="0.35">
      <c r="A534" s="65">
        <v>532</v>
      </c>
      <c r="B534" s="66">
        <v>3.0445206418884001</v>
      </c>
      <c r="C534" s="66">
        <v>-0.41851570523646098</v>
      </c>
      <c r="D534" s="67">
        <v>12.0515387594433</v>
      </c>
      <c r="E534" s="67">
        <v>12.5032772253176</v>
      </c>
      <c r="F534" s="67">
        <v>0.91513377225802095</v>
      </c>
      <c r="G534" s="67">
        <v>-2.9200148571797202</v>
      </c>
    </row>
    <row r="535" spans="1:7" x14ac:dyDescent="0.35">
      <c r="A535" s="65">
        <v>533</v>
      </c>
      <c r="B535" s="66">
        <v>1.53442750053284</v>
      </c>
      <c r="C535" s="66">
        <v>3.57622551055388</v>
      </c>
      <c r="D535" s="67">
        <v>1.47304377038931</v>
      </c>
      <c r="E535" s="67">
        <v>0.26883762099282699</v>
      </c>
      <c r="F535" s="67">
        <v>-12.693719648189299</v>
      </c>
      <c r="G535" s="67">
        <v>3.4519939854805299</v>
      </c>
    </row>
    <row r="536" spans="1:7" x14ac:dyDescent="0.35">
      <c r="A536" s="65">
        <v>534</v>
      </c>
      <c r="B536" s="66">
        <v>-17.834323278054701</v>
      </c>
      <c r="C536" s="66">
        <v>0.12541852517934601</v>
      </c>
      <c r="D536" s="67">
        <v>2.3203237566558301</v>
      </c>
      <c r="E536" s="67">
        <v>5.2188462392544599</v>
      </c>
      <c r="F536" s="67">
        <v>2.2296230913698198</v>
      </c>
      <c r="G536" s="67">
        <v>12.3428820300712</v>
      </c>
    </row>
    <row r="537" spans="1:7" x14ac:dyDescent="0.35">
      <c r="A537" s="65">
        <v>535</v>
      </c>
      <c r="B537" s="66">
        <v>14.5612237801975</v>
      </c>
      <c r="C537" s="66">
        <v>-3.9128014467638801</v>
      </c>
      <c r="D537" s="67">
        <v>2.1332038324299498</v>
      </c>
      <c r="E537" s="67">
        <v>4.0637280389014796</v>
      </c>
      <c r="F537" s="67">
        <v>5.19062767868588</v>
      </c>
      <c r="G537" s="67">
        <v>2.2756982775324901</v>
      </c>
    </row>
    <row r="538" spans="1:7" x14ac:dyDescent="0.35">
      <c r="A538" s="65">
        <v>536</v>
      </c>
      <c r="B538" s="66">
        <v>-0.53512989689888901</v>
      </c>
      <c r="C538" s="66">
        <v>0.591545636779372</v>
      </c>
      <c r="D538" s="67">
        <v>0.60404634333896701</v>
      </c>
      <c r="E538" s="67">
        <v>-9.0303414969051499</v>
      </c>
      <c r="F538" s="67">
        <v>1.1497794014240199</v>
      </c>
      <c r="G538" s="67">
        <v>14.491480325406901</v>
      </c>
    </row>
    <row r="539" spans="1:7" x14ac:dyDescent="0.35">
      <c r="A539" s="65">
        <v>537</v>
      </c>
      <c r="B539" s="66">
        <v>4.5225288493317599</v>
      </c>
      <c r="C539" s="66">
        <v>7.1511533260470097</v>
      </c>
      <c r="D539" s="67">
        <v>6.2653363580283203</v>
      </c>
      <c r="E539" s="67">
        <v>-19.621314928837599</v>
      </c>
      <c r="F539" s="67">
        <v>-2.9230177543223701</v>
      </c>
      <c r="G539" s="67">
        <v>-4.5645091302154404</v>
      </c>
    </row>
    <row r="540" spans="1:7" x14ac:dyDescent="0.35">
      <c r="A540" s="65">
        <v>538</v>
      </c>
      <c r="B540" s="66">
        <v>6.0571681627454703</v>
      </c>
      <c r="C540" s="66">
        <v>-2.0064446003215699</v>
      </c>
      <c r="D540" s="67">
        <v>6.7031459617548297</v>
      </c>
      <c r="E540" s="67">
        <v>-15.3100024527306</v>
      </c>
      <c r="F540" s="67">
        <v>6.5977620890912601</v>
      </c>
      <c r="G540" s="67">
        <v>10.396656579857201</v>
      </c>
    </row>
    <row r="541" spans="1:7" x14ac:dyDescent="0.35">
      <c r="A541" s="65">
        <v>539</v>
      </c>
      <c r="B541" s="66">
        <v>6.72664245221186</v>
      </c>
      <c r="C541" s="66">
        <v>8.3425124518075204</v>
      </c>
      <c r="D541" s="67">
        <v>12.642030736038601</v>
      </c>
      <c r="E541" s="67">
        <v>16.333825229019901</v>
      </c>
      <c r="F541" s="67">
        <v>-1.3874937003138701</v>
      </c>
      <c r="G541" s="67">
        <v>2.9554710610446802</v>
      </c>
    </row>
    <row r="542" spans="1:7" x14ac:dyDescent="0.35">
      <c r="A542" s="65">
        <v>540</v>
      </c>
      <c r="B542" s="66">
        <v>-10.147581415629499</v>
      </c>
      <c r="C542" s="66">
        <v>3.6055174525966197E-2</v>
      </c>
      <c r="D542" s="67">
        <v>1.1561275073428201</v>
      </c>
      <c r="E542" s="67">
        <v>1.3349551841392999</v>
      </c>
      <c r="F542" s="67">
        <v>14.673665507298701</v>
      </c>
      <c r="G542" s="67">
        <v>10.7752304450777</v>
      </c>
    </row>
    <row r="543" spans="1:7" x14ac:dyDescent="0.35">
      <c r="A543" s="65">
        <v>541</v>
      </c>
      <c r="B543" s="66">
        <v>-6.1924361134950203</v>
      </c>
      <c r="C543" s="66">
        <v>-3.56984151449051</v>
      </c>
      <c r="D543" s="67">
        <v>0.56150771169635605</v>
      </c>
      <c r="E543" s="67">
        <v>-3.56912319258246</v>
      </c>
      <c r="F543" s="67">
        <v>-8.9532822737847209</v>
      </c>
      <c r="G543" s="67">
        <v>-7.87145027112091</v>
      </c>
    </row>
    <row r="544" spans="1:7" x14ac:dyDescent="0.35">
      <c r="A544" s="65">
        <v>542</v>
      </c>
      <c r="B544" s="66">
        <v>-3.6396509778859398</v>
      </c>
      <c r="C544" s="66">
        <v>-2.3068977357404501</v>
      </c>
      <c r="D544" s="67">
        <v>7.8038889330291497</v>
      </c>
      <c r="E544" s="67">
        <v>-12.527825337691301</v>
      </c>
      <c r="F544" s="67">
        <v>-4.6447248332110904</v>
      </c>
      <c r="G544" s="67">
        <v>7.3354220857020396</v>
      </c>
    </row>
    <row r="545" spans="1:7" x14ac:dyDescent="0.35">
      <c r="A545" s="65">
        <v>543</v>
      </c>
      <c r="B545" s="66">
        <v>-1.3124173693040799</v>
      </c>
      <c r="C545" s="66">
        <v>8.6697240838198404</v>
      </c>
      <c r="D545" s="67">
        <v>17.047783959278</v>
      </c>
      <c r="E545" s="67">
        <v>9.7852569559502705</v>
      </c>
      <c r="F545" s="67">
        <v>-9.8143822335025508</v>
      </c>
      <c r="G545" s="67">
        <v>5.4214262859515099</v>
      </c>
    </row>
    <row r="546" spans="1:7" x14ac:dyDescent="0.35">
      <c r="A546" s="65">
        <v>544</v>
      </c>
      <c r="B546" s="66">
        <v>3.11259600198394</v>
      </c>
      <c r="C546" s="66">
        <v>-1.50024862881156</v>
      </c>
      <c r="D546" s="67">
        <v>3.8545346597710499</v>
      </c>
      <c r="E546" s="67">
        <v>16.9309874422467</v>
      </c>
      <c r="F546" s="67">
        <v>11.3454966851435</v>
      </c>
      <c r="G546" s="67">
        <v>0.58557653382261299</v>
      </c>
    </row>
    <row r="547" spans="1:7" x14ac:dyDescent="0.35">
      <c r="A547" s="65">
        <v>545</v>
      </c>
      <c r="B547" s="66">
        <v>8.9730147120199195</v>
      </c>
      <c r="C547" s="66">
        <v>3.4456028922349802</v>
      </c>
      <c r="D547" s="67">
        <v>3.1295778484582599</v>
      </c>
      <c r="E547" s="67">
        <v>7.38184284187082</v>
      </c>
      <c r="F547" s="67">
        <v>9.9378058814841808</v>
      </c>
      <c r="G547" s="67">
        <v>4.3678331258753103</v>
      </c>
    </row>
    <row r="548" spans="1:7" x14ac:dyDescent="0.35">
      <c r="A548" s="65">
        <v>546</v>
      </c>
      <c r="B548" s="66">
        <v>-4.3356100520400798</v>
      </c>
      <c r="C548" s="66">
        <v>5.9867252483312301</v>
      </c>
      <c r="D548" s="67">
        <v>20.445363901136002</v>
      </c>
      <c r="E548" s="67">
        <v>15.400225261522801</v>
      </c>
      <c r="F548" s="67">
        <v>4.3005782344735204</v>
      </c>
      <c r="G548" s="67">
        <v>20.686613236564099</v>
      </c>
    </row>
    <row r="549" spans="1:7" x14ac:dyDescent="0.35">
      <c r="A549" s="65">
        <v>547</v>
      </c>
      <c r="B549" s="66">
        <v>0.70571004422665695</v>
      </c>
      <c r="C549" s="66">
        <v>4.9644372417605798</v>
      </c>
      <c r="D549" s="67">
        <v>10.7403025385525</v>
      </c>
      <c r="E549" s="67">
        <v>-7.47745470388013</v>
      </c>
      <c r="F549" s="67">
        <v>-22.232830062137701</v>
      </c>
      <c r="G549" s="67">
        <v>-4.4142790524966703E-2</v>
      </c>
    </row>
    <row r="550" spans="1:7" x14ac:dyDescent="0.35">
      <c r="A550" s="65">
        <v>548</v>
      </c>
      <c r="B550" s="66">
        <v>-13.4750372721153</v>
      </c>
      <c r="C550" s="66">
        <v>10.6155075347788</v>
      </c>
      <c r="D550" s="67">
        <v>2.82819097939907</v>
      </c>
      <c r="E550" s="67">
        <v>-1.4879375647937501</v>
      </c>
      <c r="F550" s="67">
        <v>-3.5746078576745202</v>
      </c>
      <c r="G550" s="67">
        <v>-3.2494771991602298</v>
      </c>
    </row>
    <row r="551" spans="1:7" x14ac:dyDescent="0.35">
      <c r="A551" s="65">
        <v>549</v>
      </c>
      <c r="B551" s="66">
        <v>-5.8081587578927403</v>
      </c>
      <c r="C551" s="66">
        <v>-1.81766572056075</v>
      </c>
      <c r="D551" s="67">
        <v>2.36339816193632</v>
      </c>
      <c r="E551" s="67">
        <v>7.8260827006793399</v>
      </c>
      <c r="F551" s="67">
        <v>9.1280870610292801</v>
      </c>
      <c r="G551" s="67">
        <v>-3.5252480369124299</v>
      </c>
    </row>
    <row r="552" spans="1:7" x14ac:dyDescent="0.35">
      <c r="A552" s="65">
        <v>550</v>
      </c>
      <c r="B552" s="66">
        <v>4.8964434620151804</v>
      </c>
      <c r="C552" s="66">
        <v>0.76002973862647405</v>
      </c>
      <c r="D552" s="67">
        <v>4.4870536840688402</v>
      </c>
      <c r="E552" s="67">
        <v>-5.4221667254886103</v>
      </c>
      <c r="F552" s="67">
        <v>1.4259649017198399</v>
      </c>
      <c r="G552" s="67">
        <v>5.0445102064341896</v>
      </c>
    </row>
    <row r="553" spans="1:7" x14ac:dyDescent="0.35">
      <c r="A553" s="65">
        <v>551</v>
      </c>
      <c r="B553" s="66">
        <v>-4.9097126954865598</v>
      </c>
      <c r="C553" s="66">
        <v>2.8351324897281698</v>
      </c>
      <c r="D553" s="67">
        <v>2.3306714820636101</v>
      </c>
      <c r="E553" s="67">
        <v>4.64180284128628</v>
      </c>
      <c r="F553" s="67">
        <v>-15.260201757013499</v>
      </c>
      <c r="G553" s="67">
        <v>4.0635566435846604</v>
      </c>
    </row>
    <row r="554" spans="1:7" x14ac:dyDescent="0.35">
      <c r="A554" s="65">
        <v>552</v>
      </c>
      <c r="B554" s="66">
        <v>7.3135958911506602</v>
      </c>
      <c r="C554" s="66">
        <v>-1.6838631299301099</v>
      </c>
      <c r="D554" s="67">
        <v>9.34982384825663</v>
      </c>
      <c r="E554" s="67">
        <v>-8.3859428554178805</v>
      </c>
      <c r="F554" s="67">
        <v>2.6426929392751499</v>
      </c>
      <c r="G554" s="67">
        <v>12.919551402021</v>
      </c>
    </row>
    <row r="555" spans="1:7" x14ac:dyDescent="0.35">
      <c r="A555" s="65">
        <v>553</v>
      </c>
      <c r="B555" s="66">
        <v>-2.7215212527391399</v>
      </c>
      <c r="C555" s="66">
        <v>1.82220351039475</v>
      </c>
      <c r="D555" s="67">
        <v>1.6209653727789799</v>
      </c>
      <c r="E555" s="67">
        <v>-24.9120566628701</v>
      </c>
      <c r="F555" s="67">
        <v>8.4957719609659801</v>
      </c>
      <c r="G555" s="67">
        <v>5.4337607302936899</v>
      </c>
    </row>
    <row r="556" spans="1:7" x14ac:dyDescent="0.35">
      <c r="A556" s="65">
        <v>554</v>
      </c>
      <c r="B556" s="66">
        <v>-6.8212492695645297</v>
      </c>
      <c r="C556" s="66">
        <v>-1.2958089469746801</v>
      </c>
      <c r="D556" s="67">
        <v>2.3015398845667399</v>
      </c>
      <c r="E556" s="67">
        <v>6.7481556154130997</v>
      </c>
      <c r="F556" s="67">
        <v>-9.5972462173361102</v>
      </c>
      <c r="G556" s="67">
        <v>2.7703149690375999</v>
      </c>
    </row>
    <row r="557" spans="1:7" x14ac:dyDescent="0.35">
      <c r="A557" s="65">
        <v>555</v>
      </c>
      <c r="B557" s="66">
        <v>8.2731421592000398</v>
      </c>
      <c r="C557" s="66">
        <v>0.12561094029130701</v>
      </c>
      <c r="D557" s="67">
        <v>2.76996589496206</v>
      </c>
      <c r="E557" s="67">
        <v>-3.7050047356717601</v>
      </c>
      <c r="F557" s="67">
        <v>-1.6721873322388701</v>
      </c>
      <c r="G557" s="67">
        <v>-5.3308909193613196</v>
      </c>
    </row>
    <row r="558" spans="1:7" x14ac:dyDescent="0.35">
      <c r="A558" s="65">
        <v>556</v>
      </c>
      <c r="B558" s="66">
        <v>14.795781306282199</v>
      </c>
      <c r="C558" s="66">
        <v>-4.2672072917868098</v>
      </c>
      <c r="D558" s="67">
        <v>1.7446277156449399</v>
      </c>
      <c r="E558" s="67">
        <v>17.034655101161899</v>
      </c>
      <c r="F558" s="67">
        <v>2.4550253201607202</v>
      </c>
      <c r="G558" s="67">
        <v>7.9925343675251703</v>
      </c>
    </row>
    <row r="559" spans="1:7" x14ac:dyDescent="0.35">
      <c r="A559" s="65">
        <v>557</v>
      </c>
      <c r="B559" s="66">
        <v>23.4076028476657</v>
      </c>
      <c r="C559" s="66">
        <v>-6.1403506361108597</v>
      </c>
      <c r="D559" s="67">
        <v>7.3000524549650896</v>
      </c>
      <c r="E559" s="67">
        <v>-0.47288769416208598</v>
      </c>
      <c r="F559" s="67">
        <v>5.1374768848932097</v>
      </c>
      <c r="G559" s="67">
        <v>0.46861480272254202</v>
      </c>
    </row>
    <row r="560" spans="1:7" x14ac:dyDescent="0.35">
      <c r="A560" s="65">
        <v>558</v>
      </c>
      <c r="B560" s="66">
        <v>-0.54194844372756801</v>
      </c>
      <c r="C560" s="66">
        <v>-5.2499659048175102</v>
      </c>
      <c r="D560" s="67">
        <v>0.321665622453363</v>
      </c>
      <c r="E560" s="67">
        <v>-3.7886908667619399</v>
      </c>
      <c r="F560" s="67">
        <v>12.133223186216499</v>
      </c>
      <c r="G560" s="67">
        <v>-1.2894111100658601</v>
      </c>
    </row>
    <row r="561" spans="1:7" x14ac:dyDescent="0.35">
      <c r="A561" s="65">
        <v>559</v>
      </c>
      <c r="B561" s="66">
        <v>14.6621991490684</v>
      </c>
      <c r="C561" s="66">
        <v>2.9932254241566199</v>
      </c>
      <c r="D561" s="67">
        <v>0.83318884206289701</v>
      </c>
      <c r="E561" s="67">
        <v>-16.7131014269454</v>
      </c>
      <c r="F561" s="67">
        <v>-13.3285762022055</v>
      </c>
      <c r="G561" s="67">
        <v>5.8324068610057802</v>
      </c>
    </row>
    <row r="562" spans="1:7" x14ac:dyDescent="0.35">
      <c r="A562" s="65">
        <v>560</v>
      </c>
      <c r="B562" s="66">
        <v>5.38964977355137</v>
      </c>
      <c r="C562" s="66">
        <v>-3.9780195962600202</v>
      </c>
      <c r="D562" s="67">
        <v>0.58633354852617103</v>
      </c>
      <c r="E562" s="67">
        <v>28.971374151579699</v>
      </c>
      <c r="F562" s="67">
        <v>-2.0402453097870299</v>
      </c>
      <c r="G562" s="67">
        <v>4.4125166629032497</v>
      </c>
    </row>
    <row r="563" spans="1:7" x14ac:dyDescent="0.35">
      <c r="A563" s="65">
        <v>561</v>
      </c>
      <c r="B563" s="66">
        <v>6.6854504366352696</v>
      </c>
      <c r="C563" s="66">
        <v>2.0561052511784901</v>
      </c>
      <c r="D563" s="67">
        <v>0.90070172284479799</v>
      </c>
      <c r="E563" s="67">
        <v>13.5502115657348</v>
      </c>
      <c r="F563" s="67">
        <v>2.7347038424279302</v>
      </c>
      <c r="G563" s="67">
        <v>8.8637871234086596</v>
      </c>
    </row>
    <row r="564" spans="1:7" x14ac:dyDescent="0.35">
      <c r="A564" s="65">
        <v>562</v>
      </c>
      <c r="B564" s="66">
        <v>6.5386489907561796</v>
      </c>
      <c r="C564" s="66">
        <v>-9.9288041300798007</v>
      </c>
      <c r="D564" s="67">
        <v>0.44129697267647899</v>
      </c>
      <c r="E564" s="67">
        <v>-7.5478108771569596</v>
      </c>
      <c r="F564" s="67">
        <v>-8.8968924750705103</v>
      </c>
      <c r="G564" s="67">
        <v>2.0144866629592699</v>
      </c>
    </row>
    <row r="565" spans="1:7" x14ac:dyDescent="0.35">
      <c r="A565" s="65">
        <v>563</v>
      </c>
      <c r="B565" s="66">
        <v>2.1654071524355198</v>
      </c>
      <c r="C565" s="66">
        <v>-0.75943651481262997</v>
      </c>
      <c r="D565" s="67">
        <v>1.59392537443739</v>
      </c>
      <c r="E565" s="67">
        <v>-2.07957382359987</v>
      </c>
      <c r="F565" s="67">
        <v>-8.3318653794244</v>
      </c>
      <c r="G565" s="67">
        <v>-4.22670053187717</v>
      </c>
    </row>
    <row r="566" spans="1:7" x14ac:dyDescent="0.35">
      <c r="A566" s="65">
        <v>564</v>
      </c>
      <c r="B566" s="66">
        <v>-10.715243141498901</v>
      </c>
      <c r="C566" s="66">
        <v>-8.0026740687526701</v>
      </c>
      <c r="D566" s="67">
        <v>0.61554143952867801</v>
      </c>
      <c r="E566" s="67">
        <v>-1.9972432835565599</v>
      </c>
      <c r="F566" s="67">
        <v>17.4680993322809</v>
      </c>
      <c r="G566" s="67">
        <v>-4.5092815260327201</v>
      </c>
    </row>
    <row r="567" spans="1:7" x14ac:dyDescent="0.35">
      <c r="A567" s="65">
        <v>565</v>
      </c>
      <c r="B567" s="66">
        <v>14.7268147762144</v>
      </c>
      <c r="C567" s="66">
        <v>0.72259327702906695</v>
      </c>
      <c r="D567" s="67">
        <v>3.8734342585627899</v>
      </c>
      <c r="E567" s="67">
        <v>-24.441637604691099</v>
      </c>
      <c r="F567" s="67">
        <v>-3.7431330142926198</v>
      </c>
      <c r="G567" s="67">
        <v>-1.33068417249416</v>
      </c>
    </row>
    <row r="568" spans="1:7" x14ac:dyDescent="0.35">
      <c r="A568" s="65">
        <v>566</v>
      </c>
      <c r="B568" s="66">
        <v>-7.9729912628119104</v>
      </c>
      <c r="C568" s="66">
        <v>2.3009172593614799</v>
      </c>
      <c r="D568" s="67">
        <v>0.86735493323648705</v>
      </c>
      <c r="E568" s="67">
        <v>24.646080041978401</v>
      </c>
      <c r="F568" s="67">
        <v>-7.1764434597935001</v>
      </c>
      <c r="G568" s="67">
        <v>6.6926692044576299</v>
      </c>
    </row>
    <row r="569" spans="1:7" x14ac:dyDescent="0.35">
      <c r="A569" s="65">
        <v>567</v>
      </c>
      <c r="B569" s="66">
        <v>15.115930650560401</v>
      </c>
      <c r="C569" s="66">
        <v>-8.4254652946657291</v>
      </c>
      <c r="D569" s="67">
        <v>1.3575479785778799</v>
      </c>
      <c r="E569" s="67">
        <v>-20.203666983437198</v>
      </c>
      <c r="F569" s="67">
        <v>-3.2522153923587802</v>
      </c>
      <c r="G569" s="67">
        <v>0.109448781407934</v>
      </c>
    </row>
    <row r="570" spans="1:7" x14ac:dyDescent="0.35">
      <c r="A570" s="65">
        <v>568</v>
      </c>
      <c r="B570" s="66">
        <v>13.362845100590601</v>
      </c>
      <c r="C570" s="66">
        <v>11.2750990458206</v>
      </c>
      <c r="D570" s="67">
        <v>4.5211991045098099</v>
      </c>
      <c r="E570" s="67">
        <v>-6.9822485353842598</v>
      </c>
      <c r="F570" s="67">
        <v>0.2333875581739</v>
      </c>
      <c r="G570" s="67">
        <v>0.95264810307377301</v>
      </c>
    </row>
    <row r="571" spans="1:7" x14ac:dyDescent="0.35">
      <c r="A571" s="65">
        <v>569</v>
      </c>
      <c r="B571" s="66">
        <v>5.67946544459822</v>
      </c>
      <c r="C571" s="66">
        <v>-3.6393092834915799</v>
      </c>
      <c r="D571" s="67">
        <v>2.8019800112534998</v>
      </c>
      <c r="E571" s="67">
        <v>-23.257023367945798</v>
      </c>
      <c r="F571" s="67">
        <v>-10.4709228510517</v>
      </c>
      <c r="G571" s="67">
        <v>-1.7134460575802299</v>
      </c>
    </row>
    <row r="572" spans="1:7" x14ac:dyDescent="0.35">
      <c r="A572" s="65">
        <v>570</v>
      </c>
      <c r="B572" s="66">
        <v>-17.826338958632199</v>
      </c>
      <c r="C572" s="66">
        <v>-6.1841617727205396</v>
      </c>
      <c r="D572" s="67">
        <v>9.8996595114994399</v>
      </c>
      <c r="E572" s="67">
        <v>-14.859354312579701</v>
      </c>
      <c r="F572" s="67">
        <v>-1.3479873756279599</v>
      </c>
      <c r="G572" s="67">
        <v>4.94133434123715</v>
      </c>
    </row>
    <row r="573" spans="1:7" x14ac:dyDescent="0.35">
      <c r="A573" s="65">
        <v>571</v>
      </c>
      <c r="B573" s="66">
        <v>-10.423270347315</v>
      </c>
      <c r="C573" s="66">
        <v>-1.6720337894616</v>
      </c>
      <c r="D573" s="67">
        <v>3.4337046850863802</v>
      </c>
      <c r="E573" s="67">
        <v>11.040244695449401</v>
      </c>
      <c r="F573" s="67">
        <v>7.4912505768418898</v>
      </c>
      <c r="G573" s="67">
        <v>4.7186367107374902</v>
      </c>
    </row>
    <row r="574" spans="1:7" x14ac:dyDescent="0.35">
      <c r="A574" s="65">
        <v>572</v>
      </c>
      <c r="B574" s="66">
        <v>-3.79387991288983</v>
      </c>
      <c r="C574" s="66">
        <v>0.82502976932312799</v>
      </c>
      <c r="D574" s="67">
        <v>1.5402697620753101</v>
      </c>
      <c r="E574" s="67">
        <v>-5.32929098277772</v>
      </c>
      <c r="F574" s="67">
        <v>8.3461373427026597</v>
      </c>
      <c r="G574" s="67">
        <v>8.0886006424222501</v>
      </c>
    </row>
    <row r="575" spans="1:7" x14ac:dyDescent="0.35">
      <c r="A575" s="65">
        <v>573</v>
      </c>
      <c r="B575" s="66">
        <v>6.47415460194342</v>
      </c>
      <c r="C575" s="66">
        <v>-10.9618708038824</v>
      </c>
      <c r="D575" s="67">
        <v>1.19927419646144</v>
      </c>
      <c r="E575" s="67">
        <v>-6.6826003958036502</v>
      </c>
      <c r="F575" s="67">
        <v>-8.0856339637433692</v>
      </c>
      <c r="G575" s="67">
        <v>4.1931444989239397</v>
      </c>
    </row>
    <row r="576" spans="1:7" x14ac:dyDescent="0.35">
      <c r="A576" s="65">
        <v>574</v>
      </c>
      <c r="B576" s="66">
        <v>8.1643428238693296</v>
      </c>
      <c r="C576" s="66">
        <v>4.6834564270891903</v>
      </c>
      <c r="D576" s="67">
        <v>10.882864870359301</v>
      </c>
      <c r="E576" s="67">
        <v>1.44663497244036</v>
      </c>
      <c r="F576" s="67">
        <v>-2.20278199720333</v>
      </c>
      <c r="G576" s="67">
        <v>2.8260368971749998</v>
      </c>
    </row>
    <row r="577" spans="1:7" x14ac:dyDescent="0.35">
      <c r="A577" s="65">
        <v>575</v>
      </c>
      <c r="B577" s="66">
        <v>-3.8599071553670301</v>
      </c>
      <c r="C577" s="66">
        <v>0.87063804923570298</v>
      </c>
      <c r="D577" s="67">
        <v>1.06993150746274</v>
      </c>
      <c r="E577" s="67">
        <v>10.4685538782037</v>
      </c>
      <c r="F577" s="67">
        <v>7.7657824587471698</v>
      </c>
      <c r="G577" s="67">
        <v>-2.55605820998661</v>
      </c>
    </row>
    <row r="578" spans="1:7" x14ac:dyDescent="0.35">
      <c r="A578" s="65">
        <v>576</v>
      </c>
      <c r="B578" s="66">
        <v>-9.5504367733706808</v>
      </c>
      <c r="C578" s="66">
        <v>3.2306848527627499</v>
      </c>
      <c r="D578" s="67">
        <v>3.6046986361962001</v>
      </c>
      <c r="E578" s="67">
        <v>11.3655848457567</v>
      </c>
      <c r="F578" s="67">
        <v>6.3704653093764696</v>
      </c>
      <c r="G578" s="67">
        <v>-2.3958349592179299E-2</v>
      </c>
    </row>
    <row r="579" spans="1:7" x14ac:dyDescent="0.35">
      <c r="A579" s="65">
        <v>577</v>
      </c>
      <c r="B579" s="66">
        <v>11.9242977555427</v>
      </c>
      <c r="C579" s="66">
        <v>3.8601811517293898</v>
      </c>
      <c r="D579" s="67">
        <v>0.79497934667019099</v>
      </c>
      <c r="E579" s="67">
        <v>-20.997378271026999</v>
      </c>
      <c r="F579" s="67">
        <v>12.6795938952772</v>
      </c>
      <c r="G579" s="67">
        <v>-5.6938021720222496</v>
      </c>
    </row>
    <row r="580" spans="1:7" x14ac:dyDescent="0.35">
      <c r="A580" s="65">
        <v>578</v>
      </c>
      <c r="B580" s="66">
        <v>4.8726880969603901</v>
      </c>
      <c r="C580" s="66">
        <v>3.9623374574145598</v>
      </c>
      <c r="D580" s="67">
        <v>4.13636966110721</v>
      </c>
      <c r="E580" s="67">
        <v>14.7112283264313</v>
      </c>
      <c r="F580" s="67">
        <v>0.99969634597195001</v>
      </c>
      <c r="G580" s="67">
        <v>-9.2742889136695802E-2</v>
      </c>
    </row>
    <row r="581" spans="1:7" x14ac:dyDescent="0.35">
      <c r="A581" s="65">
        <v>579</v>
      </c>
      <c r="B581" s="66">
        <v>-23.575942339315901</v>
      </c>
      <c r="C581" s="66">
        <v>-5.4656133901130701</v>
      </c>
      <c r="D581" s="67">
        <v>2.0979966108705899</v>
      </c>
      <c r="E581" s="67">
        <v>-9.8668992116024707</v>
      </c>
      <c r="F581" s="67">
        <v>-10.001829149963999</v>
      </c>
      <c r="G581" s="67">
        <v>-0.58576454582337401</v>
      </c>
    </row>
    <row r="582" spans="1:7" x14ac:dyDescent="0.35">
      <c r="A582" s="65">
        <v>580</v>
      </c>
      <c r="B582" s="66">
        <v>-7.2390705928320296</v>
      </c>
      <c r="C582" s="66">
        <v>-2.6215623503761099</v>
      </c>
      <c r="D582" s="67">
        <v>1.3026115135465699</v>
      </c>
      <c r="E582" s="67">
        <v>-26.283399968880602</v>
      </c>
      <c r="F582" s="67">
        <v>-8.3976073026330997</v>
      </c>
      <c r="G582" s="67">
        <v>0.27609735879239</v>
      </c>
    </row>
    <row r="583" spans="1:7" x14ac:dyDescent="0.35">
      <c r="A583" s="65">
        <v>581</v>
      </c>
      <c r="B583" s="66">
        <v>-8.6893378697105508</v>
      </c>
      <c r="C583" s="66">
        <v>5.1726474665744204</v>
      </c>
      <c r="D583" s="67">
        <v>2.88716237613091</v>
      </c>
      <c r="E583" s="67">
        <v>-10.517027198242801</v>
      </c>
      <c r="F583" s="67">
        <v>9.3678529442550609</v>
      </c>
      <c r="G583" s="67">
        <v>0.24399283669060301</v>
      </c>
    </row>
    <row r="584" spans="1:7" x14ac:dyDescent="0.35">
      <c r="A584" s="65">
        <v>582</v>
      </c>
      <c r="B584" s="66">
        <v>-6.6667501297576397</v>
      </c>
      <c r="C584" s="66">
        <v>-1.56884321020899</v>
      </c>
      <c r="D584" s="67">
        <v>4.6363231934277804</v>
      </c>
      <c r="E584" s="67">
        <v>4.68458498201952</v>
      </c>
      <c r="F584" s="67">
        <v>6.4462013800409697</v>
      </c>
      <c r="G584" s="67">
        <v>8.9641397115616392</v>
      </c>
    </row>
    <row r="585" spans="1:7" x14ac:dyDescent="0.35">
      <c r="A585" s="65">
        <v>583</v>
      </c>
      <c r="B585" s="66">
        <v>3.9333037555164898</v>
      </c>
      <c r="C585" s="66">
        <v>-8.1481009665943898</v>
      </c>
      <c r="D585" s="67">
        <v>1.0884109238256601</v>
      </c>
      <c r="E585" s="67">
        <v>-3.4585705400747799</v>
      </c>
      <c r="F585" s="67">
        <v>20.2947744511488</v>
      </c>
      <c r="G585" s="67">
        <v>16.1277492120151</v>
      </c>
    </row>
    <row r="586" spans="1:7" x14ac:dyDescent="0.35">
      <c r="A586" s="65">
        <v>584</v>
      </c>
      <c r="B586" s="66">
        <v>17.751912143627301</v>
      </c>
      <c r="C586" s="66">
        <v>12.935780924077999</v>
      </c>
      <c r="D586" s="67">
        <v>0.50122148195231897</v>
      </c>
      <c r="E586" s="67">
        <v>-5.5306390015729896</v>
      </c>
      <c r="F586" s="67">
        <v>-18.347705931981899</v>
      </c>
      <c r="G586" s="67">
        <v>-1.2402999624051001</v>
      </c>
    </row>
    <row r="587" spans="1:7" x14ac:dyDescent="0.35">
      <c r="A587" s="65">
        <v>585</v>
      </c>
      <c r="B587" s="66">
        <v>-1.7771570943457999</v>
      </c>
      <c r="C587" s="66">
        <v>1.5615571359462701</v>
      </c>
      <c r="D587" s="67">
        <v>2.7006145688941499</v>
      </c>
      <c r="E587" s="67">
        <v>-20.133576634835499</v>
      </c>
      <c r="F587" s="67">
        <v>-13.643368117929001</v>
      </c>
      <c r="G587" s="67">
        <v>3.8610016994321601</v>
      </c>
    </row>
    <row r="588" spans="1:7" x14ac:dyDescent="0.35">
      <c r="A588" s="65">
        <v>586</v>
      </c>
      <c r="B588" s="66">
        <v>-10.0448006757135</v>
      </c>
      <c r="C588" s="66">
        <v>0.16948953655539301</v>
      </c>
      <c r="D588" s="67">
        <v>9.1145402104856004</v>
      </c>
      <c r="E588" s="67">
        <v>-7.5229153466571503</v>
      </c>
      <c r="F588" s="67">
        <v>1.1547131546624101</v>
      </c>
      <c r="G588" s="67">
        <v>2.9554713267020398</v>
      </c>
    </row>
    <row r="589" spans="1:7" x14ac:dyDescent="0.35">
      <c r="A589" s="65">
        <v>587</v>
      </c>
      <c r="B589" s="66">
        <v>1.3770150753916099</v>
      </c>
      <c r="C589" s="66">
        <v>3.91895774439348</v>
      </c>
      <c r="D589" s="67">
        <v>4.6072582248752401</v>
      </c>
      <c r="E589" s="67">
        <v>2.1905276175429602</v>
      </c>
      <c r="F589" s="67">
        <v>5.4194858331037103</v>
      </c>
      <c r="G589" s="67">
        <v>0.164390284422817</v>
      </c>
    </row>
    <row r="590" spans="1:7" x14ac:dyDescent="0.35">
      <c r="A590" s="65">
        <v>588</v>
      </c>
      <c r="B590" s="66">
        <v>14.933652369813499</v>
      </c>
      <c r="C590" s="66">
        <v>-1.36134893867997</v>
      </c>
      <c r="D590" s="67">
        <v>0.24848208441262601</v>
      </c>
      <c r="E590" s="67">
        <v>-10.3748668378978</v>
      </c>
      <c r="F590" s="67">
        <v>-3.24903234796147</v>
      </c>
      <c r="G590" s="67">
        <v>-1.43134989937559</v>
      </c>
    </row>
    <row r="591" spans="1:7" x14ac:dyDescent="0.35">
      <c r="A591" s="65">
        <v>589</v>
      </c>
      <c r="B591" s="66">
        <v>-16.4242929727871</v>
      </c>
      <c r="C591" s="66">
        <v>-1.6363917992621899</v>
      </c>
      <c r="D591" s="67">
        <v>1.7373155680977299</v>
      </c>
      <c r="E591" s="67">
        <v>9.6557665815831903</v>
      </c>
      <c r="F591" s="67">
        <v>6.5453235466616899</v>
      </c>
      <c r="G591" s="67">
        <v>1.6788957779395599</v>
      </c>
    </row>
    <row r="592" spans="1:7" x14ac:dyDescent="0.35">
      <c r="A592" s="65">
        <v>590</v>
      </c>
      <c r="B592" s="66">
        <v>-1.8495484504822299</v>
      </c>
      <c r="C592" s="66">
        <v>0.75144920159468898</v>
      </c>
      <c r="D592" s="67">
        <v>1.39325394777595</v>
      </c>
      <c r="E592" s="67">
        <v>-18.8671086294584</v>
      </c>
      <c r="F592" s="67">
        <v>3.7636241797087302</v>
      </c>
      <c r="G592" s="67">
        <v>-4.3694315747655796</v>
      </c>
    </row>
    <row r="593" spans="1:7" x14ac:dyDescent="0.35">
      <c r="A593" s="65">
        <v>591</v>
      </c>
      <c r="B593" s="66">
        <v>3.06117464355339</v>
      </c>
      <c r="C593" s="66">
        <v>2.6033780042116299</v>
      </c>
      <c r="D593" s="67">
        <v>1.3508226345662</v>
      </c>
      <c r="E593" s="67">
        <v>12.9884624209789</v>
      </c>
      <c r="F593" s="67">
        <v>-11.5670037178855</v>
      </c>
      <c r="G593" s="67">
        <v>1.0411630459191801</v>
      </c>
    </row>
    <row r="594" spans="1:7" x14ac:dyDescent="0.35">
      <c r="A594" s="65">
        <v>592</v>
      </c>
      <c r="B594" s="66">
        <v>-12.38564908639</v>
      </c>
      <c r="C594" s="66">
        <v>-4.8196775761090098</v>
      </c>
      <c r="D594" s="67">
        <v>0.22118165406955501</v>
      </c>
      <c r="E594" s="67">
        <v>-18.193213008212702</v>
      </c>
      <c r="F594" s="67">
        <v>5.1182346081530596</v>
      </c>
      <c r="G594" s="67">
        <v>1.85496861639288</v>
      </c>
    </row>
    <row r="595" spans="1:7" x14ac:dyDescent="0.35">
      <c r="A595" s="65">
        <v>593</v>
      </c>
      <c r="B595" s="66">
        <v>-11.2928848942025</v>
      </c>
      <c r="C595" s="66">
        <v>7.5504459015628198</v>
      </c>
      <c r="D595" s="67">
        <v>6.71725747631689</v>
      </c>
      <c r="E595" s="67">
        <v>3.8245751870518299</v>
      </c>
      <c r="F595" s="67">
        <v>7.0915617772124699</v>
      </c>
      <c r="G595" s="67">
        <v>-4.3192217293183797</v>
      </c>
    </row>
    <row r="596" spans="1:7" x14ac:dyDescent="0.35">
      <c r="A596" s="65">
        <v>594</v>
      </c>
      <c r="B596" s="66">
        <v>1.7947877663169101</v>
      </c>
      <c r="C596" s="66">
        <v>5.4225116976658398</v>
      </c>
      <c r="D596" s="67">
        <v>0.90139054261579499</v>
      </c>
      <c r="E596" s="67">
        <v>4.2667394594394699</v>
      </c>
      <c r="F596" s="67">
        <v>5.7304316686753101</v>
      </c>
      <c r="G596" s="67">
        <v>-2.7938022820744099</v>
      </c>
    </row>
    <row r="597" spans="1:7" x14ac:dyDescent="0.35">
      <c r="A597" s="65">
        <v>595</v>
      </c>
      <c r="B597" s="66">
        <v>4.05044486744643</v>
      </c>
      <c r="C597" s="66">
        <v>-4.9376291714752503</v>
      </c>
      <c r="D597" s="67">
        <v>4.2473649310369099</v>
      </c>
      <c r="E597" s="67">
        <v>35.140277098720503</v>
      </c>
      <c r="F597" s="67">
        <v>-1.01551788958603</v>
      </c>
      <c r="G597" s="67">
        <v>-2.4573633990854198</v>
      </c>
    </row>
    <row r="598" spans="1:7" x14ac:dyDescent="0.35">
      <c r="A598" s="65">
        <v>596</v>
      </c>
      <c r="B598" s="66">
        <v>-9.36252789227491</v>
      </c>
      <c r="C598" s="66">
        <v>-7.9251748311561201</v>
      </c>
      <c r="D598" s="67">
        <v>19.4183063316854</v>
      </c>
      <c r="E598" s="67">
        <v>-18.124365857278601</v>
      </c>
      <c r="F598" s="67">
        <v>2.2428038117793299</v>
      </c>
      <c r="G598" s="67">
        <v>3.7902557436112998</v>
      </c>
    </row>
    <row r="599" spans="1:7" x14ac:dyDescent="0.35">
      <c r="A599" s="65">
        <v>597</v>
      </c>
      <c r="B599" s="66">
        <v>5.8761562759609296</v>
      </c>
      <c r="C599" s="66">
        <v>-1.7267245767652799</v>
      </c>
      <c r="D599" s="67">
        <v>1.4704175795622401</v>
      </c>
      <c r="E599" s="67">
        <v>-24.919797442003901</v>
      </c>
      <c r="F599" s="67">
        <v>-6.8731508215786601</v>
      </c>
      <c r="G599" s="67">
        <v>3.1888482892844099</v>
      </c>
    </row>
    <row r="600" spans="1:7" x14ac:dyDescent="0.35">
      <c r="A600" s="65">
        <v>598</v>
      </c>
      <c r="B600" s="66">
        <v>-9.0936207100087092</v>
      </c>
      <c r="C600" s="66">
        <v>-7.5981723888027499</v>
      </c>
      <c r="D600" s="67">
        <v>0.45496816537595902</v>
      </c>
      <c r="E600" s="67">
        <v>-12.604006586996601</v>
      </c>
      <c r="F600" s="67">
        <v>0.67489623235409202</v>
      </c>
      <c r="G600" s="67">
        <v>-7.3667383446153503</v>
      </c>
    </row>
    <row r="601" spans="1:7" x14ac:dyDescent="0.35">
      <c r="A601" s="65">
        <v>599</v>
      </c>
      <c r="B601" s="66">
        <v>11.3154617776037</v>
      </c>
      <c r="C601" s="66">
        <v>0.39198258359337301</v>
      </c>
      <c r="D601" s="67">
        <v>0.934707247797253</v>
      </c>
      <c r="E601" s="67">
        <v>12.6342838931439</v>
      </c>
      <c r="F601" s="67">
        <v>-2.6615059550592899</v>
      </c>
      <c r="G601" s="67">
        <v>-4.7172797274031897</v>
      </c>
    </row>
    <row r="602" spans="1:7" x14ac:dyDescent="0.35">
      <c r="A602" s="65">
        <v>600</v>
      </c>
      <c r="B602" s="66">
        <v>-20.128125700784999</v>
      </c>
      <c r="C602" s="66">
        <v>-2.08436644211592</v>
      </c>
      <c r="D602" s="67">
        <v>0.38653606023208997</v>
      </c>
      <c r="E602" s="67">
        <v>-4.6775438389863</v>
      </c>
      <c r="F602" s="67">
        <v>7.6248360257868697</v>
      </c>
      <c r="G602" s="67">
        <v>3.0135213653427702</v>
      </c>
    </row>
    <row r="603" spans="1:7" x14ac:dyDescent="0.35">
      <c r="A603" s="65">
        <v>601</v>
      </c>
      <c r="B603" s="66">
        <v>3.61781901495142</v>
      </c>
      <c r="C603" s="66">
        <v>-7.0805068988637903</v>
      </c>
      <c r="D603" s="67">
        <v>0.31318751587121002</v>
      </c>
      <c r="E603" s="67">
        <v>3.2712896129754401</v>
      </c>
      <c r="F603" s="67">
        <v>3.2829399130202601</v>
      </c>
      <c r="G603" s="67">
        <v>-0.93863376349603</v>
      </c>
    </row>
    <row r="604" spans="1:7" x14ac:dyDescent="0.35">
      <c r="A604" s="65">
        <v>602</v>
      </c>
      <c r="B604" s="66">
        <v>10.616983623456401</v>
      </c>
      <c r="C604" s="66">
        <v>8.4444398772556504</v>
      </c>
      <c r="D604" s="67">
        <v>2.06134935330387</v>
      </c>
      <c r="E604" s="67">
        <v>9.6449896276685294</v>
      </c>
      <c r="F604" s="67">
        <v>16.365779228723898</v>
      </c>
      <c r="G604" s="67">
        <v>-4.52858512184444</v>
      </c>
    </row>
    <row r="605" spans="1:7" x14ac:dyDescent="0.35">
      <c r="A605" s="65">
        <v>603</v>
      </c>
      <c r="B605" s="66">
        <v>-16.647715722700202</v>
      </c>
      <c r="C605" s="66">
        <v>-0.57887461905816096</v>
      </c>
      <c r="D605" s="67">
        <v>5.08758257739626</v>
      </c>
      <c r="E605" s="67">
        <v>9.2796718249589301</v>
      </c>
      <c r="F605" s="67">
        <v>5.2076943559510802</v>
      </c>
      <c r="G605" s="67">
        <v>-6.0085288611292897</v>
      </c>
    </row>
    <row r="606" spans="1:7" x14ac:dyDescent="0.35">
      <c r="A606" s="65">
        <v>604</v>
      </c>
      <c r="B606" s="66">
        <v>-4.6888213456943504</v>
      </c>
      <c r="C606" s="66">
        <v>-6.4876347304505799</v>
      </c>
      <c r="D606" s="67">
        <v>19.433975621498998</v>
      </c>
      <c r="E606" s="67">
        <v>12.944420434539399</v>
      </c>
      <c r="F606" s="67">
        <v>7.0341050624605197</v>
      </c>
      <c r="G606" s="67">
        <v>4.06220379737697</v>
      </c>
    </row>
    <row r="607" spans="1:7" x14ac:dyDescent="0.35">
      <c r="A607" s="65">
        <v>605</v>
      </c>
      <c r="B607" s="66">
        <v>5.6519788733294103</v>
      </c>
      <c r="C607" s="66">
        <v>7.7115135059985001</v>
      </c>
      <c r="D607" s="67">
        <v>0.67886078802037897</v>
      </c>
      <c r="E607" s="67">
        <v>-20.084699867793301</v>
      </c>
      <c r="F607" s="67">
        <v>5.57255762469023</v>
      </c>
      <c r="G607" s="67">
        <v>-5.3067222488903196</v>
      </c>
    </row>
    <row r="608" spans="1:7" x14ac:dyDescent="0.35">
      <c r="A608" s="65">
        <v>606</v>
      </c>
      <c r="B608" s="66">
        <v>-5.2950346927704901</v>
      </c>
      <c r="C608" s="66">
        <v>-1.79401784937814</v>
      </c>
      <c r="D608" s="67">
        <v>0.40927895073068998</v>
      </c>
      <c r="E608" s="67">
        <v>-12.6439164994724</v>
      </c>
      <c r="F608" s="67">
        <v>-0.42514601834625798</v>
      </c>
      <c r="G608" s="67">
        <v>-4.1317525562685198E-2</v>
      </c>
    </row>
    <row r="609" spans="1:7" x14ac:dyDescent="0.35">
      <c r="A609" s="65">
        <v>607</v>
      </c>
      <c r="B609" s="66">
        <v>-2.59769112906418</v>
      </c>
      <c r="C609" s="66">
        <v>-1.97352818982152</v>
      </c>
      <c r="D609" s="67">
        <v>0.41891589956928799</v>
      </c>
      <c r="E609" s="67">
        <v>-23.757398566714802</v>
      </c>
      <c r="F609" s="67">
        <v>-2.17060444673008</v>
      </c>
      <c r="G609" s="67">
        <v>3.2855612867742701</v>
      </c>
    </row>
    <row r="610" spans="1:7" x14ac:dyDescent="0.35">
      <c r="A610" s="65">
        <v>608</v>
      </c>
      <c r="B610" s="66">
        <v>-4.5547781064832602</v>
      </c>
      <c r="C610" s="66">
        <v>2.3968190578861099</v>
      </c>
      <c r="D610" s="67">
        <v>12.496206201489001</v>
      </c>
      <c r="E610" s="67">
        <v>-1.8425533420667899</v>
      </c>
      <c r="F610" s="67">
        <v>6.0623901324704299</v>
      </c>
      <c r="G610" s="67">
        <v>2.2729503550457602</v>
      </c>
    </row>
    <row r="611" spans="1:7" x14ac:dyDescent="0.35">
      <c r="A611" s="65">
        <v>609</v>
      </c>
      <c r="B611" s="66">
        <v>-12.4533447483696</v>
      </c>
      <c r="C611" s="66">
        <v>2.1461523661855302</v>
      </c>
      <c r="D611" s="67">
        <v>4.7853556735318499</v>
      </c>
      <c r="E611" s="67">
        <v>20.995333730557999</v>
      </c>
      <c r="F611" s="67">
        <v>3.4827084315549199</v>
      </c>
      <c r="G611" s="67">
        <v>7.1374198829035702</v>
      </c>
    </row>
    <row r="612" spans="1:7" x14ac:dyDescent="0.35">
      <c r="A612" s="65">
        <v>610</v>
      </c>
      <c r="B612" s="66">
        <v>10.5108699895485</v>
      </c>
      <c r="C612" s="66">
        <v>-7.5901279632903096</v>
      </c>
      <c r="D612" s="67">
        <v>32.587710964063497</v>
      </c>
      <c r="E612" s="67">
        <v>-10.936037529853399</v>
      </c>
      <c r="F612" s="67">
        <v>-0.24428912915086101</v>
      </c>
      <c r="G612" s="67">
        <v>-2.2006959858381898</v>
      </c>
    </row>
    <row r="613" spans="1:7" x14ac:dyDescent="0.35">
      <c r="A613" s="65">
        <v>611</v>
      </c>
      <c r="B613" s="66">
        <v>-15.360314098521499</v>
      </c>
      <c r="C613" s="66">
        <v>-10.362542911163199</v>
      </c>
      <c r="D613" s="67">
        <v>3.0283325803705798</v>
      </c>
      <c r="E613" s="67">
        <v>-16.282594236759</v>
      </c>
      <c r="F613" s="67">
        <v>12.7076185450574</v>
      </c>
      <c r="G613" s="67">
        <v>9.0117181930606503</v>
      </c>
    </row>
    <row r="614" spans="1:7" x14ac:dyDescent="0.35">
      <c r="A614" s="65">
        <v>612</v>
      </c>
      <c r="B614" s="66">
        <v>-6.4654904333039198</v>
      </c>
      <c r="C614" s="66">
        <v>1.8475223838311801</v>
      </c>
      <c r="D614" s="67">
        <v>11.7352140605153</v>
      </c>
      <c r="E614" s="67">
        <v>13.7877307286397</v>
      </c>
      <c r="F614" s="67">
        <v>-19.071364238992899</v>
      </c>
      <c r="G614" s="67">
        <v>-5.29207176941871</v>
      </c>
    </row>
    <row r="615" spans="1:7" x14ac:dyDescent="0.35">
      <c r="A615" s="65">
        <v>613</v>
      </c>
      <c r="B615" s="66">
        <v>-9.4958477097198095</v>
      </c>
      <c r="C615" s="66">
        <v>0.62341931506931203</v>
      </c>
      <c r="D615" s="67">
        <v>0.51299567520295097</v>
      </c>
      <c r="E615" s="67">
        <v>-2.8865552711508098</v>
      </c>
      <c r="F615" s="67">
        <v>5.4337081387828201</v>
      </c>
      <c r="G615" s="67">
        <v>2.48964401131082</v>
      </c>
    </row>
    <row r="616" spans="1:7" x14ac:dyDescent="0.35">
      <c r="A616" s="65">
        <v>614</v>
      </c>
      <c r="B616" s="66">
        <v>-18.587736194519401</v>
      </c>
      <c r="C616" s="66">
        <v>0.49457608251402102</v>
      </c>
      <c r="D616" s="67">
        <v>4.1072023460135796</v>
      </c>
      <c r="E616" s="67">
        <v>-15.470580318883901</v>
      </c>
      <c r="F616" s="67">
        <v>-4.0931169421544098</v>
      </c>
      <c r="G616" s="67">
        <v>-5.4135568294738396</v>
      </c>
    </row>
    <row r="617" spans="1:7" x14ac:dyDescent="0.35">
      <c r="A617" s="65">
        <v>615</v>
      </c>
      <c r="B617" s="66">
        <v>-7.25614549374896</v>
      </c>
      <c r="C617" s="66">
        <v>-1.1518367505754701</v>
      </c>
      <c r="D617" s="67">
        <v>13.8449189884356</v>
      </c>
      <c r="E617" s="67">
        <v>-4.0158833471380797</v>
      </c>
      <c r="F617" s="67">
        <v>13.209277468555401</v>
      </c>
      <c r="G617" s="67">
        <v>2.9161401354325198</v>
      </c>
    </row>
    <row r="618" spans="1:7" x14ac:dyDescent="0.35">
      <c r="A618" s="65">
        <v>616</v>
      </c>
      <c r="B618" s="66">
        <v>6.9131187724647196</v>
      </c>
      <c r="C618" s="66">
        <v>-11.3725773524367</v>
      </c>
      <c r="D618" s="67">
        <v>2.5854348204886399</v>
      </c>
      <c r="E618" s="67">
        <v>-11.437340238918299</v>
      </c>
      <c r="F618" s="67">
        <v>-2.1347290901546701</v>
      </c>
      <c r="G618" s="67">
        <v>-2.4168137833196002</v>
      </c>
    </row>
    <row r="619" spans="1:7" x14ac:dyDescent="0.35">
      <c r="A619" s="65">
        <v>617</v>
      </c>
      <c r="B619" s="66">
        <v>-0.90941193470980897</v>
      </c>
      <c r="C619" s="66">
        <v>2.05148403974944</v>
      </c>
      <c r="D619" s="67">
        <v>0.46760333517657798</v>
      </c>
      <c r="E619" s="67">
        <v>28.644041869124301</v>
      </c>
      <c r="F619" s="67">
        <v>-13.7226312204034</v>
      </c>
      <c r="G619" s="67">
        <v>14.432380569351301</v>
      </c>
    </row>
    <row r="620" spans="1:7" x14ac:dyDescent="0.35">
      <c r="A620" s="65">
        <v>618</v>
      </c>
      <c r="B620" s="66">
        <v>-10.145593817326001</v>
      </c>
      <c r="C620" s="66">
        <v>-5.7366263059178104</v>
      </c>
      <c r="D620" s="67">
        <v>5.1586376741868802</v>
      </c>
      <c r="E620" s="67">
        <v>16.6040743438157</v>
      </c>
      <c r="F620" s="67">
        <v>1.2064002867498301E-3</v>
      </c>
      <c r="G620" s="67">
        <v>-6.2170893759909696</v>
      </c>
    </row>
    <row r="621" spans="1:7" x14ac:dyDescent="0.35">
      <c r="A621" s="65">
        <v>619</v>
      </c>
      <c r="B621" s="66">
        <v>8.1749652788918006</v>
      </c>
      <c r="C621" s="66">
        <v>-2.2741599939042998</v>
      </c>
      <c r="D621" s="67">
        <v>4.6864343007553497</v>
      </c>
      <c r="E621" s="67">
        <v>-7.6765861936943702</v>
      </c>
      <c r="F621" s="67">
        <v>11.4885763623282</v>
      </c>
      <c r="G621" s="67">
        <v>-5.3867297020779299</v>
      </c>
    </row>
    <row r="622" spans="1:7" x14ac:dyDescent="0.35">
      <c r="A622" s="65">
        <v>620</v>
      </c>
      <c r="B622" s="66">
        <v>7.9238632543188503</v>
      </c>
      <c r="C622" s="66">
        <v>0.54123077119232899</v>
      </c>
      <c r="D622" s="67">
        <v>1.7894199042457499</v>
      </c>
      <c r="E622" s="67">
        <v>1.86941134607966</v>
      </c>
      <c r="F622" s="67">
        <v>1.37462752332945</v>
      </c>
      <c r="G622" s="67">
        <v>1.15628410023239</v>
      </c>
    </row>
    <row r="623" spans="1:7" x14ac:dyDescent="0.35">
      <c r="A623" s="65">
        <v>621</v>
      </c>
      <c r="B623" s="66">
        <v>-17.293399879778701</v>
      </c>
      <c r="C623" s="66">
        <v>-5.21814586476812</v>
      </c>
      <c r="D623" s="67">
        <v>7.1900772927807504</v>
      </c>
      <c r="E623" s="67">
        <v>-8.9694907900106706</v>
      </c>
      <c r="F623" s="67">
        <v>7.8723251029382899</v>
      </c>
      <c r="G623" s="67">
        <v>3.0659050456800201</v>
      </c>
    </row>
    <row r="624" spans="1:7" x14ac:dyDescent="0.35">
      <c r="A624" s="65">
        <v>622</v>
      </c>
      <c r="B624" s="66">
        <v>-5.4268524562299802</v>
      </c>
      <c r="C624" s="66">
        <v>-0.79799863435959295</v>
      </c>
      <c r="D624" s="67">
        <v>8.6951423491685205</v>
      </c>
      <c r="E624" s="67">
        <v>-31.202575081884799</v>
      </c>
      <c r="F624" s="67">
        <v>4.3064517276987697</v>
      </c>
      <c r="G624" s="67">
        <v>-10.1276694098151</v>
      </c>
    </row>
    <row r="625" spans="1:7" x14ac:dyDescent="0.35">
      <c r="A625" s="65">
        <v>623</v>
      </c>
      <c r="B625" s="66">
        <v>-0.33081383584880603</v>
      </c>
      <c r="C625" s="66">
        <v>0.78939351034334404</v>
      </c>
      <c r="D625" s="67">
        <v>18.426229943893599</v>
      </c>
      <c r="E625" s="67">
        <v>-5.88664608789224</v>
      </c>
      <c r="F625" s="67">
        <v>10.7754634788265</v>
      </c>
      <c r="G625" s="67">
        <v>-5.9154054946186099</v>
      </c>
    </row>
    <row r="626" spans="1:7" x14ac:dyDescent="0.35">
      <c r="A626" s="65">
        <v>624</v>
      </c>
      <c r="B626" s="66">
        <v>-5.26779558776086</v>
      </c>
      <c r="C626" s="66">
        <v>7.16881013278996</v>
      </c>
      <c r="D626" s="67">
        <v>0.976664952382017</v>
      </c>
      <c r="E626" s="67">
        <v>10.757532911897799</v>
      </c>
      <c r="F626" s="67">
        <v>21.0019251114973</v>
      </c>
      <c r="G626" s="67">
        <v>9.6473371909617693</v>
      </c>
    </row>
    <row r="627" spans="1:7" x14ac:dyDescent="0.35">
      <c r="A627" s="65">
        <v>625</v>
      </c>
      <c r="B627" s="66">
        <v>-9.6847787795523796</v>
      </c>
      <c r="C627" s="66">
        <v>3.0622332773630498</v>
      </c>
      <c r="D627" s="67">
        <v>6.3715776291922603</v>
      </c>
      <c r="E627" s="67">
        <v>-11.2975496916394</v>
      </c>
      <c r="F627" s="67">
        <v>-2.8134694465516099</v>
      </c>
      <c r="G627" s="67">
        <v>-0.37735897376315702</v>
      </c>
    </row>
    <row r="628" spans="1:7" x14ac:dyDescent="0.35">
      <c r="A628" s="65">
        <v>626</v>
      </c>
      <c r="B628" s="66">
        <v>3.1590964818055198</v>
      </c>
      <c r="C628" s="66">
        <v>-2.1991802698762002</v>
      </c>
      <c r="D628" s="67">
        <v>1.2130268374212301</v>
      </c>
      <c r="E628" s="67">
        <v>6.1161295172158496</v>
      </c>
      <c r="F628" s="67">
        <v>-6.3956430712288102</v>
      </c>
      <c r="G628" s="67">
        <v>5.5105254630034999</v>
      </c>
    </row>
    <row r="629" spans="1:7" x14ac:dyDescent="0.35">
      <c r="A629" s="65">
        <v>627</v>
      </c>
      <c r="B629" s="66">
        <v>-2.0269419122210199</v>
      </c>
      <c r="C629" s="66">
        <v>-5.3289275399090403</v>
      </c>
      <c r="D629" s="67">
        <v>8.8310357590283495</v>
      </c>
      <c r="E629" s="67">
        <v>7.7879235146433601</v>
      </c>
      <c r="F629" s="67">
        <v>8.6557225355615994</v>
      </c>
      <c r="G629" s="67">
        <v>4.5561540284533697</v>
      </c>
    </row>
    <row r="630" spans="1:7" x14ac:dyDescent="0.35">
      <c r="A630" s="65">
        <v>628</v>
      </c>
      <c r="B630" s="66">
        <v>-7.8026377404329601</v>
      </c>
      <c r="C630" s="66">
        <v>-1.59357440229471</v>
      </c>
      <c r="D630" s="67">
        <v>6.8795955635375998</v>
      </c>
      <c r="E630" s="67">
        <v>10.923535794751499</v>
      </c>
      <c r="F630" s="67">
        <v>8.1110610147909092</v>
      </c>
      <c r="G630" s="67">
        <v>4.3002615910123003</v>
      </c>
    </row>
    <row r="631" spans="1:7" x14ac:dyDescent="0.35">
      <c r="A631" s="65">
        <v>629</v>
      </c>
      <c r="B631" s="66">
        <v>-0.67121096926911195</v>
      </c>
      <c r="C631" s="66">
        <v>-7.0677192787581298</v>
      </c>
      <c r="D631" s="67">
        <v>0.69866478026848899</v>
      </c>
      <c r="E631" s="67">
        <v>19.209213041033401</v>
      </c>
      <c r="F631" s="67">
        <v>21.372005825906299</v>
      </c>
      <c r="G631" s="67">
        <v>-6.2426912814848601</v>
      </c>
    </row>
    <row r="632" spans="1:7" x14ac:dyDescent="0.35">
      <c r="A632" s="65">
        <v>630</v>
      </c>
      <c r="B632" s="66">
        <v>14.020434396856301</v>
      </c>
      <c r="C632" s="66">
        <v>-2.7551015113389798</v>
      </c>
      <c r="D632" s="67">
        <v>2.3945712838236601</v>
      </c>
      <c r="E632" s="67">
        <v>28.6972765249504</v>
      </c>
      <c r="F632" s="67">
        <v>14.6220228765289</v>
      </c>
      <c r="G632" s="67">
        <v>6.84869752140927</v>
      </c>
    </row>
    <row r="633" spans="1:7" x14ac:dyDescent="0.35">
      <c r="A633" s="65">
        <v>631</v>
      </c>
      <c r="B633" s="66">
        <v>-14.676215142669699</v>
      </c>
      <c r="C633" s="66">
        <v>-2.2638764986086302</v>
      </c>
      <c r="D633" s="67">
        <v>7.2512977292540297</v>
      </c>
      <c r="E633" s="67">
        <v>-8.3763366320067405</v>
      </c>
      <c r="F633" s="67">
        <v>14.0154929911442</v>
      </c>
      <c r="G633" s="67">
        <v>-1.07995188500199</v>
      </c>
    </row>
    <row r="634" spans="1:7" x14ac:dyDescent="0.35">
      <c r="A634" s="65">
        <v>632</v>
      </c>
      <c r="B634" s="66">
        <v>-2.7188266085225599</v>
      </c>
      <c r="C634" s="66">
        <v>5.21466276559108</v>
      </c>
      <c r="D634" s="67">
        <v>0.35677187197399901</v>
      </c>
      <c r="E634" s="67">
        <v>26.274358500863201</v>
      </c>
      <c r="F634" s="67">
        <v>1.77002386038698</v>
      </c>
      <c r="G634" s="67">
        <v>-2.3109069026764</v>
      </c>
    </row>
    <row r="635" spans="1:7" x14ac:dyDescent="0.35">
      <c r="A635" s="65">
        <v>633</v>
      </c>
      <c r="B635" s="66">
        <v>13.835349403359499</v>
      </c>
      <c r="C635" s="66">
        <v>-4.0623166053177702</v>
      </c>
      <c r="D635" s="67">
        <v>4.6327639616860399</v>
      </c>
      <c r="E635" s="67">
        <v>9.7795341638762103</v>
      </c>
      <c r="F635" s="67">
        <v>6.2613467004908703</v>
      </c>
      <c r="G635" s="67">
        <v>-2.0354942943746601</v>
      </c>
    </row>
    <row r="636" spans="1:7" x14ac:dyDescent="0.35">
      <c r="A636" s="65">
        <v>634</v>
      </c>
      <c r="B636" s="66">
        <v>-1.19373088029692</v>
      </c>
      <c r="C636" s="66">
        <v>-0.67802460079131099</v>
      </c>
      <c r="D636" s="67">
        <v>3.07396662222498</v>
      </c>
      <c r="E636" s="67">
        <v>-7.2791250642803504</v>
      </c>
      <c r="F636" s="67">
        <v>-8.1577799961873705</v>
      </c>
      <c r="G636" s="67">
        <v>13.083560000439</v>
      </c>
    </row>
    <row r="637" spans="1:7" x14ac:dyDescent="0.35">
      <c r="A637" s="65">
        <v>635</v>
      </c>
      <c r="B637" s="66">
        <v>7.27506470426815</v>
      </c>
      <c r="C637" s="66">
        <v>3.9404811206047401</v>
      </c>
      <c r="D637" s="67">
        <v>3.7615986788496998</v>
      </c>
      <c r="E637" s="67">
        <v>-19.1701316124269</v>
      </c>
      <c r="F637" s="67">
        <v>0.52259573921072999</v>
      </c>
      <c r="G637" s="67">
        <v>-3.03716133041942</v>
      </c>
    </row>
    <row r="638" spans="1:7" x14ac:dyDescent="0.35">
      <c r="A638" s="65">
        <v>636</v>
      </c>
      <c r="B638" s="66">
        <v>-15.723654709369701</v>
      </c>
      <c r="C638" s="66">
        <v>11.575401820088</v>
      </c>
      <c r="D638" s="67">
        <v>1.9931704692433401</v>
      </c>
      <c r="E638" s="67">
        <v>-3.3084980103830799</v>
      </c>
      <c r="F638" s="67">
        <v>-6.4084352531180704</v>
      </c>
      <c r="G638" s="67">
        <v>0.45727164110500801</v>
      </c>
    </row>
    <row r="639" spans="1:7" x14ac:dyDescent="0.35">
      <c r="A639" s="65">
        <v>637</v>
      </c>
      <c r="B639" s="66">
        <v>-13.1442509013264</v>
      </c>
      <c r="C639" s="66">
        <v>-3.5681131508192498</v>
      </c>
      <c r="D639" s="67">
        <v>0.137019736742021</v>
      </c>
      <c r="E639" s="67">
        <v>-11.7928352831638</v>
      </c>
      <c r="F639" s="67">
        <v>2.92774991817326</v>
      </c>
      <c r="G639" s="67">
        <v>2.5400227300977898</v>
      </c>
    </row>
    <row r="640" spans="1:7" x14ac:dyDescent="0.35">
      <c r="A640" s="65">
        <v>638</v>
      </c>
      <c r="B640" s="66">
        <v>-8.1926235963530907</v>
      </c>
      <c r="C640" s="66">
        <v>6.4546439956690103</v>
      </c>
      <c r="D640" s="67">
        <v>4.3511075606087699</v>
      </c>
      <c r="E640" s="67">
        <v>-3.0879457179749599</v>
      </c>
      <c r="F640" s="67">
        <v>12.0681741630708</v>
      </c>
      <c r="G640" s="67">
        <v>-6.2638042586807199</v>
      </c>
    </row>
    <row r="641" spans="1:7" x14ac:dyDescent="0.35">
      <c r="A641" s="65">
        <v>639</v>
      </c>
      <c r="B641" s="66">
        <v>9.9998860079361993</v>
      </c>
      <c r="C641" s="66">
        <v>-4.0287290858089602</v>
      </c>
      <c r="D641" s="67">
        <v>10.215980785047201</v>
      </c>
      <c r="E641" s="67">
        <v>-8.2953046284011993</v>
      </c>
      <c r="F641" s="67">
        <v>-25.195792918274599</v>
      </c>
      <c r="G641" s="67">
        <v>-12.6427493143294</v>
      </c>
    </row>
    <row r="642" spans="1:7" x14ac:dyDescent="0.35">
      <c r="A642" s="65">
        <v>640</v>
      </c>
      <c r="B642" s="66">
        <v>-2.0251921792864298</v>
      </c>
      <c r="C642" s="66">
        <v>-5.1556691746962899</v>
      </c>
      <c r="D642" s="67">
        <v>6.4573816800691297</v>
      </c>
      <c r="E642" s="67">
        <v>4.8128511656974897</v>
      </c>
      <c r="F642" s="67">
        <v>1.56142240549238</v>
      </c>
      <c r="G642" s="67">
        <v>-16.929410754078901</v>
      </c>
    </row>
    <row r="643" spans="1:7" x14ac:dyDescent="0.35">
      <c r="A643" s="65">
        <v>641</v>
      </c>
      <c r="B643" s="66">
        <v>-2.4250474860819602</v>
      </c>
      <c r="C643" s="66">
        <v>-9.5160301600947008</v>
      </c>
      <c r="D643" s="67">
        <v>0.64573216213793905</v>
      </c>
      <c r="E643" s="67">
        <v>4.6051018223576001</v>
      </c>
      <c r="F643" s="67">
        <v>7.59409925381423</v>
      </c>
      <c r="G643" s="67">
        <v>-1.6151065683346399</v>
      </c>
    </row>
    <row r="644" spans="1:7" x14ac:dyDescent="0.35">
      <c r="A644" s="65">
        <v>642</v>
      </c>
      <c r="B644" s="66">
        <v>-22.337298439805</v>
      </c>
      <c r="C644" s="66">
        <v>-1.0448127707020101</v>
      </c>
      <c r="D644" s="67">
        <v>4.6980466044125899</v>
      </c>
      <c r="E644" s="67">
        <v>-7.5308862450124101</v>
      </c>
      <c r="F644" s="67">
        <v>-3.7714216220171002</v>
      </c>
      <c r="G644" s="67">
        <v>1.13506336107338</v>
      </c>
    </row>
    <row r="645" spans="1:7" x14ac:dyDescent="0.35">
      <c r="A645" s="65">
        <v>643</v>
      </c>
      <c r="B645" s="66">
        <v>-6.9280724458856602</v>
      </c>
      <c r="C645" s="66">
        <v>2.7566887851594499</v>
      </c>
      <c r="D645" s="67">
        <v>7.6860026729086703</v>
      </c>
      <c r="E645" s="67">
        <v>12.9396642299983</v>
      </c>
      <c r="F645" s="67">
        <v>-6.5103641880737104</v>
      </c>
      <c r="G645" s="67">
        <v>-4.8175035618736803</v>
      </c>
    </row>
    <row r="646" spans="1:7" x14ac:dyDescent="0.35">
      <c r="A646" s="65">
        <v>644</v>
      </c>
      <c r="B646" s="66">
        <v>-9.1638477267443008</v>
      </c>
      <c r="C646" s="66">
        <v>5.2622213947073799</v>
      </c>
      <c r="D646" s="67">
        <v>1.4820469037912101</v>
      </c>
      <c r="E646" s="67">
        <v>3.87128448154448</v>
      </c>
      <c r="F646" s="67">
        <v>-2.0411515540480401</v>
      </c>
      <c r="G646" s="67">
        <v>7.2060267674045502</v>
      </c>
    </row>
    <row r="647" spans="1:7" x14ac:dyDescent="0.35">
      <c r="A647" s="65">
        <v>645</v>
      </c>
      <c r="B647" s="66">
        <v>-1.1175408134512801</v>
      </c>
      <c r="C647" s="66">
        <v>3.4953524312000099</v>
      </c>
      <c r="D647" s="67">
        <v>2.8773690385718602</v>
      </c>
      <c r="E647" s="67">
        <v>-23.2703129789946</v>
      </c>
      <c r="F647" s="67">
        <v>-7.1228600752005198</v>
      </c>
      <c r="G647" s="67">
        <v>9.9526504544309304</v>
      </c>
    </row>
    <row r="648" spans="1:7" x14ac:dyDescent="0.35">
      <c r="A648" s="65">
        <v>646</v>
      </c>
      <c r="B648" s="66">
        <v>2.1679601363994299</v>
      </c>
      <c r="C648" s="66">
        <v>2.1672297824194899</v>
      </c>
      <c r="D648" s="67">
        <v>5.4520232676013203</v>
      </c>
      <c r="E648" s="67">
        <v>3.4365297858055701</v>
      </c>
      <c r="F648" s="67">
        <v>11.3363317117619</v>
      </c>
      <c r="G648" s="67">
        <v>4.9638211750845098</v>
      </c>
    </row>
    <row r="649" spans="1:7" x14ac:dyDescent="0.35">
      <c r="A649" s="65">
        <v>647</v>
      </c>
      <c r="B649" s="66">
        <v>-14.4511208520669</v>
      </c>
      <c r="C649" s="66">
        <v>-5.6311302252667597</v>
      </c>
      <c r="D649" s="67">
        <v>7.7464345125732299</v>
      </c>
      <c r="E649" s="67">
        <v>-3.58540122547288</v>
      </c>
      <c r="F649" s="67">
        <v>-13.6115348498725</v>
      </c>
      <c r="G649" s="67">
        <v>11.4130492640124</v>
      </c>
    </row>
    <row r="650" spans="1:7" x14ac:dyDescent="0.35">
      <c r="A650" s="65">
        <v>648</v>
      </c>
      <c r="B650" s="66">
        <v>1.36082050804302</v>
      </c>
      <c r="C650" s="66">
        <v>-1.32686353457801</v>
      </c>
      <c r="D650" s="67">
        <v>1.6079385936500601</v>
      </c>
      <c r="E650" s="67">
        <v>6.22838760287366</v>
      </c>
      <c r="F650" s="67">
        <v>3.7111457808864601</v>
      </c>
      <c r="G650" s="67">
        <v>1.1907371403837099</v>
      </c>
    </row>
    <row r="651" spans="1:7" x14ac:dyDescent="0.35">
      <c r="A651" s="65">
        <v>649</v>
      </c>
      <c r="B651" s="66">
        <v>-11.885996166283499</v>
      </c>
      <c r="C651" s="66">
        <v>-1.60111556267444</v>
      </c>
      <c r="D651" s="67">
        <v>5.5878527191234397</v>
      </c>
      <c r="E651" s="67">
        <v>18.034835426673201</v>
      </c>
      <c r="F651" s="67">
        <v>-11.049415648141499</v>
      </c>
      <c r="G651" s="67">
        <v>-2.22543956325437</v>
      </c>
    </row>
    <row r="652" spans="1:7" x14ac:dyDescent="0.35">
      <c r="A652" s="65">
        <v>650</v>
      </c>
      <c r="B652" s="66">
        <v>-7.6682598185869901</v>
      </c>
      <c r="C652" s="66">
        <v>-0.50855514258993195</v>
      </c>
      <c r="D652" s="67">
        <v>10.678462321025499</v>
      </c>
      <c r="E652" s="67">
        <v>-12.3735608704621</v>
      </c>
      <c r="F652" s="67">
        <v>-15.3439080567722</v>
      </c>
      <c r="G652" s="67">
        <v>11.6360892013882</v>
      </c>
    </row>
    <row r="653" spans="1:7" x14ac:dyDescent="0.35">
      <c r="A653" s="65">
        <v>651</v>
      </c>
      <c r="B653" s="66">
        <v>-10.784823755403799</v>
      </c>
      <c r="C653" s="66">
        <v>8.7902037213913804</v>
      </c>
      <c r="D653" s="67">
        <v>3.47025206431432</v>
      </c>
      <c r="E653" s="67">
        <v>-7.5143781400907699</v>
      </c>
      <c r="F653" s="67">
        <v>5.1427887163619497</v>
      </c>
      <c r="G653" s="67">
        <v>5.3419626318736801</v>
      </c>
    </row>
    <row r="654" spans="1:7" x14ac:dyDescent="0.35">
      <c r="A654" s="65">
        <v>652</v>
      </c>
      <c r="B654" s="66">
        <v>-5.3515938521200397</v>
      </c>
      <c r="C654" s="66">
        <v>7.9308042210332896</v>
      </c>
      <c r="D654" s="67">
        <v>7.4990267407336599</v>
      </c>
      <c r="E654" s="67">
        <v>3.5275318951116699</v>
      </c>
      <c r="F654" s="67">
        <v>0.308153840441106</v>
      </c>
      <c r="G654" s="67">
        <v>-2.7962049011314498</v>
      </c>
    </row>
    <row r="655" spans="1:7" x14ac:dyDescent="0.35">
      <c r="A655" s="65">
        <v>653</v>
      </c>
      <c r="B655" s="66">
        <v>-10.9037804249591</v>
      </c>
      <c r="C655" s="66">
        <v>-1.7529608746157499</v>
      </c>
      <c r="D655" s="67">
        <v>1.05486705229405</v>
      </c>
      <c r="E655" s="67">
        <v>9.3493451466315101</v>
      </c>
      <c r="F655" s="67">
        <v>13.587321254331</v>
      </c>
      <c r="G655" s="67">
        <v>8.1396315822582093</v>
      </c>
    </row>
    <row r="656" spans="1:7" x14ac:dyDescent="0.35">
      <c r="A656" s="65">
        <v>654</v>
      </c>
      <c r="B656" s="66">
        <v>-13.008975318507201</v>
      </c>
      <c r="C656" s="66">
        <v>-0.62948930869534003</v>
      </c>
      <c r="D656" s="67">
        <v>16.428184204549499</v>
      </c>
      <c r="E656" s="67">
        <v>-28.938676223260199</v>
      </c>
      <c r="F656" s="67">
        <v>8.7031495388864393</v>
      </c>
      <c r="G656" s="67">
        <v>1.3609406281443199</v>
      </c>
    </row>
    <row r="657" spans="1:7" x14ac:dyDescent="0.35">
      <c r="A657" s="65">
        <v>655</v>
      </c>
      <c r="B657" s="66">
        <v>-0.94275030851633501</v>
      </c>
      <c r="C657" s="66">
        <v>3.86698397444792</v>
      </c>
      <c r="D657" s="67">
        <v>2.4141583079839899</v>
      </c>
      <c r="E657" s="67">
        <v>-2.4299453506305002</v>
      </c>
      <c r="F657" s="67">
        <v>-7.4964349998611199</v>
      </c>
      <c r="G657" s="67">
        <v>4.4097618646517196</v>
      </c>
    </row>
    <row r="658" spans="1:7" x14ac:dyDescent="0.35">
      <c r="A658" s="65">
        <v>656</v>
      </c>
      <c r="B658" s="66">
        <v>4.9653437140069396</v>
      </c>
      <c r="C658" s="66">
        <v>8.5681456905364097</v>
      </c>
      <c r="D658" s="67">
        <v>5.1483842309942904</v>
      </c>
      <c r="E658" s="67">
        <v>-18.6193878607546</v>
      </c>
      <c r="F658" s="67">
        <v>-4.0702292947041796</v>
      </c>
      <c r="G658" s="67">
        <v>8.3244032083151398E-2</v>
      </c>
    </row>
    <row r="659" spans="1:7" x14ac:dyDescent="0.35">
      <c r="A659" s="65">
        <v>657</v>
      </c>
      <c r="B659" s="66">
        <v>-10.197099922190599</v>
      </c>
      <c r="C659" s="66">
        <v>-4.0168782053202801</v>
      </c>
      <c r="D659" s="67">
        <v>8.7023479446785004</v>
      </c>
      <c r="E659" s="67">
        <v>9.7395872793151401</v>
      </c>
      <c r="F659" s="67">
        <v>-3.0803139910908701</v>
      </c>
      <c r="G659" s="67">
        <v>3.1476543825448902</v>
      </c>
    </row>
    <row r="660" spans="1:7" x14ac:dyDescent="0.35">
      <c r="A660" s="65">
        <v>658</v>
      </c>
      <c r="B660" s="66">
        <v>6.9611976923975698</v>
      </c>
      <c r="C660" s="66">
        <v>-4.70818554238536</v>
      </c>
      <c r="D660" s="67">
        <v>2.7701038204867401</v>
      </c>
      <c r="E660" s="67">
        <v>-23.466883505502899</v>
      </c>
      <c r="F660" s="67">
        <v>-6.0962049350609204</v>
      </c>
      <c r="G660" s="67">
        <v>9.5495926741004098</v>
      </c>
    </row>
    <row r="661" spans="1:7" x14ac:dyDescent="0.35">
      <c r="A661" s="65">
        <v>659</v>
      </c>
      <c r="B661" s="66">
        <v>-16.2166164971018</v>
      </c>
      <c r="C661" s="66">
        <v>-1.6868673401560901</v>
      </c>
      <c r="D661" s="67">
        <v>1.6599471711228899</v>
      </c>
      <c r="E661" s="67">
        <v>16.960483953353101</v>
      </c>
      <c r="F661" s="67">
        <v>3.6634466627488802</v>
      </c>
      <c r="G661" s="67">
        <v>2.7651636257422498</v>
      </c>
    </row>
    <row r="662" spans="1:7" x14ac:dyDescent="0.35">
      <c r="A662" s="65">
        <v>660</v>
      </c>
      <c r="B662" s="66">
        <v>16.079940167300499</v>
      </c>
      <c r="C662" s="66">
        <v>0.92285380834325503</v>
      </c>
      <c r="D662" s="67">
        <v>1.1939945242094401</v>
      </c>
      <c r="E662" s="67">
        <v>17.524903747737799</v>
      </c>
      <c r="F662" s="67">
        <v>5.58834643903384</v>
      </c>
      <c r="G662" s="67">
        <v>-3.52435941841838</v>
      </c>
    </row>
    <row r="663" spans="1:7" x14ac:dyDescent="0.35">
      <c r="A663" s="65">
        <v>661</v>
      </c>
      <c r="B663" s="66">
        <v>-7.6085259519070796</v>
      </c>
      <c r="C663" s="66">
        <v>-5.4756094869838696</v>
      </c>
      <c r="D663" s="67">
        <v>8.5221483977966095</v>
      </c>
      <c r="E663" s="67">
        <v>2.2730657000432402</v>
      </c>
      <c r="F663" s="67">
        <v>-15.2652356867924</v>
      </c>
      <c r="G663" s="67">
        <v>-0.38567982639582599</v>
      </c>
    </row>
    <row r="664" spans="1:7" x14ac:dyDescent="0.35">
      <c r="A664" s="65">
        <v>662</v>
      </c>
      <c r="B664" s="66">
        <v>0.64905993409702301</v>
      </c>
      <c r="C664" s="66">
        <v>-1.37660852105658E-2</v>
      </c>
      <c r="D664" s="67">
        <v>0.46010102059779301</v>
      </c>
      <c r="E664" s="67">
        <v>26.976527679560899</v>
      </c>
      <c r="F664" s="67">
        <v>-5.0388018541940403</v>
      </c>
      <c r="G664" s="67">
        <v>10.7704313675608</v>
      </c>
    </row>
    <row r="665" spans="1:7" x14ac:dyDescent="0.35">
      <c r="A665" s="65">
        <v>663</v>
      </c>
      <c r="B665" s="66">
        <v>5.3254243904148799</v>
      </c>
      <c r="C665" s="66">
        <v>-1.9931201177929301</v>
      </c>
      <c r="D665" s="67">
        <v>0.122675653575648</v>
      </c>
      <c r="E665" s="67">
        <v>-2.7845884588771201</v>
      </c>
      <c r="F665" s="67">
        <v>2.68654553914164</v>
      </c>
      <c r="G665" s="67">
        <v>-1.7811574718016201</v>
      </c>
    </row>
    <row r="666" spans="1:7" x14ac:dyDescent="0.35">
      <c r="A666" s="65">
        <v>664</v>
      </c>
      <c r="B666" s="66">
        <v>-0.49364831884461902</v>
      </c>
      <c r="C666" s="66">
        <v>-3.1336131404856902</v>
      </c>
      <c r="D666" s="67">
        <v>0.854420661032818</v>
      </c>
      <c r="E666" s="67">
        <v>18.0652173559949</v>
      </c>
      <c r="F666" s="67">
        <v>-10.1494259707507</v>
      </c>
      <c r="G666" s="67">
        <v>6.2998642812862604</v>
      </c>
    </row>
    <row r="667" spans="1:7" x14ac:dyDescent="0.35">
      <c r="A667" s="65">
        <v>665</v>
      </c>
      <c r="B667" s="66">
        <v>-0.197326153467066</v>
      </c>
      <c r="C667" s="66">
        <v>7.9490069015319698</v>
      </c>
      <c r="D667" s="67">
        <v>11.5082518098829</v>
      </c>
      <c r="E667" s="67">
        <v>9.7400184712182494</v>
      </c>
      <c r="F667" s="67">
        <v>10.6098323200792</v>
      </c>
      <c r="G667" s="67">
        <v>-6.2108537307877798</v>
      </c>
    </row>
    <row r="668" spans="1:7" x14ac:dyDescent="0.35">
      <c r="A668" s="65">
        <v>666</v>
      </c>
      <c r="B668" s="66">
        <v>5.4462268727827601</v>
      </c>
      <c r="C668" s="66">
        <v>1.73108778737761</v>
      </c>
      <c r="D668" s="67">
        <v>3.10302016682052</v>
      </c>
      <c r="E668" s="67">
        <v>11.1984619241349</v>
      </c>
      <c r="F668" s="67">
        <v>-3.2527363952696402</v>
      </c>
      <c r="G668" s="67">
        <v>9.2104600151813507</v>
      </c>
    </row>
    <row r="669" spans="1:7" x14ac:dyDescent="0.35">
      <c r="A669" s="65">
        <v>667</v>
      </c>
      <c r="B669" s="66">
        <v>1.3294525419253</v>
      </c>
      <c r="C669" s="66">
        <v>-1.8647700838730401</v>
      </c>
      <c r="D669" s="67">
        <v>0.62189716664378603</v>
      </c>
      <c r="E669" s="67">
        <v>1.54556306237511</v>
      </c>
      <c r="F669" s="67">
        <v>-9.3280060852342501</v>
      </c>
      <c r="G669" s="67">
        <v>3.7264966778984299</v>
      </c>
    </row>
    <row r="670" spans="1:7" x14ac:dyDescent="0.35">
      <c r="A670" s="65">
        <v>668</v>
      </c>
      <c r="B670" s="66">
        <v>-4.4336927905064298</v>
      </c>
      <c r="C670" s="66">
        <v>-0.45927002759013602</v>
      </c>
      <c r="D670" s="67">
        <v>0.584857568743131</v>
      </c>
      <c r="E670" s="67">
        <v>12.3733635088608</v>
      </c>
      <c r="F670" s="67">
        <v>-7.5519682206447598</v>
      </c>
      <c r="G670" s="67">
        <v>-1.0292209924175999</v>
      </c>
    </row>
    <row r="671" spans="1:7" x14ac:dyDescent="0.35">
      <c r="A671" s="65">
        <v>669</v>
      </c>
      <c r="B671" s="66">
        <v>-4.1931154963625099</v>
      </c>
      <c r="C671" s="66">
        <v>-3.62939372405028</v>
      </c>
      <c r="D671" s="67">
        <v>1.25611109407976</v>
      </c>
      <c r="E671" s="67">
        <v>-18.195437041847299</v>
      </c>
      <c r="F671" s="67">
        <v>-7.4595073830729604</v>
      </c>
      <c r="G671" s="67">
        <v>4.5604201761694103</v>
      </c>
    </row>
    <row r="672" spans="1:7" x14ac:dyDescent="0.35">
      <c r="A672" s="65">
        <v>670</v>
      </c>
      <c r="B672" s="66">
        <v>10.678349236092799</v>
      </c>
      <c r="C672" s="66">
        <v>-3.4627273376852599</v>
      </c>
      <c r="D672" s="67">
        <v>0.55469199953555604</v>
      </c>
      <c r="E672" s="67">
        <v>11.7703530847709</v>
      </c>
      <c r="F672" s="67">
        <v>-9.1426017861642208</v>
      </c>
      <c r="G672" s="67">
        <v>7.6690414884485696</v>
      </c>
    </row>
    <row r="673" spans="1:7" x14ac:dyDescent="0.35">
      <c r="A673" s="65">
        <v>671</v>
      </c>
      <c r="B673" s="66">
        <v>9.1969998705031593</v>
      </c>
      <c r="C673" s="66">
        <v>-6.9183779957729703</v>
      </c>
      <c r="D673" s="67">
        <v>14.7978694359843</v>
      </c>
      <c r="E673" s="67">
        <v>-5.0949417355160396</v>
      </c>
      <c r="F673" s="67">
        <v>-18.804669632744599</v>
      </c>
      <c r="G673" s="67">
        <v>3.9328816155842201</v>
      </c>
    </row>
    <row r="674" spans="1:7" x14ac:dyDescent="0.35">
      <c r="A674" s="65">
        <v>672</v>
      </c>
      <c r="B674" s="66">
        <v>-7.9445434198600502</v>
      </c>
      <c r="C674" s="66">
        <v>1.31592840869784</v>
      </c>
      <c r="D674" s="67">
        <v>12.4013387182389</v>
      </c>
      <c r="E674" s="67">
        <v>-4.1478160089695004</v>
      </c>
      <c r="F674" s="67">
        <v>3.9572344762253402</v>
      </c>
      <c r="G674" s="67">
        <v>4.1364870119603596</v>
      </c>
    </row>
    <row r="675" spans="1:7" x14ac:dyDescent="0.35">
      <c r="A675" s="65">
        <v>673</v>
      </c>
      <c r="B675" s="66">
        <v>-7.9478631297416102</v>
      </c>
      <c r="C675" s="66">
        <v>-8.0611303039702307</v>
      </c>
      <c r="D675" s="67">
        <v>0.27813041551770101</v>
      </c>
      <c r="E675" s="67">
        <v>11.477447361406099</v>
      </c>
      <c r="F675" s="67">
        <v>-4.9082295614269604</v>
      </c>
      <c r="G675" s="67">
        <v>-5.9326416644375097</v>
      </c>
    </row>
    <row r="676" spans="1:7" x14ac:dyDescent="0.35">
      <c r="A676" s="65">
        <v>674</v>
      </c>
      <c r="B676" s="66">
        <v>-4.7540980539943103</v>
      </c>
      <c r="C676" s="66">
        <v>-3.2465146358720398</v>
      </c>
      <c r="D676" s="67">
        <v>1.2776449076804599</v>
      </c>
      <c r="E676" s="67">
        <v>33.206461102129403</v>
      </c>
      <c r="F676" s="67">
        <v>-6.8143995264579704</v>
      </c>
      <c r="G676" s="67">
        <v>1.7508418048626899</v>
      </c>
    </row>
    <row r="677" spans="1:7" x14ac:dyDescent="0.35">
      <c r="A677" s="65">
        <v>675</v>
      </c>
      <c r="B677" s="66">
        <v>0.26520871608084801</v>
      </c>
      <c r="C677" s="66">
        <v>2.2136350032357801</v>
      </c>
      <c r="D677" s="67">
        <v>2.21793401380125</v>
      </c>
      <c r="E677" s="67">
        <v>-4.11821676772907</v>
      </c>
      <c r="F677" s="67">
        <v>-5.3090410322819501</v>
      </c>
      <c r="G677" s="67">
        <v>-4.5190272606658901</v>
      </c>
    </row>
    <row r="678" spans="1:7" x14ac:dyDescent="0.35">
      <c r="A678" s="65">
        <v>676</v>
      </c>
      <c r="B678" s="66">
        <v>16.8565782399568</v>
      </c>
      <c r="C678" s="66">
        <v>-11.337077745493399</v>
      </c>
      <c r="D678" s="67">
        <v>2.9846304302165501</v>
      </c>
      <c r="E678" s="67">
        <v>2.1172163619436701</v>
      </c>
      <c r="F678" s="67">
        <v>-1.20532341571715</v>
      </c>
      <c r="G678" s="67">
        <v>2.0979893678133998</v>
      </c>
    </row>
    <row r="679" spans="1:7" x14ac:dyDescent="0.35">
      <c r="A679" s="65">
        <v>677</v>
      </c>
      <c r="B679" s="66">
        <v>10.597811548642101</v>
      </c>
      <c r="C679" s="66">
        <v>1.6117129757448101</v>
      </c>
      <c r="D679" s="67">
        <v>1.14187077550408</v>
      </c>
      <c r="E679" s="67">
        <v>-4.9544107968645603</v>
      </c>
      <c r="F679" s="67">
        <v>4.3019350461077703</v>
      </c>
      <c r="G679" s="67">
        <v>3.2267165762827301</v>
      </c>
    </row>
    <row r="680" spans="1:7" x14ac:dyDescent="0.35">
      <c r="A680" s="65">
        <v>678</v>
      </c>
      <c r="B680" s="66">
        <v>-9.3574605438323903</v>
      </c>
      <c r="C680" s="66">
        <v>-2.1245370854546999</v>
      </c>
      <c r="D680" s="67">
        <v>2.9542931505598</v>
      </c>
      <c r="E680" s="67">
        <v>8.0615364483149001</v>
      </c>
      <c r="F680" s="67">
        <v>7.71719762103878</v>
      </c>
      <c r="G680" s="67">
        <v>5.75428530430999</v>
      </c>
    </row>
    <row r="681" spans="1:7" x14ac:dyDescent="0.35">
      <c r="A681" s="65">
        <v>679</v>
      </c>
      <c r="B681" s="66">
        <v>-15.124315622059999</v>
      </c>
      <c r="C681" s="66">
        <v>-10.211312012741599</v>
      </c>
      <c r="D681" s="67">
        <v>22.507135873956098</v>
      </c>
      <c r="E681" s="67">
        <v>-4.1691818009921704</v>
      </c>
      <c r="F681" s="67">
        <v>-2.1879198408742599</v>
      </c>
      <c r="G681" s="67">
        <v>1.70644586109523</v>
      </c>
    </row>
    <row r="682" spans="1:7" x14ac:dyDescent="0.35">
      <c r="A682" s="65">
        <v>680</v>
      </c>
      <c r="B682" s="66">
        <v>7.4407514497298397</v>
      </c>
      <c r="C682" s="66">
        <v>-2.7233419232199401</v>
      </c>
      <c r="D682" s="67">
        <v>3.54584192926289</v>
      </c>
      <c r="E682" s="67">
        <v>-3.9157317300221801</v>
      </c>
      <c r="F682" s="67">
        <v>-7.6262662067810405E-2</v>
      </c>
      <c r="G682" s="67">
        <v>6.36038838560399</v>
      </c>
    </row>
    <row r="683" spans="1:7" x14ac:dyDescent="0.35">
      <c r="A683" s="65">
        <v>681</v>
      </c>
      <c r="B683" s="66">
        <v>1.50550977866033</v>
      </c>
      <c r="C683" s="66">
        <v>-5.6274990953184503</v>
      </c>
      <c r="D683" s="67">
        <v>2.6454434817875701</v>
      </c>
      <c r="E683" s="67">
        <v>40.703170436926499</v>
      </c>
      <c r="F683" s="67">
        <v>8.9373477534279999</v>
      </c>
      <c r="G683" s="67">
        <v>0.44320532192914802</v>
      </c>
    </row>
    <row r="684" spans="1:7" x14ac:dyDescent="0.35">
      <c r="A684" s="65">
        <v>682</v>
      </c>
      <c r="B684" s="66">
        <v>4.5451226762363799</v>
      </c>
      <c r="C684" s="66">
        <v>-0.81037320355400599</v>
      </c>
      <c r="D684" s="67">
        <v>5.36087827122285</v>
      </c>
      <c r="E684" s="67">
        <v>0.94661899984939102</v>
      </c>
      <c r="F684" s="67">
        <v>-0.57262613831914799</v>
      </c>
      <c r="G684" s="67">
        <v>0.32904345067930202</v>
      </c>
    </row>
    <row r="685" spans="1:7" x14ac:dyDescent="0.35">
      <c r="A685" s="65">
        <v>683</v>
      </c>
      <c r="B685" s="66">
        <v>-3.1176642804877401</v>
      </c>
      <c r="C685" s="66">
        <v>5.2937669791853299</v>
      </c>
      <c r="D685" s="67">
        <v>0.89335163944728802</v>
      </c>
      <c r="E685" s="67">
        <v>11.2235562701602</v>
      </c>
      <c r="F685" s="67">
        <v>8.3129110533624004</v>
      </c>
      <c r="G685" s="67">
        <v>-0.14332006593380001</v>
      </c>
    </row>
    <row r="686" spans="1:7" x14ac:dyDescent="0.35">
      <c r="A686" s="65">
        <v>684</v>
      </c>
      <c r="B686" s="66">
        <v>1.68800555176234</v>
      </c>
      <c r="C686" s="66">
        <v>1.11547764180734</v>
      </c>
      <c r="D686" s="67">
        <v>5.6375530577328101</v>
      </c>
      <c r="E686" s="67">
        <v>-5.3693241216345502</v>
      </c>
      <c r="F686" s="67">
        <v>-4.2801089317599503</v>
      </c>
      <c r="G686" s="67">
        <v>3.6912222416806899</v>
      </c>
    </row>
    <row r="687" spans="1:7" x14ac:dyDescent="0.35">
      <c r="A687" s="65">
        <v>685</v>
      </c>
      <c r="B687" s="66">
        <v>-16.6599210182052</v>
      </c>
      <c r="C687" s="66">
        <v>3.2770551166531701</v>
      </c>
      <c r="D687" s="67">
        <v>0.38457490564973901</v>
      </c>
      <c r="E687" s="67">
        <v>-24.379289456502899</v>
      </c>
      <c r="F687" s="67">
        <v>12.7146120703446</v>
      </c>
      <c r="G687" s="67">
        <v>-9.9798282433939605</v>
      </c>
    </row>
    <row r="688" spans="1:7" x14ac:dyDescent="0.35">
      <c r="A688" s="65">
        <v>686</v>
      </c>
      <c r="B688" s="66">
        <v>9.2315873381923002</v>
      </c>
      <c r="C688" s="66">
        <v>-8.5584270522279802</v>
      </c>
      <c r="D688" s="67">
        <v>0.66846171158382806</v>
      </c>
      <c r="E688" s="67">
        <v>4.4952638006539098</v>
      </c>
      <c r="F688" s="67">
        <v>2.06635772476865</v>
      </c>
      <c r="G688" s="67">
        <v>1.5063477364401501</v>
      </c>
    </row>
    <row r="689" spans="1:7" x14ac:dyDescent="0.35">
      <c r="A689" s="65">
        <v>687</v>
      </c>
      <c r="B689" s="66">
        <v>-3.8131911815165398</v>
      </c>
      <c r="C689" s="66">
        <v>-2.3892645619317201</v>
      </c>
      <c r="D689" s="67">
        <v>7.97389836514406</v>
      </c>
      <c r="E689" s="67">
        <v>-14.7490362666364</v>
      </c>
      <c r="F689" s="67">
        <v>14.773767470744501</v>
      </c>
      <c r="G689" s="67">
        <v>-4.0100058280936901</v>
      </c>
    </row>
    <row r="690" spans="1:7" x14ac:dyDescent="0.35">
      <c r="A690" s="65">
        <v>688</v>
      </c>
      <c r="B690" s="66">
        <v>-4.2989938490764104</v>
      </c>
      <c r="C690" s="66">
        <v>-2.84859151354491</v>
      </c>
      <c r="D690" s="67">
        <v>1.24868433218291</v>
      </c>
      <c r="E690" s="67">
        <v>1.0775888034439001</v>
      </c>
      <c r="F690" s="67">
        <v>8.3089772633990897</v>
      </c>
      <c r="G690" s="67">
        <v>5.8007441414820198</v>
      </c>
    </row>
    <row r="691" spans="1:7" x14ac:dyDescent="0.35">
      <c r="A691" s="65">
        <v>689</v>
      </c>
      <c r="B691" s="66">
        <v>-3.24884539876818</v>
      </c>
      <c r="C691" s="66">
        <v>-0.36582084954126698</v>
      </c>
      <c r="D691" s="67">
        <v>12.1752745666879</v>
      </c>
      <c r="E691" s="67">
        <v>1.2186670101630099</v>
      </c>
      <c r="F691" s="67">
        <v>15.770346780146699</v>
      </c>
      <c r="G691" s="67">
        <v>3.0560309113142199</v>
      </c>
    </row>
    <row r="692" spans="1:7" x14ac:dyDescent="0.35">
      <c r="A692" s="65">
        <v>690</v>
      </c>
      <c r="B692" s="66">
        <v>0.64238067293549095</v>
      </c>
      <c r="C692" s="66">
        <v>0.26423258934413901</v>
      </c>
      <c r="D692" s="67">
        <v>2.3411732083757202</v>
      </c>
      <c r="E692" s="67">
        <v>-3.1006366561504799</v>
      </c>
      <c r="F692" s="67">
        <v>-2.07810212140992E-2</v>
      </c>
      <c r="G692" s="67">
        <v>3.64848858966517</v>
      </c>
    </row>
    <row r="693" spans="1:7" x14ac:dyDescent="0.35">
      <c r="A693" s="65">
        <v>691</v>
      </c>
      <c r="B693" s="66">
        <v>2.1965614270129499</v>
      </c>
      <c r="C693" s="66">
        <v>-0.84721740090651898</v>
      </c>
      <c r="D693" s="67">
        <v>1.8109669310065699</v>
      </c>
      <c r="E693" s="67">
        <v>19.323637952337702</v>
      </c>
      <c r="F693" s="67">
        <v>-3.9844441800757502</v>
      </c>
      <c r="G693" s="67">
        <v>5.6439671628797301</v>
      </c>
    </row>
    <row r="694" spans="1:7" x14ac:dyDescent="0.35">
      <c r="A694" s="65">
        <v>692</v>
      </c>
      <c r="B694" s="66">
        <v>10.175664977575</v>
      </c>
      <c r="C694" s="66">
        <v>-6.8798617611336903</v>
      </c>
      <c r="D694" s="67">
        <v>4.68427603551911</v>
      </c>
      <c r="E694" s="67">
        <v>-3.48394816279919</v>
      </c>
      <c r="F694" s="67">
        <v>-1.1656613433915799</v>
      </c>
      <c r="G694" s="67">
        <v>-2.7860247808612701</v>
      </c>
    </row>
    <row r="695" spans="1:7" x14ac:dyDescent="0.35">
      <c r="A695" s="65">
        <v>693</v>
      </c>
      <c r="B695" s="66">
        <v>-8.2597132502792991</v>
      </c>
      <c r="C695" s="66">
        <v>-9.8582537285157006</v>
      </c>
      <c r="D695" s="67">
        <v>3.6989486157871898</v>
      </c>
      <c r="E695" s="67">
        <v>10.814249321421901</v>
      </c>
      <c r="F695" s="67">
        <v>-10.975407210248701</v>
      </c>
      <c r="G695" s="67">
        <v>0.39357491017709401</v>
      </c>
    </row>
    <row r="696" spans="1:7" x14ac:dyDescent="0.35">
      <c r="A696" s="65">
        <v>694</v>
      </c>
      <c r="B696" s="66">
        <v>3.46589056081157</v>
      </c>
      <c r="C696" s="66">
        <v>0.23359190516421999</v>
      </c>
      <c r="D696" s="67">
        <v>0.38826795561185401</v>
      </c>
      <c r="E696" s="67">
        <v>7.1732928253288204</v>
      </c>
      <c r="F696" s="67">
        <v>-10.6782939293463</v>
      </c>
      <c r="G696" s="67">
        <v>5.6352136949332898</v>
      </c>
    </row>
    <row r="697" spans="1:7" x14ac:dyDescent="0.35">
      <c r="A697" s="65">
        <v>695</v>
      </c>
      <c r="B697" s="66">
        <v>21.1488705719119</v>
      </c>
      <c r="C697" s="66">
        <v>2.53599739387366</v>
      </c>
      <c r="D697" s="67">
        <v>2.5209271096085999</v>
      </c>
      <c r="E697" s="67">
        <v>7.4462861086709999</v>
      </c>
      <c r="F697" s="67">
        <v>7.3176927352838499</v>
      </c>
      <c r="G697" s="67">
        <v>2.1268539728583602</v>
      </c>
    </row>
    <row r="698" spans="1:7" x14ac:dyDescent="0.35">
      <c r="A698" s="65">
        <v>696</v>
      </c>
      <c r="B698" s="66">
        <v>-13.8366014196652</v>
      </c>
      <c r="C698" s="66">
        <v>-2.02616432768593</v>
      </c>
      <c r="D698" s="67">
        <v>0.77613548244769304</v>
      </c>
      <c r="E698" s="67">
        <v>-18.313670395190801</v>
      </c>
      <c r="F698" s="67">
        <v>14.3640510825356</v>
      </c>
      <c r="G698" s="67">
        <v>11.947738233532601</v>
      </c>
    </row>
    <row r="699" spans="1:7" x14ac:dyDescent="0.35">
      <c r="A699" s="65">
        <v>697</v>
      </c>
      <c r="B699" s="66">
        <v>-6.2161484757788799</v>
      </c>
      <c r="C699" s="66">
        <v>-1.63911895471867</v>
      </c>
      <c r="D699" s="67">
        <v>6.9072555928558703</v>
      </c>
      <c r="E699" s="67">
        <v>20.373466398373399</v>
      </c>
      <c r="F699" s="67">
        <v>19.762604451709301</v>
      </c>
      <c r="G699" s="67">
        <v>-9.1186159089652996</v>
      </c>
    </row>
    <row r="700" spans="1:7" x14ac:dyDescent="0.35">
      <c r="A700" s="65">
        <v>698</v>
      </c>
      <c r="B700" s="66">
        <v>3.3944373033967699</v>
      </c>
      <c r="C700" s="66">
        <v>-7.4360479532375301</v>
      </c>
      <c r="D700" s="67">
        <v>9.7063233926877999</v>
      </c>
      <c r="E700" s="67">
        <v>-2.2570981377866102</v>
      </c>
      <c r="F700" s="67">
        <v>-2.3501890288019802</v>
      </c>
      <c r="G700" s="67">
        <v>3.4579374739264499</v>
      </c>
    </row>
    <row r="701" spans="1:7" x14ac:dyDescent="0.35">
      <c r="A701" s="65">
        <v>699</v>
      </c>
      <c r="B701" s="66">
        <v>-0.33339829658858</v>
      </c>
      <c r="C701" s="66">
        <v>-4.3998084047972501</v>
      </c>
      <c r="D701" s="67">
        <v>6.0989004563252998</v>
      </c>
      <c r="E701" s="67">
        <v>2.8005429414204199</v>
      </c>
      <c r="F701" s="67">
        <v>-8.6177886492777294</v>
      </c>
      <c r="G701" s="67">
        <v>3.6463537656879899</v>
      </c>
    </row>
    <row r="702" spans="1:7" x14ac:dyDescent="0.35">
      <c r="A702" s="65">
        <v>700</v>
      </c>
      <c r="B702" s="66">
        <v>-6.2609394863675698</v>
      </c>
      <c r="C702" s="66">
        <v>0.408743893722334</v>
      </c>
      <c r="D702" s="67">
        <v>10.848965828753</v>
      </c>
      <c r="E702" s="67">
        <v>-11.097910286887601</v>
      </c>
      <c r="F702" s="67">
        <v>2.2337165896964</v>
      </c>
      <c r="G702" s="67">
        <v>15.4700195732865</v>
      </c>
    </row>
    <row r="703" spans="1:7" x14ac:dyDescent="0.35">
      <c r="A703" s="65">
        <v>701</v>
      </c>
      <c r="B703" s="66">
        <v>11.2047591970094</v>
      </c>
      <c r="C703" s="66">
        <v>2.3981242299500898</v>
      </c>
      <c r="D703" s="67">
        <v>0.108889408372871</v>
      </c>
      <c r="E703" s="67">
        <v>-14.458215095839099</v>
      </c>
      <c r="F703" s="67">
        <v>-16.113731578814701</v>
      </c>
      <c r="G703" s="67">
        <v>-1.40028007327948</v>
      </c>
    </row>
    <row r="704" spans="1:7" x14ac:dyDescent="0.35">
      <c r="A704" s="65">
        <v>702</v>
      </c>
      <c r="B704" s="66">
        <v>17.262876222794599</v>
      </c>
      <c r="C704" s="66">
        <v>-5.6178187691322199</v>
      </c>
      <c r="D704" s="67">
        <v>0.42236556522648899</v>
      </c>
      <c r="E704" s="67">
        <v>-4.4052342098418897</v>
      </c>
      <c r="F704" s="67">
        <v>-11.766583235702599</v>
      </c>
      <c r="G704" s="67">
        <v>0.22580643544617601</v>
      </c>
    </row>
    <row r="705" spans="1:7" x14ac:dyDescent="0.35">
      <c r="A705" s="65">
        <v>703</v>
      </c>
      <c r="B705" s="66">
        <v>1.0363598440925199</v>
      </c>
      <c r="C705" s="66">
        <v>-1.57293977505695</v>
      </c>
      <c r="D705" s="67">
        <v>1.2350901056444401</v>
      </c>
      <c r="E705" s="67">
        <v>3.5154380608667801</v>
      </c>
      <c r="F705" s="67">
        <v>7.7376384034742296</v>
      </c>
      <c r="G705" s="67">
        <v>3.6872814956775999</v>
      </c>
    </row>
    <row r="706" spans="1:7" x14ac:dyDescent="0.35">
      <c r="A706" s="65">
        <v>704</v>
      </c>
      <c r="B706" s="66">
        <v>5.5699292931950604</v>
      </c>
      <c r="C706" s="66">
        <v>3.9886570838558901</v>
      </c>
      <c r="D706" s="67">
        <v>0.812844881668356</v>
      </c>
      <c r="E706" s="67">
        <v>8.2305140362951796</v>
      </c>
      <c r="F706" s="67">
        <v>7.57178343384337</v>
      </c>
      <c r="G706" s="67">
        <v>0.86356645869168502</v>
      </c>
    </row>
    <row r="707" spans="1:7" x14ac:dyDescent="0.35">
      <c r="A707" s="65">
        <v>705</v>
      </c>
      <c r="B707" s="66">
        <v>3.2444913839964702</v>
      </c>
      <c r="C707" s="66">
        <v>3.1571949641857802</v>
      </c>
      <c r="D707" s="67">
        <v>0.25527399538376</v>
      </c>
      <c r="E707" s="67">
        <v>19.0534306032615</v>
      </c>
      <c r="F707" s="67">
        <v>-14.095676762220799</v>
      </c>
      <c r="G707" s="67">
        <v>-2.3493976135800199</v>
      </c>
    </row>
    <row r="708" spans="1:7" x14ac:dyDescent="0.35">
      <c r="A708" s="65">
        <v>706</v>
      </c>
      <c r="B708" s="66">
        <v>-25.553012628294301</v>
      </c>
      <c r="C708" s="66">
        <v>-5.0805823004060198</v>
      </c>
      <c r="D708" s="67">
        <v>2.5568778323983898</v>
      </c>
      <c r="E708" s="67">
        <v>24.9585561099743</v>
      </c>
      <c r="F708" s="67">
        <v>-0.27114590778317299</v>
      </c>
      <c r="G708" s="67">
        <v>6.2188374936275501</v>
      </c>
    </row>
    <row r="709" spans="1:7" x14ac:dyDescent="0.35">
      <c r="A709" s="65">
        <v>707</v>
      </c>
      <c r="B709" s="66">
        <v>8.8476804494309498</v>
      </c>
      <c r="C709" s="66">
        <v>-0.48969849760308398</v>
      </c>
      <c r="D709" s="67">
        <v>2.1168400517107999</v>
      </c>
      <c r="E709" s="67">
        <v>2.8986161173559202</v>
      </c>
      <c r="F709" s="67">
        <v>2.0040555575229302</v>
      </c>
      <c r="G709" s="67">
        <v>4.6545211609725099</v>
      </c>
    </row>
    <row r="710" spans="1:7" x14ac:dyDescent="0.35">
      <c r="A710" s="65">
        <v>708</v>
      </c>
      <c r="B710" s="66">
        <v>10.123787690366401</v>
      </c>
      <c r="C710" s="66">
        <v>1.2959403352214101</v>
      </c>
      <c r="D710" s="67">
        <v>24.769042163119401</v>
      </c>
      <c r="E710" s="67">
        <v>-11.412080978817301</v>
      </c>
      <c r="F710" s="67">
        <v>-17.8016524722889</v>
      </c>
      <c r="G710" s="67">
        <v>14.034997944553901</v>
      </c>
    </row>
    <row r="711" spans="1:7" x14ac:dyDescent="0.35">
      <c r="A711" s="65">
        <v>709</v>
      </c>
      <c r="B711" s="66">
        <v>-3.9551026104970601</v>
      </c>
      <c r="C711" s="66">
        <v>1.8814880452245799</v>
      </c>
      <c r="D711" s="67">
        <v>8.1422128552889994</v>
      </c>
      <c r="E711" s="67">
        <v>-5.2616648896919296</v>
      </c>
      <c r="F711" s="67">
        <v>0.55386220002751796</v>
      </c>
      <c r="G711" s="67">
        <v>0.63144838522177005</v>
      </c>
    </row>
    <row r="712" spans="1:7" x14ac:dyDescent="0.35">
      <c r="A712" s="65">
        <v>710</v>
      </c>
      <c r="B712" s="66">
        <v>-8.2654078853756907</v>
      </c>
      <c r="C712" s="66">
        <v>2.5310926276001098</v>
      </c>
      <c r="D712" s="67">
        <v>9.4726513068796407</v>
      </c>
      <c r="E712" s="67">
        <v>-4.1416829618992104</v>
      </c>
      <c r="F712" s="67">
        <v>-6.4921648215104302</v>
      </c>
      <c r="G712" s="67">
        <v>0.791690630574024</v>
      </c>
    </row>
    <row r="713" spans="1:7" x14ac:dyDescent="0.35">
      <c r="A713" s="65">
        <v>711</v>
      </c>
      <c r="B713" s="66">
        <v>-2.0440527082889299</v>
      </c>
      <c r="C713" s="66">
        <v>-1.7773641176069801</v>
      </c>
      <c r="D713" s="67">
        <v>0.62093737882200895</v>
      </c>
      <c r="E713" s="67">
        <v>26.239762615219099</v>
      </c>
      <c r="F713" s="67">
        <v>-18.286249083526101</v>
      </c>
      <c r="G713" s="67">
        <v>8.5831891426408102</v>
      </c>
    </row>
    <row r="714" spans="1:7" x14ac:dyDescent="0.35">
      <c r="A714" s="65">
        <v>712</v>
      </c>
      <c r="B714" s="66">
        <v>16.683480398314401</v>
      </c>
      <c r="C714" s="66">
        <v>-4.05184197471144</v>
      </c>
      <c r="D714" s="67">
        <v>1.4066876353181299</v>
      </c>
      <c r="E714" s="67">
        <v>-3.9220769682438501</v>
      </c>
      <c r="F714" s="67">
        <v>6.9199836653154696</v>
      </c>
      <c r="G714" s="67">
        <v>-1.07342747046031</v>
      </c>
    </row>
    <row r="715" spans="1:7" x14ac:dyDescent="0.35">
      <c r="A715" s="65">
        <v>713</v>
      </c>
      <c r="B715" s="66">
        <v>17.525626994357399</v>
      </c>
      <c r="C715" s="66">
        <v>14.415312564303299</v>
      </c>
      <c r="D715" s="67">
        <v>0.843743374500601</v>
      </c>
      <c r="E715" s="67">
        <v>-14.8952588842638</v>
      </c>
      <c r="F715" s="67">
        <v>-5.0895415559789603</v>
      </c>
      <c r="G715" s="67">
        <v>6.0273965084724601</v>
      </c>
    </row>
    <row r="716" spans="1:7" x14ac:dyDescent="0.35">
      <c r="A716" s="65">
        <v>714</v>
      </c>
      <c r="B716" s="66">
        <v>-11.479119783532701</v>
      </c>
      <c r="C716" s="66">
        <v>3.4481803314143402</v>
      </c>
      <c r="D716" s="67">
        <v>13.0477538445655</v>
      </c>
      <c r="E716" s="67">
        <v>-8.8073182153810592</v>
      </c>
      <c r="F716" s="67">
        <v>-12.6786277624989</v>
      </c>
      <c r="G716" s="67">
        <v>-3.75967364384258</v>
      </c>
    </row>
    <row r="717" spans="1:7" x14ac:dyDescent="0.35">
      <c r="A717" s="65">
        <v>715</v>
      </c>
      <c r="B717" s="66">
        <v>-6.8922106266991099</v>
      </c>
      <c r="C717" s="66">
        <v>-4.5833072448435903</v>
      </c>
      <c r="D717" s="67">
        <v>2.3679188660055299</v>
      </c>
      <c r="E717" s="67">
        <v>-4.0180858103446599</v>
      </c>
      <c r="F717" s="67">
        <v>9.6760203531394495</v>
      </c>
      <c r="G717" s="67">
        <v>-5.6098240667364303</v>
      </c>
    </row>
    <row r="718" spans="1:7" x14ac:dyDescent="0.35">
      <c r="A718" s="65">
        <v>716</v>
      </c>
      <c r="B718" s="66">
        <v>2.5148417197127499</v>
      </c>
      <c r="C718" s="66">
        <v>4.2626390787662602</v>
      </c>
      <c r="D718" s="67">
        <v>32.653890009678499</v>
      </c>
      <c r="E718" s="67">
        <v>31.738624416390401</v>
      </c>
      <c r="F718" s="67">
        <v>4.6120906299189999</v>
      </c>
      <c r="G718" s="67">
        <v>2.9107973725152001</v>
      </c>
    </row>
    <row r="719" spans="1:7" x14ac:dyDescent="0.35">
      <c r="A719" s="65">
        <v>717</v>
      </c>
      <c r="B719" s="66">
        <v>7.25347822184166</v>
      </c>
      <c r="C719" s="66">
        <v>5.3796084267659703</v>
      </c>
      <c r="D719" s="67">
        <v>1.8236319205114999</v>
      </c>
      <c r="E719" s="67">
        <v>39.840493740952098</v>
      </c>
      <c r="F719" s="67">
        <v>1.5649996108127799</v>
      </c>
      <c r="G719" s="67">
        <v>12.7399014680525</v>
      </c>
    </row>
    <row r="720" spans="1:7" x14ac:dyDescent="0.35">
      <c r="A720" s="65">
        <v>718</v>
      </c>
      <c r="B720" s="66">
        <v>-3.09800308407987</v>
      </c>
      <c r="C720" s="66">
        <v>-5.5216560995086397</v>
      </c>
      <c r="D720" s="67">
        <v>6.0278308546856803</v>
      </c>
      <c r="E720" s="67">
        <v>6.3540182382408803</v>
      </c>
      <c r="F720" s="67">
        <v>-7.0755891920751699</v>
      </c>
      <c r="G720" s="67">
        <v>9.5641921531521706E-2</v>
      </c>
    </row>
    <row r="721" spans="1:7" x14ac:dyDescent="0.35">
      <c r="A721" s="65">
        <v>719</v>
      </c>
      <c r="B721" s="66">
        <v>-0.69697562127249901</v>
      </c>
      <c r="C721" s="66">
        <v>4.03813758018934</v>
      </c>
      <c r="D721" s="67">
        <v>0.63645849466019</v>
      </c>
      <c r="E721" s="67">
        <v>-16.667377830991001</v>
      </c>
      <c r="F721" s="67">
        <v>-3.09378546546901</v>
      </c>
      <c r="G721" s="67">
        <v>14.2562899515711</v>
      </c>
    </row>
    <row r="722" spans="1:7" x14ac:dyDescent="0.35">
      <c r="A722" s="65">
        <v>720</v>
      </c>
      <c r="B722" s="66">
        <v>1.48232498888645</v>
      </c>
      <c r="C722" s="66">
        <v>0.67325089911954095</v>
      </c>
      <c r="D722" s="67">
        <v>5.5367700301188503</v>
      </c>
      <c r="E722" s="67">
        <v>9.66001361997521</v>
      </c>
      <c r="F722" s="67">
        <v>-8.4935368252638703</v>
      </c>
      <c r="G722" s="67">
        <v>0.68738868667961694</v>
      </c>
    </row>
    <row r="723" spans="1:7" x14ac:dyDescent="0.35">
      <c r="A723" s="65">
        <v>721</v>
      </c>
      <c r="B723" s="66">
        <v>15.920705639373899</v>
      </c>
      <c r="C723" s="66">
        <v>-3.22298697864335</v>
      </c>
      <c r="D723" s="67">
        <v>10.163320662658901</v>
      </c>
      <c r="E723" s="67">
        <v>-2.6511752055820801</v>
      </c>
      <c r="F723" s="67">
        <v>-8.0012488014159402</v>
      </c>
      <c r="G723" s="67">
        <v>10.350015346289799</v>
      </c>
    </row>
    <row r="724" spans="1:7" x14ac:dyDescent="0.35">
      <c r="A724" s="65">
        <v>722</v>
      </c>
      <c r="B724" s="66">
        <v>2.3006080444401902</v>
      </c>
      <c r="C724" s="66">
        <v>4.8232309895380698</v>
      </c>
      <c r="D724" s="67">
        <v>2.5021902761668899</v>
      </c>
      <c r="E724" s="67">
        <v>6.1559836204531999</v>
      </c>
      <c r="F724" s="67">
        <v>-0.32345368087054199</v>
      </c>
      <c r="G724" s="67">
        <v>-4.86484506744981</v>
      </c>
    </row>
    <row r="725" spans="1:7" x14ac:dyDescent="0.35">
      <c r="A725" s="65">
        <v>723</v>
      </c>
      <c r="B725" s="66">
        <v>-1.9143568204664601</v>
      </c>
      <c r="C725" s="66">
        <v>0.33901739443662299</v>
      </c>
      <c r="D725" s="67">
        <v>7.5541175630776696</v>
      </c>
      <c r="E725" s="67">
        <v>24.161318921267799</v>
      </c>
      <c r="F725" s="67">
        <v>21.7748491822312</v>
      </c>
      <c r="G725" s="67">
        <v>10.3930092220426</v>
      </c>
    </row>
    <row r="726" spans="1:7" x14ac:dyDescent="0.35">
      <c r="A726" s="65">
        <v>724</v>
      </c>
      <c r="B726" s="66">
        <v>0.574258734397596</v>
      </c>
      <c r="C726" s="66">
        <v>1.81655114619737</v>
      </c>
      <c r="D726" s="67">
        <v>1.0799796064452001</v>
      </c>
      <c r="E726" s="67">
        <v>-9.6291819235513998</v>
      </c>
      <c r="F726" s="67">
        <v>17.692322488825599</v>
      </c>
      <c r="G726" s="67">
        <v>0.50053595039890997</v>
      </c>
    </row>
    <row r="727" spans="1:7" x14ac:dyDescent="0.35">
      <c r="A727" s="65">
        <v>725</v>
      </c>
      <c r="B727" s="66">
        <v>-2.0827363916220598</v>
      </c>
      <c r="C727" s="66">
        <v>-7.7245755689745597</v>
      </c>
      <c r="D727" s="67">
        <v>11.007464487038</v>
      </c>
      <c r="E727" s="67">
        <v>6.2025942198628501</v>
      </c>
      <c r="F727" s="67">
        <v>-1.8880427695106901</v>
      </c>
      <c r="G727" s="67">
        <v>-2.89046919430064</v>
      </c>
    </row>
    <row r="728" spans="1:7" x14ac:dyDescent="0.35">
      <c r="A728" s="65">
        <v>726</v>
      </c>
      <c r="B728" s="66">
        <v>-12.3697096424736</v>
      </c>
      <c r="C728" s="66">
        <v>-3.8634067651710202</v>
      </c>
      <c r="D728" s="67">
        <v>1.5140603002866799</v>
      </c>
      <c r="E728" s="67">
        <v>5.69397127903484</v>
      </c>
      <c r="F728" s="67">
        <v>-22.529853717270999</v>
      </c>
      <c r="G728" s="67">
        <v>-10.7429370689746</v>
      </c>
    </row>
    <row r="729" spans="1:7" x14ac:dyDescent="0.35">
      <c r="A729" s="65">
        <v>727</v>
      </c>
      <c r="B729" s="66">
        <v>-20.402881635094602</v>
      </c>
      <c r="C729" s="66">
        <v>2.2447259500203098</v>
      </c>
      <c r="D729" s="67">
        <v>5.6139595633920001</v>
      </c>
      <c r="E729" s="67">
        <v>-3.6756775667317698</v>
      </c>
      <c r="F729" s="67">
        <v>5.8191779903617</v>
      </c>
      <c r="G729" s="67">
        <v>-4.1374933279978397E-2</v>
      </c>
    </row>
    <row r="730" spans="1:7" x14ac:dyDescent="0.35">
      <c r="A730" s="65">
        <v>728</v>
      </c>
      <c r="B730" s="66">
        <v>8.4132018106804694</v>
      </c>
      <c r="C730" s="66">
        <v>2.6461811135187898</v>
      </c>
      <c r="D730" s="67">
        <v>1.70423494006956</v>
      </c>
      <c r="E730" s="67">
        <v>2.4620371964166199</v>
      </c>
      <c r="F730" s="67">
        <v>-1.03172712445991</v>
      </c>
      <c r="G730" s="67">
        <v>1.9356278477309199</v>
      </c>
    </row>
    <row r="731" spans="1:7" x14ac:dyDescent="0.35">
      <c r="A731" s="65">
        <v>729</v>
      </c>
      <c r="B731" s="66">
        <v>9.9806779853543706</v>
      </c>
      <c r="C731" s="66">
        <v>3.2109259263610301</v>
      </c>
      <c r="D731" s="67">
        <v>1.2335359288546801</v>
      </c>
      <c r="E731" s="67">
        <v>14.9777464183665</v>
      </c>
      <c r="F731" s="67">
        <v>-4.6349397771275997</v>
      </c>
      <c r="G731" s="67">
        <v>-1.5326907742062299</v>
      </c>
    </row>
    <row r="732" spans="1:7" x14ac:dyDescent="0.35">
      <c r="A732" s="65">
        <v>730</v>
      </c>
      <c r="B732" s="66">
        <v>6.7585502590458599</v>
      </c>
      <c r="C732" s="66">
        <v>-4.7260354169759502</v>
      </c>
      <c r="D732" s="67">
        <v>0.55503829058670395</v>
      </c>
      <c r="E732" s="67">
        <v>-2.3652088781242</v>
      </c>
      <c r="F732" s="67">
        <v>-1.3700402658509201</v>
      </c>
      <c r="G732" s="67">
        <v>-2.8398130145654998</v>
      </c>
    </row>
    <row r="733" spans="1:7" x14ac:dyDescent="0.35">
      <c r="A733" s="65">
        <v>731</v>
      </c>
      <c r="B733" s="66">
        <v>2.4589909950090201</v>
      </c>
      <c r="C733" s="66">
        <v>0.13852517753462901</v>
      </c>
      <c r="D733" s="67">
        <v>5.2233522454437198</v>
      </c>
      <c r="E733" s="67">
        <v>-22.931053395301699</v>
      </c>
      <c r="F733" s="67">
        <v>-1.33871467471342</v>
      </c>
      <c r="G733" s="67">
        <v>-6.6702997291581099</v>
      </c>
    </row>
    <row r="734" spans="1:7" x14ac:dyDescent="0.35">
      <c r="A734" s="65">
        <v>732</v>
      </c>
      <c r="B734" s="66">
        <v>-9.4538803961342097</v>
      </c>
      <c r="C734" s="66">
        <v>-10.1075698804084</v>
      </c>
      <c r="D734" s="67">
        <v>0.164776913579573</v>
      </c>
      <c r="E734" s="67">
        <v>-3.0756741006208799</v>
      </c>
      <c r="F734" s="67">
        <v>8.5296771620116605</v>
      </c>
      <c r="G734" s="67">
        <v>3.7732243312487102</v>
      </c>
    </row>
    <row r="735" spans="1:7" x14ac:dyDescent="0.35">
      <c r="A735" s="65">
        <v>733</v>
      </c>
      <c r="B735" s="66">
        <v>-16.819932714405098</v>
      </c>
      <c r="C735" s="66">
        <v>4.7307494448005798</v>
      </c>
      <c r="D735" s="67">
        <v>9.7013312190387602</v>
      </c>
      <c r="E735" s="67">
        <v>-13.4322853922428</v>
      </c>
      <c r="F735" s="67">
        <v>-9.2562972973441706</v>
      </c>
      <c r="G735" s="67">
        <v>12.1003906908087</v>
      </c>
    </row>
    <row r="736" spans="1:7" x14ac:dyDescent="0.35">
      <c r="A736" s="65">
        <v>734</v>
      </c>
      <c r="B736" s="66">
        <v>7.7601198749386802</v>
      </c>
      <c r="C736" s="66">
        <v>-3.5221135507394501</v>
      </c>
      <c r="D736" s="67">
        <v>5.4164657820204498</v>
      </c>
      <c r="E736" s="67">
        <v>-2.1229366563640699</v>
      </c>
      <c r="F736" s="67">
        <v>19.481882711101299</v>
      </c>
      <c r="G736" s="67">
        <v>4.9356581883278698</v>
      </c>
    </row>
    <row r="737" spans="1:7" x14ac:dyDescent="0.35">
      <c r="A737" s="65">
        <v>735</v>
      </c>
      <c r="B737" s="66">
        <v>3.5350912037166302</v>
      </c>
      <c r="C737" s="66">
        <v>-0.82583988262119901</v>
      </c>
      <c r="D737" s="67">
        <v>0.85636638699386103</v>
      </c>
      <c r="E737" s="67">
        <v>10.450296360682101</v>
      </c>
      <c r="F737" s="67">
        <v>12.288300452699</v>
      </c>
      <c r="G737" s="67">
        <v>6.4510824399414401</v>
      </c>
    </row>
    <row r="738" spans="1:7" x14ac:dyDescent="0.35">
      <c r="A738" s="65">
        <v>736</v>
      </c>
      <c r="B738" s="66">
        <v>-3.1520479450151502</v>
      </c>
      <c r="C738" s="66">
        <v>-0.71954656591094801</v>
      </c>
      <c r="D738" s="67">
        <v>14.4340390467513</v>
      </c>
      <c r="E738" s="67">
        <v>28.726356308642899</v>
      </c>
      <c r="F738" s="67">
        <v>-8.7563856279541703</v>
      </c>
      <c r="G738" s="67">
        <v>-3.3438329976648999</v>
      </c>
    </row>
    <row r="739" spans="1:7" x14ac:dyDescent="0.35">
      <c r="A739" s="65">
        <v>737</v>
      </c>
      <c r="B739" s="66">
        <v>-15.549362145926199</v>
      </c>
      <c r="C739" s="66">
        <v>2.39521936893878</v>
      </c>
      <c r="D739" s="67">
        <v>12.202768523824</v>
      </c>
      <c r="E739" s="67">
        <v>15.7047217001522</v>
      </c>
      <c r="F739" s="67">
        <v>12.772799385892499</v>
      </c>
      <c r="G739" s="67">
        <v>8.4129488061542403</v>
      </c>
    </row>
    <row r="740" spans="1:7" x14ac:dyDescent="0.35">
      <c r="A740" s="65">
        <v>738</v>
      </c>
      <c r="B740" s="66">
        <v>37.873697932487801</v>
      </c>
      <c r="C740" s="66">
        <v>4.4768479427566898</v>
      </c>
      <c r="D740" s="67">
        <v>30.014069171896502</v>
      </c>
      <c r="E740" s="67">
        <v>27.1105216094696</v>
      </c>
      <c r="F740" s="67">
        <v>-1.37982362836004</v>
      </c>
      <c r="G740" s="67">
        <v>9.66784590136783</v>
      </c>
    </row>
    <row r="741" spans="1:7" x14ac:dyDescent="0.35">
      <c r="A741" s="65">
        <v>739</v>
      </c>
      <c r="B741" s="66">
        <v>17.796595596143</v>
      </c>
      <c r="C741" s="66">
        <v>1.6084517185638001</v>
      </c>
      <c r="D741" s="67">
        <v>12.7831903172236</v>
      </c>
      <c r="E741" s="67">
        <v>20.444191726533202</v>
      </c>
      <c r="F741" s="67">
        <v>11.300264317942901</v>
      </c>
      <c r="G741" s="67">
        <v>-1.90539461802816</v>
      </c>
    </row>
    <row r="742" spans="1:7" x14ac:dyDescent="0.35">
      <c r="A742" s="65">
        <v>740</v>
      </c>
      <c r="B742" s="66">
        <v>15.379122880778301</v>
      </c>
      <c r="C742" s="66">
        <v>-4.9246347096126701</v>
      </c>
      <c r="D742" s="67">
        <v>0.63655997217917104</v>
      </c>
      <c r="E742" s="67">
        <v>-3.2053965202766599</v>
      </c>
      <c r="F742" s="67">
        <v>-9.8563584465841299</v>
      </c>
      <c r="G742" s="67">
        <v>4.1743901078314902</v>
      </c>
    </row>
    <row r="743" spans="1:7" x14ac:dyDescent="0.35">
      <c r="A743" s="65">
        <v>741</v>
      </c>
      <c r="B743" s="66">
        <v>1.0143689054762E-2</v>
      </c>
      <c r="C743" s="66">
        <v>3.9346887552641898</v>
      </c>
      <c r="D743" s="67">
        <v>2.1771735185845298</v>
      </c>
      <c r="E743" s="67">
        <v>-3.7668424003714098</v>
      </c>
      <c r="F743" s="67">
        <v>3.6139546758140102</v>
      </c>
      <c r="G743" s="67">
        <v>0.47896323616917802</v>
      </c>
    </row>
    <row r="744" spans="1:7" x14ac:dyDescent="0.35">
      <c r="A744" s="65">
        <v>742</v>
      </c>
      <c r="B744" s="66">
        <v>-7.2896027211633498</v>
      </c>
      <c r="C744" s="66">
        <v>-2.05255173768218</v>
      </c>
      <c r="D744" s="67">
        <v>0.87373158774428805</v>
      </c>
      <c r="E744" s="67">
        <v>17.006762574929301</v>
      </c>
      <c r="F744" s="67">
        <v>2.3941735674964599</v>
      </c>
      <c r="G744" s="67">
        <v>8.7924186536125308</v>
      </c>
    </row>
    <row r="745" spans="1:7" x14ac:dyDescent="0.35">
      <c r="A745" s="65">
        <v>743</v>
      </c>
      <c r="B745" s="66">
        <v>-14.498485069199001</v>
      </c>
      <c r="C745" s="66">
        <v>-2.0097206027325698</v>
      </c>
      <c r="D745" s="67">
        <v>0.11674416040930601</v>
      </c>
      <c r="E745" s="67">
        <v>18.320069411289801</v>
      </c>
      <c r="F745" s="67">
        <v>-13.6638354203783</v>
      </c>
      <c r="G745" s="67">
        <v>3.6481799967744202</v>
      </c>
    </row>
    <row r="746" spans="1:7" x14ac:dyDescent="0.35">
      <c r="A746" s="65">
        <v>744</v>
      </c>
      <c r="B746" s="66">
        <v>3.5807987236457102</v>
      </c>
      <c r="C746" s="66">
        <v>1.5460313590671599</v>
      </c>
      <c r="D746" s="67">
        <v>1.23922736375659</v>
      </c>
      <c r="E746" s="67">
        <v>10.8714028222448</v>
      </c>
      <c r="F746" s="67">
        <v>8.8979386455792699</v>
      </c>
      <c r="G746" s="67">
        <v>-4.5797741243350503</v>
      </c>
    </row>
    <row r="747" spans="1:7" x14ac:dyDescent="0.35">
      <c r="A747" s="65">
        <v>745</v>
      </c>
      <c r="B747" s="66">
        <v>-4.2999650607599698</v>
      </c>
      <c r="C747" s="66">
        <v>-3.17503643866567</v>
      </c>
      <c r="D747" s="67">
        <v>0.13559656726550601</v>
      </c>
      <c r="E747" s="67">
        <v>-11.298173310209201</v>
      </c>
      <c r="F747" s="67">
        <v>-8.8138358091024607</v>
      </c>
      <c r="G747" s="67">
        <v>5.29029301152777</v>
      </c>
    </row>
    <row r="748" spans="1:7" x14ac:dyDescent="0.35">
      <c r="A748" s="65">
        <v>746</v>
      </c>
      <c r="B748" s="66">
        <v>3.9090643986749201</v>
      </c>
      <c r="C748" s="66">
        <v>6.1464469501485199</v>
      </c>
      <c r="D748" s="67">
        <v>2.66774217415897</v>
      </c>
      <c r="E748" s="67">
        <v>13.609888291092201</v>
      </c>
      <c r="F748" s="67">
        <v>6.9630170304006302</v>
      </c>
      <c r="G748" s="67">
        <v>4.3974463979951999</v>
      </c>
    </row>
    <row r="749" spans="1:7" x14ac:dyDescent="0.35">
      <c r="A749" s="65">
        <v>747</v>
      </c>
      <c r="B749" s="66">
        <v>5.9612924738794799</v>
      </c>
      <c r="C749" s="66">
        <v>7.20321395316489</v>
      </c>
      <c r="D749" s="67">
        <v>0.29660785038454202</v>
      </c>
      <c r="E749" s="67">
        <v>-18.656436974866399</v>
      </c>
      <c r="F749" s="67">
        <v>-13.4593550524334</v>
      </c>
      <c r="G749" s="67">
        <v>-12.1820118634819</v>
      </c>
    </row>
    <row r="750" spans="1:7" x14ac:dyDescent="0.35">
      <c r="A750" s="65">
        <v>748</v>
      </c>
      <c r="B750" s="66">
        <v>-0.30451980719654298</v>
      </c>
      <c r="C750" s="66">
        <v>8.3264056286568806</v>
      </c>
      <c r="D750" s="67">
        <v>0.84154644333059103</v>
      </c>
      <c r="E750" s="67">
        <v>3.08190592806729</v>
      </c>
      <c r="F750" s="67">
        <v>0.75738495550756901</v>
      </c>
      <c r="G750" s="67">
        <v>12.4963095307531</v>
      </c>
    </row>
    <row r="751" spans="1:7" x14ac:dyDescent="0.35">
      <c r="A751" s="65">
        <v>749</v>
      </c>
      <c r="B751" s="66">
        <v>18.997864611464099</v>
      </c>
      <c r="C751" s="66">
        <v>-3.4244679978097601</v>
      </c>
      <c r="D751" s="67">
        <v>14.3203389928668</v>
      </c>
      <c r="E751" s="67">
        <v>-6.2363415771977202</v>
      </c>
      <c r="F751" s="67">
        <v>9.7690290470752803</v>
      </c>
      <c r="G751" s="67">
        <v>1.4139791634549499</v>
      </c>
    </row>
    <row r="752" spans="1:7" x14ac:dyDescent="0.35">
      <c r="A752" s="65">
        <v>750</v>
      </c>
      <c r="B752" s="66">
        <v>10.4215759802906</v>
      </c>
      <c r="C752" s="66">
        <v>-0.195907353243958</v>
      </c>
      <c r="D752" s="67">
        <v>0.90863435751819099</v>
      </c>
      <c r="E752" s="67">
        <v>-1.8523265740000401</v>
      </c>
      <c r="F752" s="67">
        <v>0.41476391560269799</v>
      </c>
      <c r="G752" s="67">
        <v>3.9592775201850001</v>
      </c>
    </row>
    <row r="753" spans="1:7" x14ac:dyDescent="0.35">
      <c r="A753" s="65">
        <v>751</v>
      </c>
      <c r="B753" s="66">
        <v>2.8052000192825699</v>
      </c>
      <c r="C753" s="66">
        <v>-0.22388909509940499</v>
      </c>
      <c r="D753" s="67">
        <v>0.77894320903778502</v>
      </c>
      <c r="E753" s="67">
        <v>9.53219552791791</v>
      </c>
      <c r="F753" s="67">
        <v>1.8559504487943701</v>
      </c>
      <c r="G753" s="67">
        <v>7.8325262883169602</v>
      </c>
    </row>
    <row r="754" spans="1:7" x14ac:dyDescent="0.35">
      <c r="A754" s="65">
        <v>752</v>
      </c>
      <c r="B754" s="66">
        <v>0.64203987106167604</v>
      </c>
      <c r="C754" s="66">
        <v>-0.87553233329327995</v>
      </c>
      <c r="D754" s="67">
        <v>1.5411813252203099</v>
      </c>
      <c r="E754" s="67">
        <v>-12.3815256262038</v>
      </c>
      <c r="F754" s="67">
        <v>-0.525864343257199</v>
      </c>
      <c r="G754" s="67">
        <v>-5.0770882397547803</v>
      </c>
    </row>
    <row r="755" spans="1:7" x14ac:dyDescent="0.35">
      <c r="A755" s="65">
        <v>753</v>
      </c>
      <c r="B755" s="66">
        <v>7.7971388714704499</v>
      </c>
      <c r="C755" s="66">
        <v>0.20347663805456701</v>
      </c>
      <c r="D755" s="67">
        <v>3.9307392504086098</v>
      </c>
      <c r="E755" s="67">
        <v>17.581862124572901</v>
      </c>
      <c r="F755" s="67">
        <v>2.7204605364633001</v>
      </c>
      <c r="G755" s="67">
        <v>4.5197827403275701</v>
      </c>
    </row>
    <row r="756" spans="1:7" x14ac:dyDescent="0.35">
      <c r="A756" s="65">
        <v>754</v>
      </c>
      <c r="B756" s="66">
        <v>-9.5614034326621908</v>
      </c>
      <c r="C756" s="66">
        <v>4.8307600385020004</v>
      </c>
      <c r="D756" s="67">
        <v>2.3399629772103001</v>
      </c>
      <c r="E756" s="67">
        <v>-13.806287869552101</v>
      </c>
      <c r="F756" s="67">
        <v>-3.5506839235363001</v>
      </c>
      <c r="G756" s="67">
        <v>-2.58813592041979</v>
      </c>
    </row>
    <row r="757" spans="1:7" x14ac:dyDescent="0.35">
      <c r="A757" s="65">
        <v>755</v>
      </c>
      <c r="B757" s="66">
        <v>4.9161798308648903</v>
      </c>
      <c r="C757" s="66">
        <v>-8.2615315020394604</v>
      </c>
      <c r="D757" s="67">
        <v>4.0603764899146997</v>
      </c>
      <c r="E757" s="67">
        <v>-21.228098517435999</v>
      </c>
      <c r="F757" s="67">
        <v>1.2407674079387101</v>
      </c>
      <c r="G757" s="67">
        <v>8.3190832644244303E-2</v>
      </c>
    </row>
    <row r="758" spans="1:7" x14ac:dyDescent="0.35">
      <c r="A758" s="65">
        <v>756</v>
      </c>
      <c r="B758" s="66">
        <v>4.0850418713860899</v>
      </c>
      <c r="C758" s="66">
        <v>-5.4467184929866796</v>
      </c>
      <c r="D758" s="67">
        <v>0.25694906645022197</v>
      </c>
      <c r="E758" s="67">
        <v>10.5130076823644</v>
      </c>
      <c r="F758" s="67">
        <v>16.224890166905698</v>
      </c>
      <c r="G758" s="67">
        <v>3.9394628997765899</v>
      </c>
    </row>
    <row r="759" spans="1:7" x14ac:dyDescent="0.35">
      <c r="A759" s="65">
        <v>757</v>
      </c>
      <c r="B759" s="66">
        <v>4.5643643045269799</v>
      </c>
      <c r="C759" s="66">
        <v>3.8703120902135901</v>
      </c>
      <c r="D759" s="67">
        <v>3.3386044832583002</v>
      </c>
      <c r="E759" s="67">
        <v>9.9962260533753096</v>
      </c>
      <c r="F759" s="67">
        <v>-13.347781492434599</v>
      </c>
      <c r="G759" s="67">
        <v>3.6549191655512501</v>
      </c>
    </row>
    <row r="760" spans="1:7" x14ac:dyDescent="0.35">
      <c r="A760" s="65">
        <v>758</v>
      </c>
      <c r="B760" s="66">
        <v>-7.0304357086340801</v>
      </c>
      <c r="C760" s="66">
        <v>0.69685265276700403</v>
      </c>
      <c r="D760" s="67">
        <v>4.3066688511561804</v>
      </c>
      <c r="E760" s="67">
        <v>-3.69127700732234</v>
      </c>
      <c r="F760" s="67">
        <v>-7.6958148863545404</v>
      </c>
      <c r="G760" s="67">
        <v>0.32203223243385098</v>
      </c>
    </row>
    <row r="761" spans="1:7" x14ac:dyDescent="0.35">
      <c r="A761" s="65">
        <v>759</v>
      </c>
      <c r="B761" s="66">
        <v>-6.1830236440254103</v>
      </c>
      <c r="C761" s="66">
        <v>-0.67259018088790201</v>
      </c>
      <c r="D761" s="67">
        <v>15.724743744624</v>
      </c>
      <c r="E761" s="67">
        <v>31.5665786154077</v>
      </c>
      <c r="F761" s="67">
        <v>-5.7804889338701697</v>
      </c>
      <c r="G761" s="67">
        <v>3.7007025141536198</v>
      </c>
    </row>
    <row r="762" spans="1:7" x14ac:dyDescent="0.35">
      <c r="A762" s="65">
        <v>760</v>
      </c>
      <c r="B762" s="66">
        <v>-0.76978714649258095</v>
      </c>
      <c r="C762" s="66">
        <v>-0.72790664806118499</v>
      </c>
      <c r="D762" s="67">
        <v>3.4086926227051699</v>
      </c>
      <c r="E762" s="67">
        <v>15.255177526991799</v>
      </c>
      <c r="F762" s="67">
        <v>-8.3168271329507792</v>
      </c>
      <c r="G762" s="67">
        <v>11.916056936295499</v>
      </c>
    </row>
    <row r="763" spans="1:7" x14ac:dyDescent="0.35">
      <c r="A763" s="65">
        <v>761</v>
      </c>
      <c r="B763" s="66">
        <v>5.7094248224252402</v>
      </c>
      <c r="C763" s="66">
        <v>2.06383799851737</v>
      </c>
      <c r="D763" s="67">
        <v>5.44313602326676</v>
      </c>
      <c r="E763" s="67">
        <v>-1.26158737101784</v>
      </c>
      <c r="F763" s="67">
        <v>5.2132728794182803</v>
      </c>
      <c r="G763" s="67">
        <v>-3.3806411526372599</v>
      </c>
    </row>
    <row r="764" spans="1:7" x14ac:dyDescent="0.35">
      <c r="A764" s="65">
        <v>762</v>
      </c>
      <c r="B764" s="66">
        <v>1.39272509129084</v>
      </c>
      <c r="C764" s="66">
        <v>11.668711418907501</v>
      </c>
      <c r="D764" s="67">
        <v>44.184160316147903</v>
      </c>
      <c r="E764" s="67">
        <v>-12.390919433835499</v>
      </c>
      <c r="F764" s="67">
        <v>8.0053337659596497</v>
      </c>
      <c r="G764" s="67">
        <v>15.518665485713599</v>
      </c>
    </row>
    <row r="765" spans="1:7" x14ac:dyDescent="0.35">
      <c r="A765" s="65">
        <v>763</v>
      </c>
      <c r="B765" s="66">
        <v>1.7650397505178499</v>
      </c>
      <c r="C765" s="66">
        <v>-4.2848601710136798</v>
      </c>
      <c r="D765" s="67">
        <v>5.0238127554127798</v>
      </c>
      <c r="E765" s="67">
        <v>8.6138815254535004</v>
      </c>
      <c r="F765" s="67">
        <v>12.4823426128088</v>
      </c>
      <c r="G765" s="67">
        <v>11.225808870710001</v>
      </c>
    </row>
    <row r="766" spans="1:7" x14ac:dyDescent="0.35">
      <c r="A766" s="65">
        <v>764</v>
      </c>
      <c r="B766" s="66">
        <v>-8.3401389158262997</v>
      </c>
      <c r="C766" s="66">
        <v>4.1844551019347298</v>
      </c>
      <c r="D766" s="67">
        <v>104.938510972065</v>
      </c>
      <c r="E766" s="67">
        <v>3.7680185075887298</v>
      </c>
      <c r="F766" s="67">
        <v>0.97080473047759597</v>
      </c>
      <c r="G766" s="67">
        <v>0.59170149797763005</v>
      </c>
    </row>
    <row r="767" spans="1:7" x14ac:dyDescent="0.35">
      <c r="A767" s="65">
        <v>765</v>
      </c>
      <c r="B767" s="66">
        <v>-19.131577931272101</v>
      </c>
      <c r="C767" s="66">
        <v>9.8430576842315904</v>
      </c>
      <c r="D767" s="67">
        <v>0.65735051406644196</v>
      </c>
      <c r="E767" s="67">
        <v>4.44562987412304</v>
      </c>
      <c r="F767" s="67">
        <v>15.6144507762447</v>
      </c>
      <c r="G767" s="67">
        <v>-8.0605984191083895</v>
      </c>
    </row>
    <row r="768" spans="1:7" x14ac:dyDescent="0.35">
      <c r="A768" s="65">
        <v>766</v>
      </c>
      <c r="B768" s="66">
        <v>3.22367592324367</v>
      </c>
      <c r="C768" s="66">
        <v>2.5046833042499701</v>
      </c>
      <c r="D768" s="67">
        <v>3.7399481034228201</v>
      </c>
      <c r="E768" s="67">
        <v>16.032891499153401</v>
      </c>
      <c r="F768" s="67">
        <v>4.9241467534212502</v>
      </c>
      <c r="G768" s="67">
        <v>-0.841707043742973</v>
      </c>
    </row>
    <row r="769" spans="1:7" x14ac:dyDescent="0.35">
      <c r="A769" s="65">
        <v>767</v>
      </c>
      <c r="B769" s="66">
        <v>2.4986509472223801</v>
      </c>
      <c r="C769" s="66">
        <v>-0.11138184086578801</v>
      </c>
      <c r="D769" s="67">
        <v>17.049933428072901</v>
      </c>
      <c r="E769" s="67">
        <v>23.463466009378301</v>
      </c>
      <c r="F769" s="67">
        <v>-11.819481786363299</v>
      </c>
      <c r="G769" s="67">
        <v>0.49260178622767198</v>
      </c>
    </row>
    <row r="770" spans="1:7" x14ac:dyDescent="0.35">
      <c r="A770" s="65">
        <v>768</v>
      </c>
      <c r="B770" s="66">
        <v>11.8272395235257</v>
      </c>
      <c r="C770" s="66">
        <v>2.08168971823864</v>
      </c>
      <c r="D770" s="67">
        <v>17.623269065821201</v>
      </c>
      <c r="E770" s="67">
        <v>-14.7708311286127</v>
      </c>
      <c r="F770" s="67">
        <v>0.85667117460394204</v>
      </c>
      <c r="G770" s="67">
        <v>-4.20992492697569</v>
      </c>
    </row>
    <row r="771" spans="1:7" x14ac:dyDescent="0.35">
      <c r="A771" s="65">
        <v>769</v>
      </c>
      <c r="B771" s="66">
        <v>25.535617862406699</v>
      </c>
      <c r="C771" s="66">
        <v>-5.3578474860613197</v>
      </c>
      <c r="D771" s="67">
        <v>1.75618375045912</v>
      </c>
      <c r="E771" s="67">
        <v>-4.7664426187905899</v>
      </c>
      <c r="F771" s="67">
        <v>-4.3179234530240302</v>
      </c>
      <c r="G771" s="67">
        <v>1.53584107342563</v>
      </c>
    </row>
    <row r="772" spans="1:7" x14ac:dyDescent="0.35">
      <c r="A772" s="65">
        <v>770</v>
      </c>
      <c r="B772" s="66">
        <v>5.1824170171797199</v>
      </c>
      <c r="C772" s="66">
        <v>0.68895642291523096</v>
      </c>
      <c r="D772" s="67">
        <v>1.7844406614017301</v>
      </c>
      <c r="E772" s="67">
        <v>-17.995221994828601</v>
      </c>
      <c r="F772" s="67">
        <v>-2.1757254494053702</v>
      </c>
      <c r="G772" s="67">
        <v>7.6487967825783496</v>
      </c>
    </row>
    <row r="773" spans="1:7" x14ac:dyDescent="0.35">
      <c r="A773" s="65">
        <v>771</v>
      </c>
      <c r="B773" s="66">
        <v>10.968486863784999</v>
      </c>
      <c r="C773" s="66">
        <v>-6.4636770627268501</v>
      </c>
      <c r="D773" s="67">
        <v>5.0487781392331401</v>
      </c>
      <c r="E773" s="67">
        <v>-3.5753587260963902</v>
      </c>
      <c r="F773" s="67">
        <v>3.9912518671292601</v>
      </c>
      <c r="G773" s="67">
        <v>11.315808287513001</v>
      </c>
    </row>
    <row r="774" spans="1:7" x14ac:dyDescent="0.35">
      <c r="A774" s="65">
        <v>772</v>
      </c>
      <c r="B774" s="66">
        <v>1.44748027871846</v>
      </c>
      <c r="C774" s="66">
        <v>-2.42659462458565</v>
      </c>
      <c r="D774" s="67">
        <v>1.29446918917389</v>
      </c>
      <c r="E774" s="67">
        <v>-6.68548893851729</v>
      </c>
      <c r="F774" s="67">
        <v>-17.192512441897101</v>
      </c>
      <c r="G774" s="67">
        <v>-10.852600590507601</v>
      </c>
    </row>
    <row r="775" spans="1:7" x14ac:dyDescent="0.35">
      <c r="A775" s="65">
        <v>773</v>
      </c>
      <c r="B775" s="66">
        <v>9.4155085201050905</v>
      </c>
      <c r="C775" s="66">
        <v>3.87344376893821</v>
      </c>
      <c r="D775" s="67">
        <v>9.3558788301302602</v>
      </c>
      <c r="E775" s="67">
        <v>-3.02973028257545</v>
      </c>
      <c r="F775" s="67">
        <v>4.2205898285978902</v>
      </c>
      <c r="G775" s="67">
        <v>6.2147990870446996</v>
      </c>
    </row>
    <row r="776" spans="1:7" x14ac:dyDescent="0.35">
      <c r="A776" s="65">
        <v>774</v>
      </c>
      <c r="B776" s="66">
        <v>-11.3697437857676</v>
      </c>
      <c r="C776" s="66">
        <v>7.8157770124140198</v>
      </c>
      <c r="D776" s="67">
        <v>1.8368252939571801</v>
      </c>
      <c r="E776" s="67">
        <v>12.1094005971967</v>
      </c>
      <c r="F776" s="67">
        <v>4.8128845667284897E-2</v>
      </c>
      <c r="G776" s="67">
        <v>11.444417116067701</v>
      </c>
    </row>
    <row r="777" spans="1:7" x14ac:dyDescent="0.35">
      <c r="A777" s="65">
        <v>775</v>
      </c>
      <c r="B777" s="66">
        <v>-5.5173765379460296</v>
      </c>
      <c r="C777" s="66">
        <v>6.5993402939786998</v>
      </c>
      <c r="D777" s="67">
        <v>0.58425246264394104</v>
      </c>
      <c r="E777" s="67">
        <v>14.313434434347201</v>
      </c>
      <c r="F777" s="67">
        <v>13.922745946219299</v>
      </c>
      <c r="G777" s="67">
        <v>3.00781223091185</v>
      </c>
    </row>
    <row r="778" spans="1:7" x14ac:dyDescent="0.35">
      <c r="A778" s="65">
        <v>776</v>
      </c>
      <c r="B778" s="66">
        <v>8.1979838526445192</v>
      </c>
      <c r="C778" s="66">
        <v>7.9668359985001</v>
      </c>
      <c r="D778" s="67">
        <v>0.241403121437304</v>
      </c>
      <c r="E778" s="67">
        <v>33.453055104906298</v>
      </c>
      <c r="F778" s="67">
        <v>-7.22092843948076</v>
      </c>
      <c r="G778" s="67">
        <v>5.5101201288629502</v>
      </c>
    </row>
    <row r="779" spans="1:7" x14ac:dyDescent="0.35">
      <c r="A779" s="65">
        <v>777</v>
      </c>
      <c r="B779" s="66">
        <v>-7.3873041066872904</v>
      </c>
      <c r="C779" s="66">
        <v>-2.2422005965973999</v>
      </c>
      <c r="D779" s="67">
        <v>0.389151329937374</v>
      </c>
      <c r="E779" s="67">
        <v>-11.433591467225501</v>
      </c>
      <c r="F779" s="67">
        <v>7.7464671330332999</v>
      </c>
      <c r="G779" s="67">
        <v>-5.0756018575731199</v>
      </c>
    </row>
    <row r="780" spans="1:7" x14ac:dyDescent="0.35">
      <c r="A780" s="65">
        <v>778</v>
      </c>
      <c r="B780" s="66">
        <v>-8.5774033444964495</v>
      </c>
      <c r="C780" s="66">
        <v>-2.2572243642027701</v>
      </c>
      <c r="D780" s="67">
        <v>0.91922278221725795</v>
      </c>
      <c r="E780" s="67">
        <v>8.4030703833705704</v>
      </c>
      <c r="F780" s="67">
        <v>-1.95363945391523</v>
      </c>
      <c r="G780" s="67">
        <v>13.0919600725686</v>
      </c>
    </row>
    <row r="781" spans="1:7" x14ac:dyDescent="0.35">
      <c r="A781" s="65">
        <v>779</v>
      </c>
      <c r="B781" s="66">
        <v>-4.3328492536226797</v>
      </c>
      <c r="C781" s="66">
        <v>-3.0890228244729299</v>
      </c>
      <c r="D781" s="67">
        <v>1.18401919935311</v>
      </c>
      <c r="E781" s="67">
        <v>-2.85479515324222</v>
      </c>
      <c r="F781" s="67">
        <v>7.1113672864253399</v>
      </c>
      <c r="G781" s="67">
        <v>-9.1713438134336691</v>
      </c>
    </row>
    <row r="782" spans="1:7" x14ac:dyDescent="0.35">
      <c r="A782" s="65">
        <v>780</v>
      </c>
      <c r="B782" s="66">
        <v>14.7538509240576</v>
      </c>
      <c r="C782" s="66">
        <v>0.34219587136844798</v>
      </c>
      <c r="D782" s="67">
        <v>1.1033572060522401</v>
      </c>
      <c r="E782" s="67">
        <v>-12.8946795739951</v>
      </c>
      <c r="F782" s="67">
        <v>-15.6033055533774</v>
      </c>
      <c r="G782" s="67">
        <v>-0.39673080137688799</v>
      </c>
    </row>
    <row r="783" spans="1:7" x14ac:dyDescent="0.35">
      <c r="A783" s="65">
        <v>781</v>
      </c>
      <c r="B783" s="66">
        <v>-4.2013858423180697</v>
      </c>
      <c r="C783" s="66">
        <v>-2.2851437658885199</v>
      </c>
      <c r="D783" s="67">
        <v>0.672756830231098</v>
      </c>
      <c r="E783" s="67">
        <v>24.9348565999064</v>
      </c>
      <c r="F783" s="67">
        <v>8.6971953340616395</v>
      </c>
      <c r="G783" s="67">
        <v>4.5104370292654696</v>
      </c>
    </row>
    <row r="784" spans="1:7" x14ac:dyDescent="0.35">
      <c r="A784" s="65">
        <v>782</v>
      </c>
      <c r="B784" s="66">
        <v>2.8543682797433299</v>
      </c>
      <c r="C784" s="66">
        <v>-1.4182149934123001</v>
      </c>
      <c r="D784" s="67">
        <v>3.8669557804044699</v>
      </c>
      <c r="E784" s="67">
        <v>14.6514072966686</v>
      </c>
      <c r="F784" s="67">
        <v>-3.1059490864504902</v>
      </c>
      <c r="G784" s="67">
        <v>5.2604975644253802</v>
      </c>
    </row>
    <row r="785" spans="1:7" x14ac:dyDescent="0.35">
      <c r="A785" s="65">
        <v>783</v>
      </c>
      <c r="B785" s="66">
        <v>-8.3282970559821692</v>
      </c>
      <c r="C785" s="66">
        <v>1.44633582748448</v>
      </c>
      <c r="D785" s="67">
        <v>6.2976711692680398</v>
      </c>
      <c r="E785" s="67">
        <v>3.4868883962578199</v>
      </c>
      <c r="F785" s="67">
        <v>-2.0437178110599699</v>
      </c>
      <c r="G785" s="67">
        <v>-5.7848390668411103</v>
      </c>
    </row>
    <row r="786" spans="1:7" x14ac:dyDescent="0.35">
      <c r="A786" s="65">
        <v>784</v>
      </c>
      <c r="B786" s="66">
        <v>-6.3877120401540202</v>
      </c>
      <c r="C786" s="66">
        <v>0.34495966544517398</v>
      </c>
      <c r="D786" s="67">
        <v>0.53146345428006503</v>
      </c>
      <c r="E786" s="67">
        <v>-14.9791514452534</v>
      </c>
      <c r="F786" s="67">
        <v>1.06982067323908</v>
      </c>
      <c r="G786" s="67">
        <v>11.085080977195799</v>
      </c>
    </row>
    <row r="787" spans="1:7" x14ac:dyDescent="0.35">
      <c r="A787" s="65">
        <v>785</v>
      </c>
      <c r="B787" s="66">
        <v>-0.44406815998362398</v>
      </c>
      <c r="C787" s="66">
        <v>-0.13611091910898901</v>
      </c>
      <c r="D787" s="67">
        <v>0.82491269592274696</v>
      </c>
      <c r="E787" s="67">
        <v>-8.4761121589922794</v>
      </c>
      <c r="F787" s="67">
        <v>9.80515475987694</v>
      </c>
      <c r="G787" s="67">
        <v>0.99174713256166003</v>
      </c>
    </row>
    <row r="788" spans="1:7" x14ac:dyDescent="0.35">
      <c r="A788" s="65">
        <v>786</v>
      </c>
      <c r="B788" s="66">
        <v>-17.740634042741899</v>
      </c>
      <c r="C788" s="66">
        <v>1.84607371493156</v>
      </c>
      <c r="D788" s="67">
        <v>8.9447474522763795</v>
      </c>
      <c r="E788" s="67">
        <v>1.9193709038325699</v>
      </c>
      <c r="F788" s="67">
        <v>-17.854754795161799</v>
      </c>
      <c r="G788" s="67">
        <v>1.40743649574765</v>
      </c>
    </row>
    <row r="789" spans="1:7" x14ac:dyDescent="0.35">
      <c r="A789" s="65">
        <v>787</v>
      </c>
      <c r="B789" s="66">
        <v>7.7142768773017698</v>
      </c>
      <c r="C789" s="66">
        <v>-0.32429624297838</v>
      </c>
      <c r="D789" s="67">
        <v>4.1124906672868198</v>
      </c>
      <c r="E789" s="67">
        <v>1.6348350929044599</v>
      </c>
      <c r="F789" s="67">
        <v>23.071282210090398</v>
      </c>
      <c r="G789" s="67">
        <v>14.5305147956486</v>
      </c>
    </row>
    <row r="790" spans="1:7" x14ac:dyDescent="0.35">
      <c r="A790" s="65">
        <v>788</v>
      </c>
      <c r="B790" s="66">
        <v>10.0752314392504</v>
      </c>
      <c r="C790" s="66">
        <v>9.7838272564674202</v>
      </c>
      <c r="D790" s="67">
        <v>0.69120683879933997</v>
      </c>
      <c r="E790" s="67">
        <v>11.7768376443106</v>
      </c>
      <c r="F790" s="67">
        <v>-7.8972391522784102</v>
      </c>
      <c r="G790" s="67">
        <v>-4.9612681408299499</v>
      </c>
    </row>
    <row r="791" spans="1:7" x14ac:dyDescent="0.35">
      <c r="A791" s="65">
        <v>789</v>
      </c>
      <c r="B791" s="66">
        <v>-2.6455909337759098</v>
      </c>
      <c r="C791" s="66">
        <v>0.23886409545262099</v>
      </c>
      <c r="D791" s="67">
        <v>0.72685634094098595</v>
      </c>
      <c r="E791" s="67">
        <v>10.3803320611526</v>
      </c>
      <c r="F791" s="67">
        <v>-4.0724723643800997</v>
      </c>
      <c r="G791" s="67">
        <v>-4.4413644812666497</v>
      </c>
    </row>
    <row r="792" spans="1:7" x14ac:dyDescent="0.35">
      <c r="A792" s="65">
        <v>790</v>
      </c>
      <c r="B792" s="66">
        <v>-3.5802999194244598</v>
      </c>
      <c r="C792" s="66">
        <v>5.71301602279918</v>
      </c>
      <c r="D792" s="67">
        <v>45.190921888072403</v>
      </c>
      <c r="E792" s="67">
        <v>-2.6034077442874302</v>
      </c>
      <c r="F792" s="67">
        <v>3.7223031075337398</v>
      </c>
      <c r="G792" s="67">
        <v>0.50047697875580399</v>
      </c>
    </row>
    <row r="793" spans="1:7" x14ac:dyDescent="0.35">
      <c r="A793" s="65">
        <v>791</v>
      </c>
      <c r="B793" s="66">
        <v>15.079420801890601</v>
      </c>
      <c r="C793" s="66">
        <v>-9.9506910548680594</v>
      </c>
      <c r="D793" s="67">
        <v>3.7935894142261901</v>
      </c>
      <c r="E793" s="67">
        <v>-0.632615094655127</v>
      </c>
      <c r="F793" s="67">
        <v>0.15783522844786199</v>
      </c>
      <c r="G793" s="67">
        <v>-0.30015861884770201</v>
      </c>
    </row>
    <row r="794" spans="1:7" x14ac:dyDescent="0.35">
      <c r="A794" s="65">
        <v>792</v>
      </c>
      <c r="B794" s="66">
        <v>-14.6416262191829</v>
      </c>
      <c r="C794" s="66">
        <v>-1.2185828053363701</v>
      </c>
      <c r="D794" s="67">
        <v>1.0670820223994999</v>
      </c>
      <c r="E794" s="67">
        <v>7.4424053098971701</v>
      </c>
      <c r="F794" s="67">
        <v>-3.4537235939819801</v>
      </c>
      <c r="G794" s="67">
        <v>8.6845610864573395</v>
      </c>
    </row>
    <row r="795" spans="1:7" x14ac:dyDescent="0.35">
      <c r="A795" s="65">
        <v>793</v>
      </c>
      <c r="B795" s="66">
        <v>-5.9860152170449803</v>
      </c>
      <c r="C795" s="66">
        <v>-4.2498441984561204</v>
      </c>
      <c r="D795" s="67">
        <v>15.5917437344783</v>
      </c>
      <c r="E795" s="67">
        <v>1.09709010818492</v>
      </c>
      <c r="F795" s="67">
        <v>7.3529579388599604</v>
      </c>
      <c r="G795" s="67">
        <v>8.6849764441699602</v>
      </c>
    </row>
    <row r="796" spans="1:7" x14ac:dyDescent="0.35">
      <c r="A796" s="65">
        <v>794</v>
      </c>
      <c r="B796" s="66">
        <v>-13.5254213958598</v>
      </c>
      <c r="C796" s="66">
        <v>-8.2111973831827196</v>
      </c>
      <c r="D796" s="67">
        <v>1.27164033963642</v>
      </c>
      <c r="E796" s="67">
        <v>-17.6566827069671</v>
      </c>
      <c r="F796" s="67">
        <v>-16.903429971467599</v>
      </c>
      <c r="G796" s="67">
        <v>2.1655706042672298</v>
      </c>
    </row>
    <row r="797" spans="1:7" x14ac:dyDescent="0.35">
      <c r="A797" s="65">
        <v>795</v>
      </c>
      <c r="B797" s="66">
        <v>-9.5439444954370707</v>
      </c>
      <c r="C797" s="66">
        <v>4.9091729976838403</v>
      </c>
      <c r="D797" s="67">
        <v>0.27652685673102501</v>
      </c>
      <c r="E797" s="67">
        <v>27.972249497412999</v>
      </c>
      <c r="F797" s="67">
        <v>-8.9900803336915995</v>
      </c>
      <c r="G797" s="67">
        <v>2.0420698529021899</v>
      </c>
    </row>
    <row r="798" spans="1:7" x14ac:dyDescent="0.35">
      <c r="A798" s="65">
        <v>796</v>
      </c>
      <c r="B798" s="66">
        <v>-23.2506181643604</v>
      </c>
      <c r="C798" s="66">
        <v>8.2604150271902093</v>
      </c>
      <c r="D798" s="67">
        <v>1.4119778740312601</v>
      </c>
      <c r="E798" s="67">
        <v>13.5603883804578</v>
      </c>
      <c r="F798" s="67">
        <v>-3.9224330187901102</v>
      </c>
      <c r="G798" s="67">
        <v>-3.8649218307624098</v>
      </c>
    </row>
    <row r="799" spans="1:7" x14ac:dyDescent="0.35">
      <c r="A799" s="65">
        <v>797</v>
      </c>
      <c r="B799" s="66">
        <v>14.686801054398501</v>
      </c>
      <c r="C799" s="66">
        <v>0.32356344395546599</v>
      </c>
      <c r="D799" s="67">
        <v>3.36673568500904</v>
      </c>
      <c r="E799" s="67">
        <v>-16.975183072409202</v>
      </c>
      <c r="F799" s="67">
        <v>1.77264343632924</v>
      </c>
      <c r="G799" s="67">
        <v>-0.51854471417985704</v>
      </c>
    </row>
    <row r="800" spans="1:7" x14ac:dyDescent="0.35">
      <c r="A800" s="65">
        <v>798</v>
      </c>
      <c r="B800" s="66">
        <v>17.193388100248701</v>
      </c>
      <c r="C800" s="66">
        <v>3.7589206944742299</v>
      </c>
      <c r="D800" s="67">
        <v>2.9177121870303702</v>
      </c>
      <c r="E800" s="67">
        <v>-15.7914529048796</v>
      </c>
      <c r="F800" s="67">
        <v>6.0075987643064899</v>
      </c>
      <c r="G800" s="67">
        <v>-0.185725196306777</v>
      </c>
    </row>
    <row r="801" spans="1:7" x14ac:dyDescent="0.35">
      <c r="A801" s="65">
        <v>799</v>
      </c>
      <c r="B801" s="66">
        <v>5.3514022084413604</v>
      </c>
      <c r="C801" s="66">
        <v>3.0350899687044599</v>
      </c>
      <c r="D801" s="67">
        <v>4.9127298286803098</v>
      </c>
      <c r="E801" s="67">
        <v>11.6293487375733</v>
      </c>
      <c r="F801" s="67">
        <v>1.7571208692584299</v>
      </c>
      <c r="G801" s="67">
        <v>3.2640151476274299</v>
      </c>
    </row>
    <row r="802" spans="1:7" x14ac:dyDescent="0.35">
      <c r="A802" s="65">
        <v>800</v>
      </c>
      <c r="B802" s="66">
        <v>9.5157237260063994</v>
      </c>
      <c r="C802" s="66">
        <v>1.4309977842617001</v>
      </c>
      <c r="D802" s="67">
        <v>7.4306098862411503</v>
      </c>
      <c r="E802" s="67">
        <v>-1.1574957652161499</v>
      </c>
      <c r="F802" s="67">
        <v>0.78058621152250696</v>
      </c>
      <c r="G802" s="67">
        <v>-4.7838306772641204</v>
      </c>
    </row>
    <row r="803" spans="1:7" x14ac:dyDescent="0.35">
      <c r="A803" s="65">
        <v>801</v>
      </c>
      <c r="B803" s="66">
        <v>-2.8401589964077001</v>
      </c>
      <c r="C803" s="66">
        <v>1.3759241874168</v>
      </c>
      <c r="D803" s="67">
        <v>0.86851187234307603</v>
      </c>
      <c r="E803" s="67">
        <v>-3.8802557817760901</v>
      </c>
      <c r="F803" s="67">
        <v>-7.6161772127724996</v>
      </c>
      <c r="G803" s="67">
        <v>-6.09606452103578</v>
      </c>
    </row>
    <row r="804" spans="1:7" x14ac:dyDescent="0.35">
      <c r="A804" s="65">
        <v>802</v>
      </c>
      <c r="B804" s="66">
        <v>-7.9145890718640199</v>
      </c>
      <c r="C804" s="66">
        <v>2.9216780488641199</v>
      </c>
      <c r="D804" s="67">
        <v>4.7219133626241803</v>
      </c>
      <c r="E804" s="67">
        <v>12.859523514857599</v>
      </c>
      <c r="F804" s="67">
        <v>-0.52542982963671703</v>
      </c>
      <c r="G804" s="67">
        <v>11.068124566996101</v>
      </c>
    </row>
    <row r="805" spans="1:7" x14ac:dyDescent="0.35">
      <c r="A805" s="65">
        <v>803</v>
      </c>
      <c r="B805" s="66">
        <v>3.54940800646194</v>
      </c>
      <c r="C805" s="66">
        <v>5.6667159107270697</v>
      </c>
      <c r="D805" s="67">
        <v>0.58094967616566595</v>
      </c>
      <c r="E805" s="67">
        <v>-8.8670505762447291</v>
      </c>
      <c r="F805" s="67">
        <v>5.0599844617538103</v>
      </c>
      <c r="G805" s="67">
        <v>2.44853075923099</v>
      </c>
    </row>
    <row r="806" spans="1:7" x14ac:dyDescent="0.35">
      <c r="A806" s="65">
        <v>804</v>
      </c>
      <c r="B806" s="66">
        <v>3.5507766122342401</v>
      </c>
      <c r="C806" s="66">
        <v>-1.2325437507527599</v>
      </c>
      <c r="D806" s="67">
        <v>3.0308856106330899</v>
      </c>
      <c r="E806" s="67">
        <v>-19.334100053428799</v>
      </c>
      <c r="F806" s="67">
        <v>-2.4263082683141701</v>
      </c>
      <c r="G806" s="67">
        <v>18.581054542693401</v>
      </c>
    </row>
    <row r="807" spans="1:7" x14ac:dyDescent="0.35">
      <c r="A807" s="65">
        <v>805</v>
      </c>
      <c r="B807" s="66">
        <v>-0.13954922127767699</v>
      </c>
      <c r="C807" s="66">
        <v>-2.2133572640194599</v>
      </c>
      <c r="D807" s="67">
        <v>14.3363128830653</v>
      </c>
      <c r="E807" s="67">
        <v>-4.6537384424143102</v>
      </c>
      <c r="F807" s="67">
        <v>-17.3253425874261</v>
      </c>
      <c r="G807" s="67">
        <v>10.4739417855663</v>
      </c>
    </row>
    <row r="808" spans="1:7" x14ac:dyDescent="0.35">
      <c r="A808" s="65">
        <v>806</v>
      </c>
      <c r="B808" s="66">
        <v>7.5733486755262502</v>
      </c>
      <c r="C808" s="66">
        <v>-2.1593872069688298</v>
      </c>
      <c r="D808" s="67">
        <v>0.55437569217179605</v>
      </c>
      <c r="E808" s="67">
        <v>2.5372843383543899</v>
      </c>
      <c r="F808" s="67">
        <v>-0.272892458342754</v>
      </c>
      <c r="G808" s="67">
        <v>6.8675438358425396</v>
      </c>
    </row>
    <row r="809" spans="1:7" x14ac:dyDescent="0.35">
      <c r="A809" s="65">
        <v>807</v>
      </c>
      <c r="B809" s="66">
        <v>16.880076869779199</v>
      </c>
      <c r="C809" s="66">
        <v>-1.1982800141311101</v>
      </c>
      <c r="D809" s="67">
        <v>9.8772557813224893</v>
      </c>
      <c r="E809" s="67">
        <v>16.525787365591</v>
      </c>
      <c r="F809" s="67">
        <v>7.4325942474205497</v>
      </c>
      <c r="G809" s="67">
        <v>-4.5969987789836901</v>
      </c>
    </row>
    <row r="810" spans="1:7" x14ac:dyDescent="0.35">
      <c r="A810" s="65">
        <v>808</v>
      </c>
      <c r="B810" s="66">
        <v>-5.4360122670429796</v>
      </c>
      <c r="C810" s="66">
        <v>0.69277484496045005</v>
      </c>
      <c r="D810" s="67">
        <v>8.0097891763825206</v>
      </c>
      <c r="E810" s="67">
        <v>-17.950859857774599</v>
      </c>
      <c r="F810" s="67">
        <v>22.036501348227901</v>
      </c>
      <c r="G810" s="67">
        <v>1.6755620561701801</v>
      </c>
    </row>
    <row r="811" spans="1:7" x14ac:dyDescent="0.35">
      <c r="A811" s="65">
        <v>809</v>
      </c>
      <c r="B811" s="66">
        <v>-8.3429032975060302</v>
      </c>
      <c r="C811" s="66">
        <v>-4.9275170994469599</v>
      </c>
      <c r="D811" s="67">
        <v>7.96984240754953</v>
      </c>
      <c r="E811" s="67">
        <v>-28.999063885232299</v>
      </c>
      <c r="F811" s="67">
        <v>-6.4483356122681501</v>
      </c>
      <c r="G811" s="67">
        <v>1.02600614298332</v>
      </c>
    </row>
    <row r="812" spans="1:7" x14ac:dyDescent="0.35">
      <c r="A812" s="65">
        <v>810</v>
      </c>
      <c r="B812" s="66">
        <v>-5.1566453000935102</v>
      </c>
      <c r="C812" s="66">
        <v>-3.1874096122408502</v>
      </c>
      <c r="D812" s="67">
        <v>6.75559329879193</v>
      </c>
      <c r="E812" s="67">
        <v>27.2353528354719</v>
      </c>
      <c r="F812" s="67">
        <v>10.3388920628325</v>
      </c>
      <c r="G812" s="67">
        <v>9.1339143475221594</v>
      </c>
    </row>
    <row r="813" spans="1:7" x14ac:dyDescent="0.35">
      <c r="A813" s="65">
        <v>811</v>
      </c>
      <c r="B813" s="66">
        <v>-0.71671999123129704</v>
      </c>
      <c r="C813" s="66">
        <v>-6.3282139268277504</v>
      </c>
      <c r="D813" s="67">
        <v>8.7365373831126103</v>
      </c>
      <c r="E813" s="67">
        <v>-10.858293108767301</v>
      </c>
      <c r="F813" s="67">
        <v>-0.36028427602944801</v>
      </c>
      <c r="G813" s="67">
        <v>-4.3937318964555097</v>
      </c>
    </row>
    <row r="814" spans="1:7" x14ac:dyDescent="0.35">
      <c r="A814" s="65">
        <v>812</v>
      </c>
      <c r="B814" s="66">
        <v>1.9459858843523601</v>
      </c>
      <c r="C814" s="66">
        <v>5.3095876301919596</v>
      </c>
      <c r="D814" s="67">
        <v>12.4787681386409</v>
      </c>
      <c r="E814" s="67">
        <v>-21.655126872751101</v>
      </c>
      <c r="F814" s="67">
        <v>-10.3047961641245</v>
      </c>
      <c r="G814" s="67">
        <v>-9.7746475444447896</v>
      </c>
    </row>
    <row r="815" spans="1:7" x14ac:dyDescent="0.35">
      <c r="A815" s="65">
        <v>813</v>
      </c>
      <c r="B815" s="66">
        <v>14.4038313253184</v>
      </c>
      <c r="C815" s="66">
        <v>0.55168110242601298</v>
      </c>
      <c r="D815" s="67">
        <v>1.7882078304514999</v>
      </c>
      <c r="E815" s="67">
        <v>10.4703181260934</v>
      </c>
      <c r="F815" s="67">
        <v>-10.3852167193048</v>
      </c>
      <c r="G815" s="67">
        <v>5.9789642192857704</v>
      </c>
    </row>
    <row r="816" spans="1:7" x14ac:dyDescent="0.35">
      <c r="A816" s="65">
        <v>814</v>
      </c>
      <c r="B816" s="66">
        <v>-3.45397352555818</v>
      </c>
      <c r="C816" s="66">
        <v>-2.5928883204352702</v>
      </c>
      <c r="D816" s="67">
        <v>0.67172280249764904</v>
      </c>
      <c r="E816" s="67">
        <v>-7.6614235908572503</v>
      </c>
      <c r="F816" s="67">
        <v>9.8057300017324796</v>
      </c>
      <c r="G816" s="67">
        <v>6.12266239185562</v>
      </c>
    </row>
    <row r="817" spans="1:7" x14ac:dyDescent="0.35">
      <c r="A817" s="65">
        <v>815</v>
      </c>
      <c r="B817" s="66">
        <v>21.904164411399599</v>
      </c>
      <c r="C817" s="66">
        <v>-13.647768062456</v>
      </c>
      <c r="D817" s="67">
        <v>7.5621924450650004</v>
      </c>
      <c r="E817" s="67">
        <v>11.656544611593599</v>
      </c>
      <c r="F817" s="67">
        <v>8.4335745383296707</v>
      </c>
      <c r="G817" s="67">
        <v>7.0754596118703903</v>
      </c>
    </row>
    <row r="818" spans="1:7" x14ac:dyDescent="0.35">
      <c r="A818" s="65">
        <v>816</v>
      </c>
      <c r="B818" s="66">
        <v>8.4277809158256307</v>
      </c>
      <c r="C818" s="66">
        <v>0.48397543920311797</v>
      </c>
      <c r="D818" s="67">
        <v>8.4402064235215697</v>
      </c>
      <c r="E818" s="67">
        <v>2.2901419735626698</v>
      </c>
      <c r="F818" s="67">
        <v>-3.5462140494415602</v>
      </c>
      <c r="G818" s="67">
        <v>5.8500084385584703</v>
      </c>
    </row>
    <row r="819" spans="1:7" x14ac:dyDescent="0.35">
      <c r="A819" s="65">
        <v>817</v>
      </c>
      <c r="B819" s="66">
        <v>-13.4228227794544</v>
      </c>
      <c r="C819" s="66">
        <v>-0.76000134981740497</v>
      </c>
      <c r="D819" s="67">
        <v>5.1978159806762196</v>
      </c>
      <c r="E819" s="67">
        <v>15.5445458254068</v>
      </c>
      <c r="F819" s="67">
        <v>-2.15539114986561</v>
      </c>
      <c r="G819" s="67">
        <v>12.6369902386239</v>
      </c>
    </row>
    <row r="820" spans="1:7" x14ac:dyDescent="0.35">
      <c r="A820" s="65">
        <v>818</v>
      </c>
      <c r="B820" s="66">
        <v>-1.5265771632981899</v>
      </c>
      <c r="C820" s="66">
        <v>5.5997153027528297</v>
      </c>
      <c r="D820" s="67">
        <v>0.13106640910683201</v>
      </c>
      <c r="E820" s="67">
        <v>-34.977610478400102</v>
      </c>
      <c r="F820" s="67">
        <v>-9.4465110053069701</v>
      </c>
      <c r="G820" s="67">
        <v>7.4356564136044403</v>
      </c>
    </row>
    <row r="821" spans="1:7" x14ac:dyDescent="0.35">
      <c r="A821" s="65">
        <v>819</v>
      </c>
      <c r="B821" s="66">
        <v>4.2468088283741698</v>
      </c>
      <c r="C821" s="66">
        <v>0.93110568723098497</v>
      </c>
      <c r="D821" s="67">
        <v>26.383955604421701</v>
      </c>
      <c r="E821" s="67">
        <v>15.209420942552001</v>
      </c>
      <c r="F821" s="67">
        <v>5.3471371986122298</v>
      </c>
      <c r="G821" s="67">
        <v>2.7469577839359198</v>
      </c>
    </row>
    <row r="822" spans="1:7" x14ac:dyDescent="0.35">
      <c r="A822" s="65">
        <v>820</v>
      </c>
      <c r="B822" s="66">
        <v>-9.1027013541060402</v>
      </c>
      <c r="C822" s="66">
        <v>0.73508148603088896</v>
      </c>
      <c r="D822" s="67">
        <v>1.4835269502408099</v>
      </c>
      <c r="E822" s="67">
        <v>-25.689918578713201</v>
      </c>
      <c r="F822" s="67">
        <v>-2.4959428684030001</v>
      </c>
      <c r="G822" s="67">
        <v>-5.3621553259024699</v>
      </c>
    </row>
    <row r="823" spans="1:7" x14ac:dyDescent="0.35">
      <c r="A823" s="65">
        <v>821</v>
      </c>
      <c r="B823" s="66">
        <v>2.6623098585270899</v>
      </c>
      <c r="C823" s="66">
        <v>-3.4560127729461301</v>
      </c>
      <c r="D823" s="67">
        <v>1.76283490216422</v>
      </c>
      <c r="E823" s="67">
        <v>-28.322998067603599</v>
      </c>
      <c r="F823" s="67">
        <v>-7.6734481128148904</v>
      </c>
      <c r="G823" s="67">
        <v>0.219711946325683</v>
      </c>
    </row>
    <row r="824" spans="1:7" x14ac:dyDescent="0.35">
      <c r="A824" s="65">
        <v>822</v>
      </c>
      <c r="B824" s="66">
        <v>15.409644360245901</v>
      </c>
      <c r="C824" s="66">
        <v>-1.64335004131661</v>
      </c>
      <c r="D824" s="67">
        <v>1.68711436617379</v>
      </c>
      <c r="E824" s="67">
        <v>-2.8675696838729299</v>
      </c>
      <c r="F824" s="67">
        <v>-1.79297023979299E-2</v>
      </c>
      <c r="G824" s="67">
        <v>7.2980861165913904</v>
      </c>
    </row>
    <row r="825" spans="1:7" x14ac:dyDescent="0.35">
      <c r="A825" s="65">
        <v>823</v>
      </c>
      <c r="B825" s="66">
        <v>0.30380281332752301</v>
      </c>
      <c r="C825" s="66">
        <v>3.21145829100247</v>
      </c>
      <c r="D825" s="67">
        <v>1.63552056174216</v>
      </c>
      <c r="E825" s="67">
        <v>9.4786019483854709</v>
      </c>
      <c r="F825" s="67">
        <v>9.2842945152587593</v>
      </c>
      <c r="G825" s="67">
        <v>0.72827880111225496</v>
      </c>
    </row>
    <row r="826" spans="1:7" x14ac:dyDescent="0.35">
      <c r="A826" s="65">
        <v>824</v>
      </c>
      <c r="B826" s="66">
        <v>1.94031582370889</v>
      </c>
      <c r="C826" s="66">
        <v>6.3027995584912899</v>
      </c>
      <c r="D826" s="67">
        <v>30.613911145886</v>
      </c>
      <c r="E826" s="67">
        <v>-20.7801935846052</v>
      </c>
      <c r="F826" s="67">
        <v>5.2109287868604603</v>
      </c>
      <c r="G826" s="67">
        <v>-6.50132262405634</v>
      </c>
    </row>
    <row r="827" spans="1:7" x14ac:dyDescent="0.35">
      <c r="A827" s="65">
        <v>825</v>
      </c>
      <c r="B827" s="66">
        <v>14.519925236153</v>
      </c>
      <c r="C827" s="66">
        <v>-7.2277860971103598</v>
      </c>
      <c r="D827" s="67">
        <v>4.6773022714166297</v>
      </c>
      <c r="E827" s="67">
        <v>9.3744535639004294</v>
      </c>
      <c r="F827" s="67">
        <v>-12.487702610972301</v>
      </c>
      <c r="G827" s="67">
        <v>2.7926004755399298</v>
      </c>
    </row>
    <row r="828" spans="1:7" x14ac:dyDescent="0.35">
      <c r="A828" s="65">
        <v>826</v>
      </c>
      <c r="B828" s="66">
        <v>-5.9075463874280496</v>
      </c>
      <c r="C828" s="66">
        <v>-0.27802230301043301</v>
      </c>
      <c r="D828" s="67">
        <v>0.69078220784175903</v>
      </c>
      <c r="E828" s="67">
        <v>-17.506444643068701</v>
      </c>
      <c r="F828" s="67">
        <v>-0.99651486686959301</v>
      </c>
      <c r="G828" s="67">
        <v>11.371070602278101</v>
      </c>
    </row>
    <row r="829" spans="1:7" x14ac:dyDescent="0.35">
      <c r="A829" s="65">
        <v>827</v>
      </c>
      <c r="B829" s="66">
        <v>11.210049143001999</v>
      </c>
      <c r="C829" s="66">
        <v>0.82125894050821302</v>
      </c>
      <c r="D829" s="67">
        <v>4.6308996435927101</v>
      </c>
      <c r="E829" s="67">
        <v>12.4378621213722</v>
      </c>
      <c r="F829" s="67">
        <v>-3.5008664475447802</v>
      </c>
      <c r="G829" s="67">
        <v>-2.6310607777630102</v>
      </c>
    </row>
    <row r="830" spans="1:7" x14ac:dyDescent="0.35">
      <c r="A830" s="65">
        <v>828</v>
      </c>
      <c r="B830" s="66">
        <v>9.7015730202650907</v>
      </c>
      <c r="C830" s="66">
        <v>-2.33489311168199</v>
      </c>
      <c r="D830" s="67">
        <v>1.1701765752073801</v>
      </c>
      <c r="E830" s="67">
        <v>2.1313365584011601</v>
      </c>
      <c r="F830" s="67">
        <v>-1.8852582890120599</v>
      </c>
      <c r="G830" s="67">
        <v>10.8422795309886</v>
      </c>
    </row>
    <row r="831" spans="1:7" x14ac:dyDescent="0.35">
      <c r="A831" s="65">
        <v>829</v>
      </c>
      <c r="B831" s="66">
        <v>-23.222639522334401</v>
      </c>
      <c r="C831" s="66">
        <v>-10.6373211760384</v>
      </c>
      <c r="D831" s="67">
        <v>1.0252391885327199</v>
      </c>
      <c r="E831" s="67">
        <v>-21.686075042544601</v>
      </c>
      <c r="F831" s="67">
        <v>-1.2061113952133899</v>
      </c>
      <c r="G831" s="67">
        <v>7.5262391103532401E-3</v>
      </c>
    </row>
    <row r="832" spans="1:7" x14ac:dyDescent="0.35">
      <c r="A832" s="65">
        <v>830</v>
      </c>
      <c r="B832" s="66">
        <v>-6.9157009342546703</v>
      </c>
      <c r="C832" s="66">
        <v>-8.5469935225540592</v>
      </c>
      <c r="D832" s="67">
        <v>1.8466572240010599</v>
      </c>
      <c r="E832" s="67">
        <v>15.987321450023099</v>
      </c>
      <c r="F832" s="67">
        <v>0.50014623603477204</v>
      </c>
      <c r="G832" s="67">
        <v>5.6554227580848702</v>
      </c>
    </row>
    <row r="833" spans="1:7" x14ac:dyDescent="0.35">
      <c r="A833" s="65">
        <v>831</v>
      </c>
      <c r="B833" s="66">
        <v>-1.0884417421375401</v>
      </c>
      <c r="C833" s="66">
        <v>-4.0180052196209202</v>
      </c>
      <c r="D833" s="67">
        <v>3.3720761664101899</v>
      </c>
      <c r="E833" s="67">
        <v>7.0296151148285801</v>
      </c>
      <c r="F833" s="67">
        <v>15.344500373619701</v>
      </c>
      <c r="G833" s="67">
        <v>6.7378900380420301</v>
      </c>
    </row>
    <row r="834" spans="1:7" x14ac:dyDescent="0.35">
      <c r="A834" s="65">
        <v>832</v>
      </c>
      <c r="B834" s="66">
        <v>-0.22435140890704899</v>
      </c>
      <c r="C834" s="66">
        <v>-3.1703276223058201</v>
      </c>
      <c r="D834" s="67">
        <v>8.5986544524022701</v>
      </c>
      <c r="E834" s="67">
        <v>7.3671455782998301</v>
      </c>
      <c r="F834" s="67">
        <v>11.861115933609399</v>
      </c>
      <c r="G834" s="67">
        <v>0.188828701510417</v>
      </c>
    </row>
    <row r="835" spans="1:7" x14ac:dyDescent="0.35">
      <c r="A835" s="65">
        <v>833</v>
      </c>
      <c r="B835" s="66">
        <v>5.6311837022769797</v>
      </c>
      <c r="C835" s="66">
        <v>1.57608021924398</v>
      </c>
      <c r="D835" s="67">
        <v>10.5404246961333</v>
      </c>
      <c r="E835" s="67">
        <v>22.2089995258589</v>
      </c>
      <c r="F835" s="67">
        <v>5.0440663578425697</v>
      </c>
      <c r="G835" s="67">
        <v>-4.1031050808651104</v>
      </c>
    </row>
    <row r="836" spans="1:7" x14ac:dyDescent="0.35">
      <c r="A836" s="65">
        <v>834</v>
      </c>
      <c r="B836" s="66">
        <v>6.3972010350246302</v>
      </c>
      <c r="C836" s="66">
        <v>-9.0035323956469195</v>
      </c>
      <c r="D836" s="67">
        <v>2.04266721641295</v>
      </c>
      <c r="E836" s="67">
        <v>-14.3476511529463</v>
      </c>
      <c r="F836" s="67">
        <v>-11.0996709002434</v>
      </c>
      <c r="G836" s="67">
        <v>5.7497981549884303</v>
      </c>
    </row>
    <row r="837" spans="1:7" x14ac:dyDescent="0.35">
      <c r="A837" s="65">
        <v>835</v>
      </c>
      <c r="B837" s="66">
        <v>15.8409485026461</v>
      </c>
      <c r="C837" s="66">
        <v>-2.9984643312582602</v>
      </c>
      <c r="D837" s="67">
        <v>0.26561531005461497</v>
      </c>
      <c r="E837" s="67">
        <v>3.55607302430177</v>
      </c>
      <c r="F837" s="67">
        <v>-2.3656023353096201</v>
      </c>
      <c r="G837" s="67">
        <v>6.9106120839845904</v>
      </c>
    </row>
    <row r="838" spans="1:7" x14ac:dyDescent="0.35">
      <c r="A838" s="65">
        <v>836</v>
      </c>
      <c r="B838" s="66">
        <v>14.7667758804401</v>
      </c>
      <c r="C838" s="66">
        <v>0.47312615078828602</v>
      </c>
      <c r="D838" s="67">
        <v>5.5821003197728896</v>
      </c>
      <c r="E838" s="67">
        <v>-3.4691182795709499</v>
      </c>
      <c r="F838" s="67">
        <v>2.65260120862433</v>
      </c>
      <c r="G838" s="67">
        <v>7.1440500984012996</v>
      </c>
    </row>
    <row r="839" spans="1:7" x14ac:dyDescent="0.35">
      <c r="A839" s="65">
        <v>837</v>
      </c>
      <c r="B839" s="66">
        <v>-11.0417874110745</v>
      </c>
      <c r="C839" s="66">
        <v>4.2014841852930704</v>
      </c>
      <c r="D839" s="67">
        <v>0.75034841107190298</v>
      </c>
      <c r="E839" s="67">
        <v>-30.566811521992399</v>
      </c>
      <c r="F839" s="67">
        <v>3.5699912439851</v>
      </c>
      <c r="G839" s="67">
        <v>1.8353513542131601</v>
      </c>
    </row>
    <row r="840" spans="1:7" x14ac:dyDescent="0.35">
      <c r="A840" s="65">
        <v>838</v>
      </c>
      <c r="B840" s="66">
        <v>-1.26910564613906</v>
      </c>
      <c r="C840" s="66">
        <v>3.06875065719679</v>
      </c>
      <c r="D840" s="67">
        <v>3.05096718789531</v>
      </c>
      <c r="E840" s="67">
        <v>23.784013574710102</v>
      </c>
      <c r="F840" s="67">
        <v>2.4882166420376701</v>
      </c>
      <c r="G840" s="67">
        <v>-12.3707619624267</v>
      </c>
    </row>
    <row r="841" spans="1:7" x14ac:dyDescent="0.35">
      <c r="A841" s="65">
        <v>839</v>
      </c>
      <c r="B841" s="66">
        <v>0.155799487351131</v>
      </c>
      <c r="C841" s="66">
        <v>9.7911103456150901</v>
      </c>
      <c r="D841" s="67">
        <v>0.54790758717582799</v>
      </c>
      <c r="E841" s="67">
        <v>1.94876411000468</v>
      </c>
      <c r="F841" s="67">
        <v>-2.20116782243639</v>
      </c>
      <c r="G841" s="67">
        <v>6.5674327204048701</v>
      </c>
    </row>
    <row r="842" spans="1:7" x14ac:dyDescent="0.35">
      <c r="A842" s="65">
        <v>840</v>
      </c>
      <c r="B842" s="66">
        <v>-14.9395871645075</v>
      </c>
      <c r="C842" s="66">
        <v>0.78851524743707102</v>
      </c>
      <c r="D842" s="67">
        <v>6.5366692031367997</v>
      </c>
      <c r="E842" s="67">
        <v>-18.522024380312399</v>
      </c>
      <c r="F842" s="67">
        <v>3.6876753801337898</v>
      </c>
      <c r="G842" s="67">
        <v>-1.5550045231184799</v>
      </c>
    </row>
    <row r="843" spans="1:7" x14ac:dyDescent="0.35">
      <c r="A843" s="65">
        <v>841</v>
      </c>
      <c r="B843" s="66">
        <v>-9.5499053563204601</v>
      </c>
      <c r="C843" s="66">
        <v>-9.7197950369043902</v>
      </c>
      <c r="D843" s="67">
        <v>0.74491222337802399</v>
      </c>
      <c r="E843" s="67">
        <v>17.060870156812801</v>
      </c>
      <c r="F843" s="67">
        <v>-6.5533744063225798</v>
      </c>
      <c r="G843" s="67">
        <v>8.9101937828475908</v>
      </c>
    </row>
    <row r="844" spans="1:7" x14ac:dyDescent="0.35">
      <c r="A844" s="65">
        <v>842</v>
      </c>
      <c r="B844" s="66">
        <v>-13.2531789974927</v>
      </c>
      <c r="C844" s="66">
        <v>5.3517882997778496</v>
      </c>
      <c r="D844" s="67">
        <v>1.82350905709433</v>
      </c>
      <c r="E844" s="67">
        <v>-10.6579131829224</v>
      </c>
      <c r="F844" s="67">
        <v>0.50555885042648196</v>
      </c>
      <c r="G844" s="67">
        <v>-0.82194997036554895</v>
      </c>
    </row>
    <row r="845" spans="1:7" x14ac:dyDescent="0.35">
      <c r="A845" s="65">
        <v>843</v>
      </c>
      <c r="B845" s="66">
        <v>7.24046319612932</v>
      </c>
      <c r="C845" s="66">
        <v>3.6077550423731601</v>
      </c>
      <c r="D845" s="67">
        <v>6.1468534562830204</v>
      </c>
      <c r="E845" s="67">
        <v>4.0311421374502698</v>
      </c>
      <c r="F845" s="67">
        <v>9.04690997915095</v>
      </c>
      <c r="G845" s="67">
        <v>-5.1865613459348197</v>
      </c>
    </row>
    <row r="846" spans="1:7" x14ac:dyDescent="0.35">
      <c r="A846" s="65">
        <v>844</v>
      </c>
      <c r="B846" s="66">
        <v>9.3425737477039004</v>
      </c>
      <c r="C846" s="66">
        <v>-8.5866827119385203</v>
      </c>
      <c r="D846" s="67">
        <v>1.27759682777141</v>
      </c>
      <c r="E846" s="67">
        <v>1.0858829649269099</v>
      </c>
      <c r="F846" s="67">
        <v>2.4664333018992699</v>
      </c>
      <c r="G846" s="67">
        <v>-4.1636518506684901</v>
      </c>
    </row>
    <row r="847" spans="1:7" x14ac:dyDescent="0.35">
      <c r="A847" s="65">
        <v>845</v>
      </c>
      <c r="B847" s="66">
        <v>2.4167670685405001</v>
      </c>
      <c r="C847" s="66">
        <v>2.15597360182436</v>
      </c>
      <c r="D847" s="67">
        <v>2.5328723013657699</v>
      </c>
      <c r="E847" s="67">
        <v>-14.790579326582</v>
      </c>
      <c r="F847" s="67">
        <v>-6.4938125480162503</v>
      </c>
      <c r="G847" s="67">
        <v>9.7928065687862897</v>
      </c>
    </row>
    <row r="848" spans="1:7" x14ac:dyDescent="0.35">
      <c r="A848" s="65">
        <v>846</v>
      </c>
      <c r="B848" s="66">
        <v>1.5985797629732901</v>
      </c>
      <c r="C848" s="66">
        <v>-3.1722644847324402</v>
      </c>
      <c r="D848" s="67">
        <v>0.81151777240154599</v>
      </c>
      <c r="E848" s="67">
        <v>-9.9272845064415698</v>
      </c>
      <c r="F848" s="67">
        <v>-8.3259405832370792</v>
      </c>
      <c r="G848" s="67">
        <v>3.9706281728252</v>
      </c>
    </row>
    <row r="849" spans="1:7" x14ac:dyDescent="0.35">
      <c r="A849" s="65">
        <v>847</v>
      </c>
      <c r="B849" s="66">
        <v>5.71580677220126</v>
      </c>
      <c r="C849" s="66">
        <v>7.9464364808157502</v>
      </c>
      <c r="D849" s="67">
        <v>0.53706480952103697</v>
      </c>
      <c r="E849" s="67">
        <v>10.612713872938301</v>
      </c>
      <c r="F849" s="67">
        <v>0.31676837489849802</v>
      </c>
      <c r="G849" s="67">
        <v>8.0538282480757299</v>
      </c>
    </row>
    <row r="850" spans="1:7" x14ac:dyDescent="0.35">
      <c r="A850" s="65">
        <v>848</v>
      </c>
      <c r="B850" s="66">
        <v>-3.6693810880262498</v>
      </c>
      <c r="C850" s="66">
        <v>0.33621306894769099</v>
      </c>
      <c r="D850" s="67">
        <v>2.88934449696603</v>
      </c>
      <c r="E850" s="67">
        <v>9.2970364139541708</v>
      </c>
      <c r="F850" s="67">
        <v>-4.6382598070330499</v>
      </c>
      <c r="G850" s="67">
        <v>-5.8751788087797401</v>
      </c>
    </row>
    <row r="851" spans="1:7" x14ac:dyDescent="0.35">
      <c r="A851" s="65">
        <v>849</v>
      </c>
      <c r="B851" s="66">
        <v>21.669484820303602</v>
      </c>
      <c r="C851" s="66">
        <v>0.74504734240100001</v>
      </c>
      <c r="D851" s="67">
        <v>4.0063903452033696</v>
      </c>
      <c r="E851" s="67">
        <v>-15.4246841248527</v>
      </c>
      <c r="F851" s="67">
        <v>-7.3181251576896997</v>
      </c>
      <c r="G851" s="67">
        <v>-2.0862757205698599</v>
      </c>
    </row>
    <row r="852" spans="1:7" x14ac:dyDescent="0.35">
      <c r="A852" s="65">
        <v>850</v>
      </c>
      <c r="B852" s="66">
        <v>12.229150194286801</v>
      </c>
      <c r="C852" s="66">
        <v>5.6441740086987098</v>
      </c>
      <c r="D852" s="67">
        <v>1.3204843161922399</v>
      </c>
      <c r="E852" s="67">
        <v>1.5589693897742201</v>
      </c>
      <c r="F852" s="67">
        <v>-8.9836100543637603</v>
      </c>
      <c r="G852" s="67">
        <v>-0.29884242850924903</v>
      </c>
    </row>
    <row r="853" spans="1:7" x14ac:dyDescent="0.35">
      <c r="A853" s="65">
        <v>851</v>
      </c>
      <c r="B853" s="66">
        <v>-5.6273070876656304</v>
      </c>
      <c r="C853" s="66">
        <v>2.8204438392587599</v>
      </c>
      <c r="D853" s="67">
        <v>6.8033157179431099</v>
      </c>
      <c r="E853" s="67">
        <v>-17.882464879706301</v>
      </c>
      <c r="F853" s="67">
        <v>-7.9083791825467902</v>
      </c>
      <c r="G853" s="67">
        <v>6.51656548921334</v>
      </c>
    </row>
    <row r="854" spans="1:7" x14ac:dyDescent="0.35">
      <c r="A854" s="65">
        <v>852</v>
      </c>
      <c r="B854" s="66">
        <v>1.09661584770372</v>
      </c>
      <c r="C854" s="66">
        <v>4.3629884926794196</v>
      </c>
      <c r="D854" s="67">
        <v>4.5196689398577199</v>
      </c>
      <c r="E854" s="67">
        <v>3.10858438944594</v>
      </c>
      <c r="F854" s="67">
        <v>-1.89999399302345</v>
      </c>
      <c r="G854" s="67">
        <v>2.9599677716710402</v>
      </c>
    </row>
    <row r="855" spans="1:7" x14ac:dyDescent="0.35">
      <c r="A855" s="65">
        <v>853</v>
      </c>
      <c r="B855" s="66">
        <v>-9.7620224967264004</v>
      </c>
      <c r="C855" s="66">
        <v>3.9205741903465601</v>
      </c>
      <c r="D855" s="67">
        <v>1.05314685993559</v>
      </c>
      <c r="E855" s="67">
        <v>8.2787671905093791</v>
      </c>
      <c r="F855" s="67">
        <v>-6.5274951862356696</v>
      </c>
      <c r="G855" s="67">
        <v>10.5979980040402</v>
      </c>
    </row>
    <row r="856" spans="1:7" x14ac:dyDescent="0.35">
      <c r="A856" s="65">
        <v>854</v>
      </c>
      <c r="B856" s="66">
        <v>0.40921285997464202</v>
      </c>
      <c r="C856" s="66">
        <v>-0.69006443176244103</v>
      </c>
      <c r="D856" s="67">
        <v>11.8172247125369</v>
      </c>
      <c r="E856" s="67">
        <v>-7.6599438778887503</v>
      </c>
      <c r="F856" s="67">
        <v>-2.0211185142537298</v>
      </c>
      <c r="G856" s="67">
        <v>3.1159914628952099</v>
      </c>
    </row>
    <row r="857" spans="1:7" x14ac:dyDescent="0.35">
      <c r="A857" s="65">
        <v>855</v>
      </c>
      <c r="B857" s="66">
        <v>7.1869841651189903</v>
      </c>
      <c r="C857" s="66">
        <v>-4.1753331865173999</v>
      </c>
      <c r="D857" s="67">
        <v>4.9139150399065299</v>
      </c>
      <c r="E857" s="67">
        <v>6.6117087499530297E-2</v>
      </c>
      <c r="F857" s="67">
        <v>-4.8277117879483002</v>
      </c>
      <c r="G857" s="67">
        <v>1.14873797635926</v>
      </c>
    </row>
    <row r="858" spans="1:7" x14ac:dyDescent="0.35">
      <c r="A858" s="65">
        <v>856</v>
      </c>
      <c r="B858" s="66">
        <v>-18.987060226245902</v>
      </c>
      <c r="C858" s="66">
        <v>-6.4629549859446298</v>
      </c>
      <c r="D858" s="67">
        <v>0.36923016908809903</v>
      </c>
      <c r="E858" s="67">
        <v>9.5087317039891293</v>
      </c>
      <c r="F858" s="67">
        <v>-4.0234561965447799</v>
      </c>
      <c r="G858" s="67">
        <v>7.3696971504507598</v>
      </c>
    </row>
    <row r="859" spans="1:7" x14ac:dyDescent="0.35">
      <c r="A859" s="65">
        <v>857</v>
      </c>
      <c r="B859" s="66">
        <v>11.726786211658601</v>
      </c>
      <c r="C859" s="66">
        <v>-1.2918965437192</v>
      </c>
      <c r="D859" s="67">
        <v>17.0944063076562</v>
      </c>
      <c r="E859" s="67">
        <v>2.4004386415975101</v>
      </c>
      <c r="F859" s="67">
        <v>1.6507879093096101</v>
      </c>
      <c r="G859" s="67">
        <v>7.5354399630388702</v>
      </c>
    </row>
    <row r="860" spans="1:7" x14ac:dyDescent="0.35">
      <c r="A860" s="65">
        <v>858</v>
      </c>
      <c r="B860" s="66">
        <v>-1.5514783487269801</v>
      </c>
      <c r="C860" s="66">
        <v>6.5196098247596996</v>
      </c>
      <c r="D860" s="67">
        <v>2.9141951088905298</v>
      </c>
      <c r="E860" s="67">
        <v>-11.473765014407199</v>
      </c>
      <c r="F860" s="67">
        <v>8.0633377681000997</v>
      </c>
      <c r="G860" s="67">
        <v>-5.0569083300681701</v>
      </c>
    </row>
    <row r="861" spans="1:7" x14ac:dyDescent="0.35">
      <c r="A861" s="65">
        <v>859</v>
      </c>
      <c r="B861" s="66">
        <v>10.1206918320604</v>
      </c>
      <c r="C861" s="66">
        <v>3.1483836631084499</v>
      </c>
      <c r="D861" s="67">
        <v>10.7730972694686</v>
      </c>
      <c r="E861" s="67">
        <v>-20.5162513325158</v>
      </c>
      <c r="F861" s="67">
        <v>-5.9847550515349601</v>
      </c>
      <c r="G861" s="67">
        <v>5.9070665623093701</v>
      </c>
    </row>
    <row r="862" spans="1:7" x14ac:dyDescent="0.35">
      <c r="A862" s="65">
        <v>860</v>
      </c>
      <c r="B862" s="66">
        <v>-15.4377334785479</v>
      </c>
      <c r="C862" s="66">
        <v>0.19098664812794999</v>
      </c>
      <c r="D862" s="67">
        <v>0.43908967597954501</v>
      </c>
      <c r="E862" s="67">
        <v>14.326039097887501</v>
      </c>
      <c r="F862" s="67">
        <v>6.9307999489813996</v>
      </c>
      <c r="G862" s="67">
        <v>7.0989873837740101</v>
      </c>
    </row>
    <row r="863" spans="1:7" x14ac:dyDescent="0.35">
      <c r="A863" s="65">
        <v>861</v>
      </c>
      <c r="B863" s="66">
        <v>2.6260385953435499</v>
      </c>
      <c r="C863" s="66">
        <v>-7.8660575476274502E-2</v>
      </c>
      <c r="D863" s="67">
        <v>6.5671969469610501</v>
      </c>
      <c r="E863" s="67">
        <v>8.9814051060164104</v>
      </c>
      <c r="F863" s="67">
        <v>-0.93500189217632101</v>
      </c>
      <c r="G863" s="67">
        <v>-6.9588075730937096</v>
      </c>
    </row>
    <row r="864" spans="1:7" x14ac:dyDescent="0.35">
      <c r="A864" s="65">
        <v>862</v>
      </c>
      <c r="B864" s="66">
        <v>-4.5927515749909196</v>
      </c>
      <c r="C864" s="66">
        <v>0.99959573640282495</v>
      </c>
      <c r="D864" s="67">
        <v>3.7193643717322198</v>
      </c>
      <c r="E864" s="67">
        <v>-0.89598677639223601</v>
      </c>
      <c r="F864" s="67">
        <v>-5.4091004363141302</v>
      </c>
      <c r="G864" s="67">
        <v>-1.37211491901465</v>
      </c>
    </row>
    <row r="865" spans="1:7" x14ac:dyDescent="0.35">
      <c r="A865" s="65">
        <v>863</v>
      </c>
      <c r="B865" s="66">
        <v>-7.3170194597651204</v>
      </c>
      <c r="C865" s="66">
        <v>-3.2057824033679001</v>
      </c>
      <c r="D865" s="67">
        <v>2.23589649552421</v>
      </c>
      <c r="E865" s="67">
        <v>-17.642189141234201</v>
      </c>
      <c r="F865" s="67">
        <v>1.68726627087683</v>
      </c>
      <c r="G865" s="67">
        <v>-3.22216961473179</v>
      </c>
    </row>
    <row r="866" spans="1:7" x14ac:dyDescent="0.35">
      <c r="A866" s="65">
        <v>864</v>
      </c>
      <c r="B866" s="66">
        <v>-9.9388984307677397</v>
      </c>
      <c r="C866" s="66">
        <v>-0.86503301130019805</v>
      </c>
      <c r="D866" s="67">
        <v>40.842654988325002</v>
      </c>
      <c r="E866" s="67">
        <v>-3.8379262362173399</v>
      </c>
      <c r="F866" s="67">
        <v>27.8012104559424</v>
      </c>
      <c r="G866" s="67">
        <v>9.5694163730019906</v>
      </c>
    </row>
    <row r="867" spans="1:7" x14ac:dyDescent="0.35">
      <c r="A867" s="65">
        <v>865</v>
      </c>
      <c r="B867" s="66">
        <v>-0.475941568760333</v>
      </c>
      <c r="C867" s="66">
        <v>0.88111306978714099</v>
      </c>
      <c r="D867" s="67">
        <v>5.5583609592965697</v>
      </c>
      <c r="E867" s="67">
        <v>-12.6917255069317</v>
      </c>
      <c r="F867" s="67">
        <v>4.00329981495819</v>
      </c>
      <c r="G867" s="67">
        <v>0.52168263305498197</v>
      </c>
    </row>
    <row r="868" spans="1:7" x14ac:dyDescent="0.35">
      <c r="A868" s="65">
        <v>866</v>
      </c>
      <c r="B868" s="66">
        <v>4.7003882453429204</v>
      </c>
      <c r="C868" s="66">
        <v>-1.83527560542288</v>
      </c>
      <c r="D868" s="67">
        <v>1.1958139778041199</v>
      </c>
      <c r="E868" s="67">
        <v>-12.780285384147099</v>
      </c>
      <c r="F868" s="67">
        <v>-3.1147783993160201</v>
      </c>
      <c r="G868" s="67">
        <v>-10.390682703484201</v>
      </c>
    </row>
    <row r="869" spans="1:7" x14ac:dyDescent="0.35">
      <c r="A869" s="65">
        <v>867</v>
      </c>
      <c r="B869" s="66">
        <v>-14.3716806734425</v>
      </c>
      <c r="C869" s="66">
        <v>6.3907646338360804</v>
      </c>
      <c r="D869" s="67">
        <v>2.9732884855638799</v>
      </c>
      <c r="E869" s="67">
        <v>-7.5093015240145196</v>
      </c>
      <c r="F869" s="67">
        <v>3.2285329456346599</v>
      </c>
      <c r="G869" s="67">
        <v>-1.7069952070985801</v>
      </c>
    </row>
    <row r="870" spans="1:7" x14ac:dyDescent="0.35">
      <c r="A870" s="65">
        <v>868</v>
      </c>
      <c r="B870" s="66">
        <v>2.2456727939107002</v>
      </c>
      <c r="C870" s="66">
        <v>2.0453715829527699</v>
      </c>
      <c r="D870" s="67">
        <v>10.2889385467249</v>
      </c>
      <c r="E870" s="67">
        <v>-2.8794055374402099</v>
      </c>
      <c r="F870" s="67">
        <v>-10.818538329725801</v>
      </c>
      <c r="G870" s="67">
        <v>8.8638775097385096</v>
      </c>
    </row>
    <row r="871" spans="1:7" x14ac:dyDescent="0.35">
      <c r="A871" s="65">
        <v>869</v>
      </c>
      <c r="B871" s="66">
        <v>-1.2650056522500199</v>
      </c>
      <c r="C871" s="66">
        <v>-1.1901922138129399</v>
      </c>
      <c r="D871" s="67">
        <v>7.1358474361223898</v>
      </c>
      <c r="E871" s="67">
        <v>-1.65659242211744</v>
      </c>
      <c r="F871" s="67">
        <v>0.46454088828442403</v>
      </c>
      <c r="G871" s="67">
        <v>-3.32772322218942</v>
      </c>
    </row>
    <row r="872" spans="1:7" x14ac:dyDescent="0.35">
      <c r="A872" s="65">
        <v>870</v>
      </c>
      <c r="B872" s="66">
        <v>-5.9012350639162499</v>
      </c>
      <c r="C872" s="66">
        <v>-2.75749808902428</v>
      </c>
      <c r="D872" s="67">
        <v>8.0276143848559105</v>
      </c>
      <c r="E872" s="67">
        <v>-7.7147827721405404</v>
      </c>
      <c r="F872" s="67">
        <v>-9.7103380269274204</v>
      </c>
      <c r="G872" s="67">
        <v>-6.7391974984013299</v>
      </c>
    </row>
    <row r="873" spans="1:7" x14ac:dyDescent="0.35">
      <c r="A873" s="65">
        <v>871</v>
      </c>
      <c r="B873" s="66">
        <v>-18.409169125254898</v>
      </c>
      <c r="C873" s="66">
        <v>-3.4123405609223903E-2</v>
      </c>
      <c r="D873" s="67">
        <v>7.7996845199826801</v>
      </c>
      <c r="E873" s="67">
        <v>8.0169723723870003</v>
      </c>
      <c r="F873" s="67">
        <v>-5.9386125045087299</v>
      </c>
      <c r="G873" s="67">
        <v>0.93897277165654602</v>
      </c>
    </row>
    <row r="874" spans="1:7" x14ac:dyDescent="0.35">
      <c r="A874" s="65">
        <v>872</v>
      </c>
      <c r="B874" s="66">
        <v>18.752027654580601</v>
      </c>
      <c r="C874" s="66">
        <v>3.88680279536712</v>
      </c>
      <c r="D874" s="67">
        <v>0.50506535907869299</v>
      </c>
      <c r="E874" s="67">
        <v>-15.094497078080201</v>
      </c>
      <c r="F874" s="67">
        <v>1.1856713785600601</v>
      </c>
      <c r="G874" s="67">
        <v>4.6752631288060904</v>
      </c>
    </row>
    <row r="875" spans="1:7" x14ac:dyDescent="0.35">
      <c r="A875" s="65">
        <v>873</v>
      </c>
      <c r="B875" s="66">
        <v>-13.1813093412248</v>
      </c>
      <c r="C875" s="66">
        <v>-0.900507398260873</v>
      </c>
      <c r="D875" s="67">
        <v>0.51143271998350404</v>
      </c>
      <c r="E875" s="67">
        <v>-2.4179412277127401</v>
      </c>
      <c r="F875" s="67">
        <v>0.49803743581820398</v>
      </c>
      <c r="G875" s="67">
        <v>-5.8061006605424703</v>
      </c>
    </row>
    <row r="876" spans="1:7" x14ac:dyDescent="0.35">
      <c r="A876" s="65">
        <v>874</v>
      </c>
      <c r="B876" s="66">
        <v>0.82509325342648099</v>
      </c>
      <c r="C876" s="66">
        <v>-2.9702891604892101</v>
      </c>
      <c r="D876" s="67">
        <v>2.8435155528471099</v>
      </c>
      <c r="E876" s="67">
        <v>-28.138212203525001</v>
      </c>
      <c r="F876" s="67">
        <v>10.928168888019201</v>
      </c>
      <c r="G876" s="67">
        <v>1.08587101925143</v>
      </c>
    </row>
    <row r="877" spans="1:7" x14ac:dyDescent="0.35">
      <c r="A877" s="65">
        <v>875</v>
      </c>
      <c r="B877" s="66">
        <v>-10.8444788224914</v>
      </c>
      <c r="C877" s="66">
        <v>-3.0842280947777798</v>
      </c>
      <c r="D877" s="67">
        <v>3.4671681959994598</v>
      </c>
      <c r="E877" s="67">
        <v>-5.6018001774411399</v>
      </c>
      <c r="F877" s="67">
        <v>1.39171515720327</v>
      </c>
      <c r="G877" s="67">
        <v>-3.25817276018044</v>
      </c>
    </row>
    <row r="878" spans="1:7" x14ac:dyDescent="0.35">
      <c r="A878" s="65">
        <v>876</v>
      </c>
      <c r="B878" s="66">
        <v>6.7982959630786697</v>
      </c>
      <c r="C878" s="66">
        <v>-3.0285791230499899</v>
      </c>
      <c r="D878" s="67">
        <v>1.4653709177986201</v>
      </c>
      <c r="E878" s="67">
        <v>-10.279240269966399</v>
      </c>
      <c r="F878" s="67">
        <v>-7.4097126125851203</v>
      </c>
      <c r="G878" s="67">
        <v>5.5640064476952498</v>
      </c>
    </row>
    <row r="879" spans="1:7" x14ac:dyDescent="0.35">
      <c r="A879" s="65">
        <v>877</v>
      </c>
      <c r="B879" s="66">
        <v>-1.5413041408957</v>
      </c>
      <c r="C879" s="66">
        <v>3.7207844352459398</v>
      </c>
      <c r="D879" s="67">
        <v>1.0684308163274101</v>
      </c>
      <c r="E879" s="67">
        <v>16.9862341705009</v>
      </c>
      <c r="F879" s="67">
        <v>30.826381802799101</v>
      </c>
      <c r="G879" s="67">
        <v>4.45705697312395</v>
      </c>
    </row>
    <row r="880" spans="1:7" x14ac:dyDescent="0.35">
      <c r="A880" s="65">
        <v>878</v>
      </c>
      <c r="B880" s="66">
        <v>3.4494956148814802</v>
      </c>
      <c r="C880" s="66">
        <v>0.31184205022923001</v>
      </c>
      <c r="D880" s="67">
        <v>1.8350772769207799</v>
      </c>
      <c r="E880" s="67">
        <v>-12.845481673853399</v>
      </c>
      <c r="F880" s="67">
        <v>-18.2817572413874</v>
      </c>
      <c r="G880" s="67">
        <v>-0.32783087743665501</v>
      </c>
    </row>
    <row r="881" spans="1:7" x14ac:dyDescent="0.35">
      <c r="A881" s="65">
        <v>879</v>
      </c>
      <c r="B881" s="66">
        <v>2.27652971910591</v>
      </c>
      <c r="C881" s="66">
        <v>10.735916747362801</v>
      </c>
      <c r="D881" s="67">
        <v>0.52321889884123696</v>
      </c>
      <c r="E881" s="67">
        <v>24.285081724239198</v>
      </c>
      <c r="F881" s="67">
        <v>-16.970085531593998</v>
      </c>
      <c r="G881" s="67">
        <v>-5.2053702583942796</v>
      </c>
    </row>
    <row r="882" spans="1:7" x14ac:dyDescent="0.35">
      <c r="A882" s="65">
        <v>880</v>
      </c>
      <c r="B882" s="66">
        <v>-0.53441040086675196</v>
      </c>
      <c r="C882" s="66">
        <v>-2.4849513852302301</v>
      </c>
      <c r="D882" s="67">
        <v>13.2293971019767</v>
      </c>
      <c r="E882" s="67">
        <v>1.8720381265972299</v>
      </c>
      <c r="F882" s="67">
        <v>-19.120254589868601</v>
      </c>
      <c r="G882" s="67">
        <v>-6.0467333863433499</v>
      </c>
    </row>
    <row r="883" spans="1:7" x14ac:dyDescent="0.35">
      <c r="A883" s="65">
        <v>881</v>
      </c>
      <c r="B883" s="66">
        <v>-11.718772522339799</v>
      </c>
      <c r="C883" s="66">
        <v>4.8972715620301903</v>
      </c>
      <c r="D883" s="67">
        <v>1.2106801602820501</v>
      </c>
      <c r="E883" s="67">
        <v>-23.4369670333095</v>
      </c>
      <c r="F883" s="67">
        <v>0.90758077990978603</v>
      </c>
      <c r="G883" s="67">
        <v>-5.78904224630607</v>
      </c>
    </row>
    <row r="884" spans="1:7" x14ac:dyDescent="0.35">
      <c r="A884" s="65">
        <v>882</v>
      </c>
      <c r="B884" s="66">
        <v>12.983851748847499</v>
      </c>
      <c r="C884" s="66">
        <v>-2.3450971908522802</v>
      </c>
      <c r="D884" s="67">
        <v>7.8014033423858704</v>
      </c>
      <c r="E884" s="67">
        <v>21.534997435652301</v>
      </c>
      <c r="F884" s="67">
        <v>1.5732344612551401</v>
      </c>
      <c r="G884" s="67">
        <v>-8.5072928908307901</v>
      </c>
    </row>
    <row r="885" spans="1:7" x14ac:dyDescent="0.35">
      <c r="A885" s="65">
        <v>883</v>
      </c>
      <c r="B885" s="66">
        <v>-12.195942637201</v>
      </c>
      <c r="C885" s="66">
        <v>-3.8808880665459902</v>
      </c>
      <c r="D885" s="67">
        <v>5.2077615711827399</v>
      </c>
      <c r="E885" s="67">
        <v>-6.2409903736753698</v>
      </c>
      <c r="F885" s="67">
        <v>6.9100056168166599</v>
      </c>
      <c r="G885" s="67">
        <v>-0.50223045034859104</v>
      </c>
    </row>
    <row r="886" spans="1:7" x14ac:dyDescent="0.35">
      <c r="A886" s="65">
        <v>884</v>
      </c>
      <c r="B886" s="66">
        <v>-9.1752890162571195</v>
      </c>
      <c r="C886" s="66">
        <v>-4.4473233957260199</v>
      </c>
      <c r="D886" s="67">
        <v>13.6796220327928</v>
      </c>
      <c r="E886" s="67">
        <v>-2.9252331712171902</v>
      </c>
      <c r="F886" s="67">
        <v>1.4827876155762401</v>
      </c>
      <c r="G886" s="67">
        <v>0.53863717707535896</v>
      </c>
    </row>
    <row r="887" spans="1:7" x14ac:dyDescent="0.35">
      <c r="A887" s="65">
        <v>885</v>
      </c>
      <c r="B887" s="66">
        <v>-1.2609401085803</v>
      </c>
      <c r="C887" s="66">
        <v>-1.9801106788087001E-2</v>
      </c>
      <c r="D887" s="67">
        <v>9.8723932582574392</v>
      </c>
      <c r="E887" s="67">
        <v>26.361133971848801</v>
      </c>
      <c r="F887" s="67">
        <v>12.5449347608329</v>
      </c>
      <c r="G887" s="67">
        <v>-0.897630584679594</v>
      </c>
    </row>
    <row r="888" spans="1:7" x14ac:dyDescent="0.35">
      <c r="A888" s="65">
        <v>886</v>
      </c>
      <c r="B888" s="66">
        <v>2.87315612154674</v>
      </c>
      <c r="C888" s="66">
        <v>1.6269685396248901</v>
      </c>
      <c r="D888" s="67">
        <v>7.3022957146054299</v>
      </c>
      <c r="E888" s="67">
        <v>-12.4824716756731</v>
      </c>
      <c r="F888" s="67">
        <v>8.2156063882986192</v>
      </c>
      <c r="G888" s="67">
        <v>12.4871926990047</v>
      </c>
    </row>
    <row r="889" spans="1:7" x14ac:dyDescent="0.35">
      <c r="A889" s="65">
        <v>887</v>
      </c>
      <c r="B889" s="66">
        <v>-7.76331880836723</v>
      </c>
      <c r="C889" s="66">
        <v>0.59747745123263396</v>
      </c>
      <c r="D889" s="67">
        <v>2.60365163058274</v>
      </c>
      <c r="E889" s="67">
        <v>0.17812738210662901</v>
      </c>
      <c r="F889" s="67">
        <v>-7.3131256565311702</v>
      </c>
      <c r="G889" s="67">
        <v>2.0937686342065001</v>
      </c>
    </row>
    <row r="890" spans="1:7" x14ac:dyDescent="0.35">
      <c r="A890" s="65">
        <v>888</v>
      </c>
      <c r="B890" s="66">
        <v>-8.4917413223840104</v>
      </c>
      <c r="C890" s="66">
        <v>9.9860405678406092</v>
      </c>
      <c r="D890" s="67">
        <v>2.7808578258986598</v>
      </c>
      <c r="E890" s="67">
        <v>-20.3295810236331</v>
      </c>
      <c r="F890" s="67">
        <v>-4.4151225682564803</v>
      </c>
      <c r="G890" s="67">
        <v>5.6759277743793604</v>
      </c>
    </row>
    <row r="891" spans="1:7" x14ac:dyDescent="0.35">
      <c r="A891" s="65">
        <v>889</v>
      </c>
      <c r="B891" s="66">
        <v>-7.8139082525056303</v>
      </c>
      <c r="C891" s="66">
        <v>5.1472265715552403</v>
      </c>
      <c r="D891" s="67">
        <v>5.7405000920785501</v>
      </c>
      <c r="E891" s="67">
        <v>-1.0614372943496699</v>
      </c>
      <c r="F891" s="67">
        <v>-6.0077337952867502</v>
      </c>
      <c r="G891" s="67">
        <v>3.7394689692669298</v>
      </c>
    </row>
    <row r="892" spans="1:7" x14ac:dyDescent="0.35">
      <c r="A892" s="65">
        <v>890</v>
      </c>
      <c r="B892" s="66">
        <v>-20.318911878024899</v>
      </c>
      <c r="C892" s="66">
        <v>-0.68902038483127004</v>
      </c>
      <c r="D892" s="67">
        <v>2.7428899870725498</v>
      </c>
      <c r="E892" s="67">
        <v>-32.462994582337998</v>
      </c>
      <c r="F892" s="67">
        <v>-2.4224656734431802</v>
      </c>
      <c r="G892" s="67">
        <v>2.4186058155402099</v>
      </c>
    </row>
    <row r="893" spans="1:7" x14ac:dyDescent="0.35">
      <c r="A893" s="65">
        <v>891</v>
      </c>
      <c r="B893" s="66">
        <v>-10.094704097979999</v>
      </c>
      <c r="C893" s="66">
        <v>-0.29368139141938598</v>
      </c>
      <c r="D893" s="67">
        <v>1.8352728302999399</v>
      </c>
      <c r="E893" s="67">
        <v>-3.2872243683624802</v>
      </c>
      <c r="F893" s="67">
        <v>3.4676155468563898</v>
      </c>
      <c r="G893" s="67">
        <v>-4.9469141186523</v>
      </c>
    </row>
    <row r="894" spans="1:7" x14ac:dyDescent="0.35">
      <c r="A894" s="65">
        <v>892</v>
      </c>
      <c r="B894" s="66">
        <v>6.1387935383536103</v>
      </c>
      <c r="C894" s="66">
        <v>-1.1098049282351099</v>
      </c>
      <c r="D894" s="67">
        <v>11.410048011196499</v>
      </c>
      <c r="E894" s="67">
        <v>2.13621156647927</v>
      </c>
      <c r="F894" s="67">
        <v>7.2290245414040903</v>
      </c>
      <c r="G894" s="67">
        <v>-3.1380155440504498</v>
      </c>
    </row>
    <row r="895" spans="1:7" x14ac:dyDescent="0.35">
      <c r="A895" s="65">
        <v>893</v>
      </c>
      <c r="B895" s="66">
        <v>-9.2680418270508493</v>
      </c>
      <c r="C895" s="66">
        <v>-1.4392242579758601</v>
      </c>
      <c r="D895" s="67">
        <v>6.1254375490583097</v>
      </c>
      <c r="E895" s="67">
        <v>4.6365294354064401</v>
      </c>
      <c r="F895" s="67">
        <v>-5.7642295062899196</v>
      </c>
      <c r="G895" s="67">
        <v>2.8561317421584</v>
      </c>
    </row>
    <row r="896" spans="1:7" x14ac:dyDescent="0.35">
      <c r="A896" s="65">
        <v>894</v>
      </c>
      <c r="B896" s="66">
        <v>-4.8672223101829397</v>
      </c>
      <c r="C896" s="66">
        <v>2.0976314135731098</v>
      </c>
      <c r="D896" s="67">
        <v>2.3629780596023999</v>
      </c>
      <c r="E896" s="67">
        <v>-16.977378051322201</v>
      </c>
      <c r="F896" s="67">
        <v>11.7829640082767</v>
      </c>
      <c r="G896" s="67">
        <v>3.44124084122025</v>
      </c>
    </row>
    <row r="897" spans="1:7" x14ac:dyDescent="0.35">
      <c r="A897" s="65">
        <v>895</v>
      </c>
      <c r="B897" s="66">
        <v>-12.605254828200501</v>
      </c>
      <c r="C897" s="66">
        <v>3.9071391373285498</v>
      </c>
      <c r="D897" s="67">
        <v>0.51039877902479402</v>
      </c>
      <c r="E897" s="67">
        <v>-0.614096445054092</v>
      </c>
      <c r="F897" s="67">
        <v>-14.358013185352601</v>
      </c>
      <c r="G897" s="67">
        <v>5.6935702954196099</v>
      </c>
    </row>
    <row r="898" spans="1:7" x14ac:dyDescent="0.35">
      <c r="A898" s="65">
        <v>896</v>
      </c>
      <c r="B898" s="66">
        <v>-10.863332901874101</v>
      </c>
      <c r="C898" s="66">
        <v>0.14327422390507699</v>
      </c>
      <c r="D898" s="67">
        <v>8.0813708321916096</v>
      </c>
      <c r="E898" s="67">
        <v>-22.759831908155501</v>
      </c>
      <c r="F898" s="67">
        <v>7.3864131527046899</v>
      </c>
      <c r="G898" s="67">
        <v>7.4746177238719502</v>
      </c>
    </row>
    <row r="899" spans="1:7" x14ac:dyDescent="0.35">
      <c r="A899" s="65">
        <v>897</v>
      </c>
      <c r="B899" s="66">
        <v>4.9720152090231302</v>
      </c>
      <c r="C899" s="66">
        <v>4.0513099903039702</v>
      </c>
      <c r="D899" s="67">
        <v>1.1325124243242499</v>
      </c>
      <c r="E899" s="67">
        <v>4.4283642836172703</v>
      </c>
      <c r="F899" s="67">
        <v>-23.284840664250702</v>
      </c>
      <c r="G899" s="67">
        <v>-9.1435914286894207</v>
      </c>
    </row>
    <row r="900" spans="1:7" x14ac:dyDescent="0.35">
      <c r="A900" s="65">
        <v>898</v>
      </c>
      <c r="B900" s="66">
        <v>0.78262057256795003</v>
      </c>
      <c r="C900" s="66">
        <v>5.6619666755346501</v>
      </c>
      <c r="D900" s="67">
        <v>1.28286667014388</v>
      </c>
      <c r="E900" s="67">
        <v>-17.468542845766699</v>
      </c>
      <c r="F900" s="67">
        <v>9.7677525000263898</v>
      </c>
      <c r="G900" s="67">
        <v>-4.7077254012576297</v>
      </c>
    </row>
    <row r="901" spans="1:7" x14ac:dyDescent="0.35">
      <c r="A901" s="65">
        <v>899</v>
      </c>
      <c r="B901" s="66">
        <v>12.4306538251042</v>
      </c>
      <c r="C901" s="66">
        <v>-6.72484282817548</v>
      </c>
      <c r="D901" s="67">
        <v>0.88585812446133705</v>
      </c>
      <c r="E901" s="67">
        <v>-1.92921025471817</v>
      </c>
      <c r="F901" s="67">
        <v>-8.3711559784146896</v>
      </c>
      <c r="G901" s="67">
        <v>-0.76602482374455105</v>
      </c>
    </row>
    <row r="902" spans="1:7" x14ac:dyDescent="0.35">
      <c r="A902" s="65">
        <v>900</v>
      </c>
      <c r="B902" s="66">
        <v>8.10838231930361</v>
      </c>
      <c r="C902" s="66">
        <v>-7.5805109877399701</v>
      </c>
      <c r="D902" s="67">
        <v>0.25830681337918798</v>
      </c>
      <c r="E902" s="67">
        <v>2.4810455390009198</v>
      </c>
      <c r="F902" s="67">
        <v>-0.37797051478548299</v>
      </c>
      <c r="G902" s="67">
        <v>2.7720107878598901</v>
      </c>
    </row>
    <row r="903" spans="1:7" x14ac:dyDescent="0.35">
      <c r="A903" s="65">
        <v>901</v>
      </c>
      <c r="B903" s="66">
        <v>-4.5439524041597998</v>
      </c>
      <c r="C903" s="66">
        <v>1.7452581503851301</v>
      </c>
      <c r="D903" s="67">
        <v>23.545276251305701</v>
      </c>
      <c r="E903" s="67">
        <v>-18.0062219968855</v>
      </c>
      <c r="F903" s="67">
        <v>-8.47085374385024</v>
      </c>
      <c r="G903" s="67">
        <v>-7.2471140764144204</v>
      </c>
    </row>
    <row r="904" spans="1:7" x14ac:dyDescent="0.35">
      <c r="A904" s="65">
        <v>902</v>
      </c>
      <c r="B904" s="66">
        <v>3.7707069381499001</v>
      </c>
      <c r="C904" s="66">
        <v>-9.30351104936409</v>
      </c>
      <c r="D904" s="67">
        <v>2.2418612738333299</v>
      </c>
      <c r="E904" s="67">
        <v>-18.307365815847</v>
      </c>
      <c r="F904" s="67">
        <v>2.45124822023707</v>
      </c>
      <c r="G904" s="67">
        <v>-2.9879638836095999</v>
      </c>
    </row>
    <row r="905" spans="1:7" x14ac:dyDescent="0.35">
      <c r="A905" s="65">
        <v>903</v>
      </c>
      <c r="B905" s="66">
        <v>-23.023373957736698</v>
      </c>
      <c r="C905" s="66">
        <v>0.69626397386796102</v>
      </c>
      <c r="D905" s="67">
        <v>16.398095301577399</v>
      </c>
      <c r="E905" s="67">
        <v>17.2190634080915</v>
      </c>
      <c r="F905" s="67">
        <v>8.3639817022453098</v>
      </c>
      <c r="G905" s="67">
        <v>2.5562976310999002</v>
      </c>
    </row>
    <row r="906" spans="1:7" x14ac:dyDescent="0.35">
      <c r="A906" s="65">
        <v>904</v>
      </c>
      <c r="B906" s="66">
        <v>8.5816358913443995</v>
      </c>
      <c r="C906" s="66">
        <v>0.93821187991232402</v>
      </c>
      <c r="D906" s="67">
        <v>0.42732967032667302</v>
      </c>
      <c r="E906" s="67">
        <v>-6.5013693201162903</v>
      </c>
      <c r="F906" s="67">
        <v>7.51925923331844</v>
      </c>
      <c r="G906" s="67">
        <v>-4.49732468415064</v>
      </c>
    </row>
    <row r="907" spans="1:7" x14ac:dyDescent="0.35">
      <c r="A907" s="65">
        <v>905</v>
      </c>
      <c r="B907" s="66">
        <v>14.652879837896901</v>
      </c>
      <c r="C907" s="66">
        <v>-3.9174314883278298</v>
      </c>
      <c r="D907" s="67">
        <v>1.7774665140697501</v>
      </c>
      <c r="E907" s="67">
        <v>-21.448945953867501</v>
      </c>
      <c r="F907" s="67">
        <v>-12.403398569676799</v>
      </c>
      <c r="G907" s="67">
        <v>2.24785964553711</v>
      </c>
    </row>
    <row r="908" spans="1:7" x14ac:dyDescent="0.35">
      <c r="A908" s="65">
        <v>906</v>
      </c>
      <c r="B908" s="66">
        <v>2.7315396646975199</v>
      </c>
      <c r="C908" s="66">
        <v>-0.60921110650869703</v>
      </c>
      <c r="D908" s="67">
        <v>2.4406054670533299</v>
      </c>
      <c r="E908" s="67">
        <v>-17.781179151528999</v>
      </c>
      <c r="F908" s="67">
        <v>-0.16312609005224099</v>
      </c>
      <c r="G908" s="67">
        <v>4.9000784227493401</v>
      </c>
    </row>
    <row r="909" spans="1:7" x14ac:dyDescent="0.35">
      <c r="A909" s="65">
        <v>907</v>
      </c>
      <c r="B909" s="66">
        <v>5.7652875793236902</v>
      </c>
      <c r="C909" s="66">
        <v>2.89727018330291</v>
      </c>
      <c r="D909" s="67">
        <v>6.9426805980521298</v>
      </c>
      <c r="E909" s="67">
        <v>7.1357632064319301</v>
      </c>
      <c r="F909" s="67">
        <v>-14.2177944530383</v>
      </c>
      <c r="G909" s="67">
        <v>-10.6031859561828</v>
      </c>
    </row>
    <row r="910" spans="1:7" x14ac:dyDescent="0.35">
      <c r="A910" s="65">
        <v>908</v>
      </c>
      <c r="B910" s="66">
        <v>14.515589203069799</v>
      </c>
      <c r="C910" s="66">
        <v>1.86828111993785</v>
      </c>
      <c r="D910" s="67">
        <v>1.30392176175762</v>
      </c>
      <c r="E910" s="67">
        <v>16.137009024417999</v>
      </c>
      <c r="F910" s="67">
        <v>17.538962958950801</v>
      </c>
      <c r="G910" s="67">
        <v>1.4667049734779001</v>
      </c>
    </row>
    <row r="911" spans="1:7" x14ac:dyDescent="0.35">
      <c r="A911" s="65">
        <v>909</v>
      </c>
      <c r="B911" s="66">
        <v>5.70151880455174</v>
      </c>
      <c r="C911" s="66">
        <v>0.15655379661475799</v>
      </c>
      <c r="D911" s="67">
        <v>0.330818347267754</v>
      </c>
      <c r="E911" s="67">
        <v>37.016764065917599</v>
      </c>
      <c r="F911" s="67">
        <v>6.4025032431768603</v>
      </c>
      <c r="G911" s="67">
        <v>8.7411464809683395</v>
      </c>
    </row>
    <row r="912" spans="1:7" x14ac:dyDescent="0.35">
      <c r="A912" s="65">
        <v>910</v>
      </c>
      <c r="B912" s="66">
        <v>10.553396494622</v>
      </c>
      <c r="C912" s="66">
        <v>-5.1523175531971104</v>
      </c>
      <c r="D912" s="67">
        <v>0.55716408068285195</v>
      </c>
      <c r="E912" s="67">
        <v>10.1871277279787</v>
      </c>
      <c r="F912" s="67">
        <v>-11.7076813754288</v>
      </c>
      <c r="G912" s="67">
        <v>-3.9403081399147801</v>
      </c>
    </row>
    <row r="913" spans="1:7" x14ac:dyDescent="0.35">
      <c r="A913" s="65">
        <v>911</v>
      </c>
      <c r="B913" s="66">
        <v>3.85511199937981</v>
      </c>
      <c r="C913" s="66">
        <v>-4.3595689481768698</v>
      </c>
      <c r="D913" s="67">
        <v>3.5949868145236299</v>
      </c>
      <c r="E913" s="67">
        <v>3.4614003330286902</v>
      </c>
      <c r="F913" s="67">
        <v>-9.9549115473318395</v>
      </c>
      <c r="G913" s="67">
        <v>0.86755961910661505</v>
      </c>
    </row>
    <row r="914" spans="1:7" x14ac:dyDescent="0.35">
      <c r="A914" s="65">
        <v>912</v>
      </c>
      <c r="B914" s="66">
        <v>-4.2030299812763801</v>
      </c>
      <c r="C914" s="66">
        <v>-9.9873545232675394</v>
      </c>
      <c r="D914" s="67">
        <v>1.8566130986838401</v>
      </c>
      <c r="E914" s="67">
        <v>0.493204234424372</v>
      </c>
      <c r="F914" s="67">
        <v>2.0590338599114202</v>
      </c>
      <c r="G914" s="67">
        <v>15.625979138666001</v>
      </c>
    </row>
    <row r="915" spans="1:7" x14ac:dyDescent="0.35">
      <c r="A915" s="65">
        <v>913</v>
      </c>
      <c r="B915" s="66">
        <v>-6.8687820778898496</v>
      </c>
      <c r="C915" s="66">
        <v>-0.62077703940587303</v>
      </c>
      <c r="D915" s="67">
        <v>5.2549563490923203</v>
      </c>
      <c r="E915" s="67">
        <v>-0.40123932541137702</v>
      </c>
      <c r="F915" s="67">
        <v>-10.241671024384299</v>
      </c>
      <c r="G915" s="67">
        <v>1.5589545270799801</v>
      </c>
    </row>
    <row r="916" spans="1:7" x14ac:dyDescent="0.35">
      <c r="A916" s="65">
        <v>914</v>
      </c>
      <c r="B916" s="66">
        <v>0.19532456603555201</v>
      </c>
      <c r="C916" s="66">
        <v>-2.2961809612957</v>
      </c>
      <c r="D916" s="67">
        <v>2.4537976583105299</v>
      </c>
      <c r="E916" s="67">
        <v>17.2104692801726</v>
      </c>
      <c r="F916" s="67">
        <v>1.41367366775684</v>
      </c>
      <c r="G916" s="67">
        <v>16.7839425878133</v>
      </c>
    </row>
    <row r="917" spans="1:7" x14ac:dyDescent="0.35">
      <c r="A917" s="65">
        <v>915</v>
      </c>
      <c r="B917" s="66">
        <v>1.7654764963823699</v>
      </c>
      <c r="C917" s="66">
        <v>2.1160083177232099</v>
      </c>
      <c r="D917" s="67">
        <v>1.8316450821415899</v>
      </c>
      <c r="E917" s="67">
        <v>-11.996701850764801</v>
      </c>
      <c r="F917" s="67">
        <v>-0.97800846108450101</v>
      </c>
      <c r="G917" s="67">
        <v>10.401539153553699</v>
      </c>
    </row>
    <row r="918" spans="1:7" x14ac:dyDescent="0.35">
      <c r="A918" s="65">
        <v>916</v>
      </c>
      <c r="B918" s="66">
        <v>-7.6200461091857097</v>
      </c>
      <c r="C918" s="66">
        <v>-3.2874480463826901</v>
      </c>
      <c r="D918" s="67">
        <v>1.4791930669950799</v>
      </c>
      <c r="E918" s="67">
        <v>-12.2917423983359</v>
      </c>
      <c r="F918" s="67">
        <v>-7.1611735837312498</v>
      </c>
      <c r="G918" s="67">
        <v>-3.59474095372906</v>
      </c>
    </row>
    <row r="919" spans="1:7" x14ac:dyDescent="0.35">
      <c r="A919" s="65">
        <v>917</v>
      </c>
      <c r="B919" s="66">
        <v>-9.5969516735336899</v>
      </c>
      <c r="C919" s="66">
        <v>2.7630745090620099</v>
      </c>
      <c r="D919" s="67">
        <v>1.0234434391030001</v>
      </c>
      <c r="E919" s="67">
        <v>-7.2193678495810101</v>
      </c>
      <c r="F919" s="67">
        <v>-1.4742670185657001</v>
      </c>
      <c r="G919" s="67">
        <v>-8.6723412205965609</v>
      </c>
    </row>
    <row r="920" spans="1:7" x14ac:dyDescent="0.35">
      <c r="A920" s="65">
        <v>918</v>
      </c>
      <c r="B920" s="66">
        <v>5.9088732739777203</v>
      </c>
      <c r="C920" s="66">
        <v>3.5456790964529201</v>
      </c>
      <c r="D920" s="67">
        <v>6.3619903313900803</v>
      </c>
      <c r="E920" s="67">
        <v>50.8576075117941</v>
      </c>
      <c r="F920" s="67">
        <v>6.2543061551811201</v>
      </c>
      <c r="G920" s="67">
        <v>-11.623056981643099</v>
      </c>
    </row>
    <row r="921" spans="1:7" x14ac:dyDescent="0.35">
      <c r="A921" s="65">
        <v>919</v>
      </c>
      <c r="B921" s="66">
        <v>-3.6800485273699302</v>
      </c>
      <c r="C921" s="66">
        <v>7.0574793737380501</v>
      </c>
      <c r="D921" s="67">
        <v>0.67173828277133796</v>
      </c>
      <c r="E921" s="67">
        <v>-2.1875533330435699</v>
      </c>
      <c r="F921" s="67">
        <v>-3.7979162242789899</v>
      </c>
      <c r="G921" s="67">
        <v>-1.5637313973673701</v>
      </c>
    </row>
    <row r="922" spans="1:7" x14ac:dyDescent="0.35">
      <c r="A922" s="65">
        <v>920</v>
      </c>
      <c r="B922" s="66">
        <v>-1.02502771586484</v>
      </c>
      <c r="C922" s="66">
        <v>-0.58105910854652698</v>
      </c>
      <c r="D922" s="67">
        <v>2.6886096184895001</v>
      </c>
      <c r="E922" s="67">
        <v>-13.430952795376999</v>
      </c>
      <c r="F922" s="67">
        <v>-0.22301510423269999</v>
      </c>
      <c r="G922" s="67">
        <v>-0.73629367429209502</v>
      </c>
    </row>
    <row r="923" spans="1:7" x14ac:dyDescent="0.35">
      <c r="A923" s="65">
        <v>921</v>
      </c>
      <c r="B923" s="66">
        <v>-12.2540506559424</v>
      </c>
      <c r="C923" s="66">
        <v>2.5635269382924202</v>
      </c>
      <c r="D923" s="67">
        <v>4.0749911941096597</v>
      </c>
      <c r="E923" s="67">
        <v>0.42904237784163202</v>
      </c>
      <c r="F923" s="67">
        <v>10.9728535309191</v>
      </c>
      <c r="G923" s="67">
        <v>-8.1506036698347497</v>
      </c>
    </row>
    <row r="924" spans="1:7" x14ac:dyDescent="0.35">
      <c r="A924" s="65">
        <v>922</v>
      </c>
      <c r="B924" s="66">
        <v>-2.2206905557002998</v>
      </c>
      <c r="C924" s="66">
        <v>-1.13622027128139</v>
      </c>
      <c r="D924" s="67">
        <v>10.2746104757498</v>
      </c>
      <c r="E924" s="67">
        <v>6.3705413667023896</v>
      </c>
      <c r="F924" s="67">
        <v>7.1163767482428897</v>
      </c>
      <c r="G924" s="67">
        <v>-2.9591018292146498</v>
      </c>
    </row>
    <row r="925" spans="1:7" x14ac:dyDescent="0.35">
      <c r="A925" s="65">
        <v>923</v>
      </c>
      <c r="B925" s="66">
        <v>3.95429848790093</v>
      </c>
      <c r="C925" s="66">
        <v>3.9016910976197701</v>
      </c>
      <c r="D925" s="67">
        <v>14.447922110123001</v>
      </c>
      <c r="E925" s="67">
        <v>14.4781426206549</v>
      </c>
      <c r="F925" s="67">
        <v>-7.3827691174129599</v>
      </c>
      <c r="G925" s="67">
        <v>5.3136489499376696</v>
      </c>
    </row>
    <row r="926" spans="1:7" x14ac:dyDescent="0.35">
      <c r="A926" s="65">
        <v>924</v>
      </c>
      <c r="B926" s="66">
        <v>-14.709699982161901</v>
      </c>
      <c r="C926" s="66">
        <v>5.9936094173769296</v>
      </c>
      <c r="D926" s="67">
        <v>0.93372734544435798</v>
      </c>
      <c r="E926" s="67">
        <v>-0.92664857223090402</v>
      </c>
      <c r="F926" s="67">
        <v>-4.4001066947652099</v>
      </c>
      <c r="G926" s="67">
        <v>-1.5055555844764299</v>
      </c>
    </row>
    <row r="927" spans="1:7" x14ac:dyDescent="0.35">
      <c r="A927" s="65">
        <v>925</v>
      </c>
      <c r="B927" s="66">
        <v>23.798953378802501</v>
      </c>
      <c r="C927" s="66">
        <v>5.7657644901869203</v>
      </c>
      <c r="D927" s="67">
        <v>2.0501098639065498</v>
      </c>
      <c r="E927" s="67">
        <v>32.775739623762398</v>
      </c>
      <c r="F927" s="67">
        <v>-6.9622997562193802</v>
      </c>
      <c r="G927" s="67">
        <v>9.6793589761215397</v>
      </c>
    </row>
    <row r="928" spans="1:7" x14ac:dyDescent="0.35">
      <c r="A928" s="65">
        <v>926</v>
      </c>
      <c r="B928" s="66">
        <v>9.5356535942567202</v>
      </c>
      <c r="C928" s="66">
        <v>-2.2915333813663401</v>
      </c>
      <c r="D928" s="67">
        <v>0.25201588918080398</v>
      </c>
      <c r="E928" s="67">
        <v>25.484030373134701</v>
      </c>
      <c r="F928" s="67">
        <v>-5.2516654566419598</v>
      </c>
      <c r="G928" s="67">
        <v>-2.9285280129737301</v>
      </c>
    </row>
    <row r="929" spans="1:7" x14ac:dyDescent="0.35">
      <c r="A929" s="65">
        <v>927</v>
      </c>
      <c r="B929" s="66">
        <v>2.60194041728642</v>
      </c>
      <c r="C929" s="66">
        <v>-8.1557785070910302</v>
      </c>
      <c r="D929" s="67">
        <v>0.60061194364399895</v>
      </c>
      <c r="E929" s="67">
        <v>-5.9054021597034296</v>
      </c>
      <c r="F929" s="67">
        <v>3.4437770790829498</v>
      </c>
      <c r="G929" s="67">
        <v>2.52094438985795</v>
      </c>
    </row>
    <row r="930" spans="1:7" x14ac:dyDescent="0.35">
      <c r="A930" s="65">
        <v>928</v>
      </c>
      <c r="B930" s="66">
        <v>5.6119680003721797</v>
      </c>
      <c r="C930" s="66">
        <v>3.2749169593334502</v>
      </c>
      <c r="D930" s="67">
        <v>0.94000283064477097</v>
      </c>
      <c r="E930" s="67">
        <v>19.4592315833093</v>
      </c>
      <c r="F930" s="67">
        <v>-0.74506032307366299</v>
      </c>
      <c r="G930" s="67">
        <v>10.2101736309813</v>
      </c>
    </row>
    <row r="931" spans="1:7" x14ac:dyDescent="0.35">
      <c r="A931" s="65">
        <v>929</v>
      </c>
      <c r="B931" s="66">
        <v>22.720734902360299</v>
      </c>
      <c r="C931" s="66">
        <v>6.8319664817260604</v>
      </c>
      <c r="D931" s="67">
        <v>3.69544676654575</v>
      </c>
      <c r="E931" s="67">
        <v>-5.8814357537463202</v>
      </c>
      <c r="F931" s="67">
        <v>5.96109387468191</v>
      </c>
      <c r="G931" s="67">
        <v>11.013259175686001</v>
      </c>
    </row>
    <row r="932" spans="1:7" x14ac:dyDescent="0.35">
      <c r="A932" s="65">
        <v>930</v>
      </c>
      <c r="B932" s="66">
        <v>-9.6920974935602793</v>
      </c>
      <c r="C932" s="66">
        <v>-5.3499533541968498</v>
      </c>
      <c r="D932" s="67">
        <v>2.0429414573109099</v>
      </c>
      <c r="E932" s="67">
        <v>29.491203118746199</v>
      </c>
      <c r="F932" s="67">
        <v>5.7066074670007598</v>
      </c>
      <c r="G932" s="67">
        <v>1.8798161533722599</v>
      </c>
    </row>
    <row r="933" spans="1:7" x14ac:dyDescent="0.35">
      <c r="A933" s="65">
        <v>931</v>
      </c>
      <c r="B933" s="66">
        <v>8.3223623523564498</v>
      </c>
      <c r="C933" s="66">
        <v>-2.93088919097741</v>
      </c>
      <c r="D933" s="67">
        <v>15.211044023368199</v>
      </c>
      <c r="E933" s="67">
        <v>-27.744936767467699</v>
      </c>
      <c r="F933" s="67">
        <v>18.570678405057201</v>
      </c>
      <c r="G933" s="67">
        <v>9.0458802099566107</v>
      </c>
    </row>
    <row r="934" spans="1:7" x14ac:dyDescent="0.35">
      <c r="A934" s="65">
        <v>932</v>
      </c>
      <c r="B934" s="66">
        <v>6.6950019171427098</v>
      </c>
      <c r="C934" s="66">
        <v>5.5679553502109602</v>
      </c>
      <c r="D934" s="67">
        <v>2.75688193727557</v>
      </c>
      <c r="E934" s="67">
        <v>19.0474556772432</v>
      </c>
      <c r="F934" s="67">
        <v>7.2221698651119004</v>
      </c>
      <c r="G934" s="67">
        <v>12.2030139112803</v>
      </c>
    </row>
    <row r="935" spans="1:7" x14ac:dyDescent="0.35">
      <c r="A935" s="65">
        <v>933</v>
      </c>
      <c r="B935" s="66">
        <v>5.8648984079009896</v>
      </c>
      <c r="C935" s="66">
        <v>-2.1726912384755699</v>
      </c>
      <c r="D935" s="67">
        <v>4.03365223891144</v>
      </c>
      <c r="E935" s="67">
        <v>-9.3906938399748405</v>
      </c>
      <c r="F935" s="67">
        <v>-7.7483701449596403</v>
      </c>
      <c r="G935" s="67">
        <v>2.2498138443095299</v>
      </c>
    </row>
    <row r="936" spans="1:7" x14ac:dyDescent="0.35">
      <c r="A936" s="65">
        <v>934</v>
      </c>
      <c r="B936" s="66">
        <v>-24.485363188404001</v>
      </c>
      <c r="C936" s="66">
        <v>1.57356528938308</v>
      </c>
      <c r="D936" s="67">
        <v>3.0323344926117501</v>
      </c>
      <c r="E936" s="67">
        <v>-31.062345459844099</v>
      </c>
      <c r="F936" s="67">
        <v>3.1867968021530202</v>
      </c>
      <c r="G936" s="67">
        <v>0.73335769864942801</v>
      </c>
    </row>
    <row r="937" spans="1:7" x14ac:dyDescent="0.35">
      <c r="A937" s="65">
        <v>935</v>
      </c>
      <c r="B937" s="66">
        <v>10.203048713553599</v>
      </c>
      <c r="C937" s="66">
        <v>1.32768113535554</v>
      </c>
      <c r="D937" s="67">
        <v>2.25142631161241</v>
      </c>
      <c r="E937" s="67">
        <v>-17.792652418950901</v>
      </c>
      <c r="F937" s="67">
        <v>-7.6469429930514803</v>
      </c>
      <c r="G937" s="67">
        <v>8.5364034380241396</v>
      </c>
    </row>
    <row r="938" spans="1:7" x14ac:dyDescent="0.35">
      <c r="A938" s="65">
        <v>936</v>
      </c>
      <c r="B938" s="66">
        <v>-13.1290019040175</v>
      </c>
      <c r="C938" s="66">
        <v>-4.3180219361864998</v>
      </c>
      <c r="D938" s="67">
        <v>4.3301311762012098</v>
      </c>
      <c r="E938" s="67">
        <v>-5.8855788443242103</v>
      </c>
      <c r="F938" s="67">
        <v>15.5078778411524</v>
      </c>
      <c r="G938" s="67">
        <v>6.3425865707154099</v>
      </c>
    </row>
    <row r="939" spans="1:7" x14ac:dyDescent="0.35">
      <c r="A939" s="65">
        <v>937</v>
      </c>
      <c r="B939" s="66">
        <v>-0.84893929365114595</v>
      </c>
      <c r="C939" s="66">
        <v>-4.8900989040911904</v>
      </c>
      <c r="D939" s="67">
        <v>4.9020330405864101</v>
      </c>
      <c r="E939" s="67">
        <v>-6.8695756305394102</v>
      </c>
      <c r="F939" s="67">
        <v>-14.2802338137001</v>
      </c>
      <c r="G939" s="67">
        <v>6.2232561136035498</v>
      </c>
    </row>
    <row r="940" spans="1:7" x14ac:dyDescent="0.35">
      <c r="A940" s="65">
        <v>938</v>
      </c>
      <c r="B940" s="66">
        <v>2.1512751105426302</v>
      </c>
      <c r="C940" s="66">
        <v>-1.60316430549188</v>
      </c>
      <c r="D940" s="67">
        <v>4.6872783140294096</v>
      </c>
      <c r="E940" s="67">
        <v>5.45050453266653</v>
      </c>
      <c r="F940" s="67">
        <v>21.8440904317263</v>
      </c>
      <c r="G940" s="67">
        <v>0.45045890983450199</v>
      </c>
    </row>
    <row r="941" spans="1:7" x14ac:dyDescent="0.35">
      <c r="A941" s="65">
        <v>939</v>
      </c>
      <c r="B941" s="66">
        <v>11.9422254146954</v>
      </c>
      <c r="C941" s="66">
        <v>-4.5575332345725101</v>
      </c>
      <c r="D941" s="67">
        <v>0.82349900814814503</v>
      </c>
      <c r="E941" s="67">
        <v>0.74074905775655897</v>
      </c>
      <c r="F941" s="67">
        <v>14.465387919013301</v>
      </c>
      <c r="G941" s="67">
        <v>4.6538063291169598</v>
      </c>
    </row>
    <row r="942" spans="1:7" x14ac:dyDescent="0.35">
      <c r="A942" s="65">
        <v>940</v>
      </c>
      <c r="B942" s="66">
        <v>-10.9627250699554</v>
      </c>
      <c r="C942" s="66">
        <v>-2.00967758532718</v>
      </c>
      <c r="D942" s="67">
        <v>0.66221141110576098</v>
      </c>
      <c r="E942" s="67">
        <v>7.7650096106653503</v>
      </c>
      <c r="F942" s="67">
        <v>12.1352846920143</v>
      </c>
      <c r="G942" s="67">
        <v>-10.52722750347</v>
      </c>
    </row>
    <row r="943" spans="1:7" x14ac:dyDescent="0.35">
      <c r="A943" s="65">
        <v>941</v>
      </c>
      <c r="B943" s="66">
        <v>-15.4566172805844</v>
      </c>
      <c r="C943" s="66">
        <v>0.84312508838500599</v>
      </c>
      <c r="D943" s="67">
        <v>1.6938433033564</v>
      </c>
      <c r="E943" s="67">
        <v>-29.6449213996178</v>
      </c>
      <c r="F943" s="67">
        <v>-16.4113966182898</v>
      </c>
      <c r="G943" s="67">
        <v>-1.0274428107523801</v>
      </c>
    </row>
    <row r="944" spans="1:7" x14ac:dyDescent="0.35">
      <c r="A944" s="65">
        <v>942</v>
      </c>
      <c r="B944" s="66">
        <v>-6.7748154697147198</v>
      </c>
      <c r="C944" s="66">
        <v>8.6104277600874806</v>
      </c>
      <c r="D944" s="67">
        <v>10.1993362224124</v>
      </c>
      <c r="E944" s="67">
        <v>-3.8290372398472301</v>
      </c>
      <c r="F944" s="67">
        <v>5.3616228485388904</v>
      </c>
      <c r="G944" s="67">
        <v>3.2796392730836801</v>
      </c>
    </row>
    <row r="945" spans="1:7" x14ac:dyDescent="0.35">
      <c r="A945" s="65">
        <v>943</v>
      </c>
      <c r="B945" s="66">
        <v>4.0638973251038299</v>
      </c>
      <c r="C945" s="66">
        <v>-0.14207014290508299</v>
      </c>
      <c r="D945" s="67">
        <v>0.59739215987699601</v>
      </c>
      <c r="E945" s="67">
        <v>-6.85377081031716</v>
      </c>
      <c r="F945" s="67">
        <v>2.4422166142656998</v>
      </c>
      <c r="G945" s="67">
        <v>5.6831731035018596</v>
      </c>
    </row>
    <row r="946" spans="1:7" x14ac:dyDescent="0.35">
      <c r="A946" s="65">
        <v>944</v>
      </c>
      <c r="B946" s="66">
        <v>0.83096281024487095</v>
      </c>
      <c r="C946" s="66">
        <v>-8.6649632930386993</v>
      </c>
      <c r="D946" s="67">
        <v>22.0827833166083</v>
      </c>
      <c r="E946" s="67">
        <v>-9.5301883390616293</v>
      </c>
      <c r="F946" s="67">
        <v>17.155873595076699</v>
      </c>
      <c r="G946" s="67">
        <v>11.440205137377999</v>
      </c>
    </row>
    <row r="947" spans="1:7" x14ac:dyDescent="0.35">
      <c r="A947" s="65">
        <v>945</v>
      </c>
      <c r="B947" s="66">
        <v>19.943339154401901</v>
      </c>
      <c r="C947" s="66">
        <v>-5.6806963288368699</v>
      </c>
      <c r="D947" s="67">
        <v>7.6930589112965801</v>
      </c>
      <c r="E947" s="67">
        <v>20.5663598026212</v>
      </c>
      <c r="F947" s="67">
        <v>-14.8964773926789</v>
      </c>
      <c r="G947" s="67">
        <v>3.70423557802083</v>
      </c>
    </row>
    <row r="948" spans="1:7" x14ac:dyDescent="0.35">
      <c r="A948" s="65">
        <v>946</v>
      </c>
      <c r="B948" s="66">
        <v>-1.1483528527415101</v>
      </c>
      <c r="C948" s="66">
        <v>-1.33619481100518</v>
      </c>
      <c r="D948" s="67">
        <v>17.953392984847</v>
      </c>
      <c r="E948" s="67">
        <v>-7.09743627048476</v>
      </c>
      <c r="F948" s="67">
        <v>-4.0657779715591698</v>
      </c>
      <c r="G948" s="67">
        <v>10.647505883346399</v>
      </c>
    </row>
    <row r="949" spans="1:7" x14ac:dyDescent="0.35">
      <c r="A949" s="65">
        <v>947</v>
      </c>
      <c r="B949" s="66">
        <v>7.0484907004577098</v>
      </c>
      <c r="C949" s="66">
        <v>-5.0355877179371102</v>
      </c>
      <c r="D949" s="67">
        <v>2.86227963955371</v>
      </c>
      <c r="E949" s="67">
        <v>-5.7915219049944504</v>
      </c>
      <c r="F949" s="67">
        <v>3.7814672200538499</v>
      </c>
      <c r="G949" s="67">
        <v>4.5186317259135604</v>
      </c>
    </row>
    <row r="950" spans="1:7" x14ac:dyDescent="0.35">
      <c r="A950" s="65">
        <v>948</v>
      </c>
      <c r="B950" s="66">
        <v>-0.56780115508735396</v>
      </c>
      <c r="C950" s="66">
        <v>-2.66913219994799</v>
      </c>
      <c r="D950" s="67">
        <v>0.33598020476449603</v>
      </c>
      <c r="E950" s="67">
        <v>3.6504472506595498</v>
      </c>
      <c r="F950" s="67">
        <v>-16.6099567591531</v>
      </c>
      <c r="G950" s="67">
        <v>16.439806524701901</v>
      </c>
    </row>
    <row r="951" spans="1:7" x14ac:dyDescent="0.35">
      <c r="A951" s="65">
        <v>949</v>
      </c>
      <c r="B951" s="66">
        <v>-31.7198465431273</v>
      </c>
      <c r="C951" s="66">
        <v>-6.8128755178545601</v>
      </c>
      <c r="D951" s="67">
        <v>1.38626347623216</v>
      </c>
      <c r="E951" s="67">
        <v>11.208292998251</v>
      </c>
      <c r="F951" s="67">
        <v>3.2567571929080801</v>
      </c>
      <c r="G951" s="67">
        <v>6.7128348857369602</v>
      </c>
    </row>
    <row r="952" spans="1:7" x14ac:dyDescent="0.35">
      <c r="A952" s="65">
        <v>950</v>
      </c>
      <c r="B952" s="66">
        <v>-8.3194636127725801</v>
      </c>
      <c r="C952" s="66">
        <v>-8.7855454618532995</v>
      </c>
      <c r="D952" s="67">
        <v>1.1092653398816399</v>
      </c>
      <c r="E952" s="67">
        <v>-15.196260818134499</v>
      </c>
      <c r="F952" s="67">
        <v>-21.992784013969001</v>
      </c>
      <c r="G952" s="67">
        <v>1.75834303175942</v>
      </c>
    </row>
    <row r="953" spans="1:7" x14ac:dyDescent="0.35">
      <c r="A953" s="65">
        <v>951</v>
      </c>
      <c r="B953" s="66">
        <v>3.5395070795877301</v>
      </c>
      <c r="C953" s="66">
        <v>-2.1429627837188101</v>
      </c>
      <c r="D953" s="67">
        <v>3.1690411983493201</v>
      </c>
      <c r="E953" s="67">
        <v>-6.1007825633774502</v>
      </c>
      <c r="F953" s="67">
        <v>-2.4770894578395199</v>
      </c>
      <c r="G953" s="67">
        <v>-8.3980003426709402</v>
      </c>
    </row>
    <row r="954" spans="1:7" x14ac:dyDescent="0.35">
      <c r="A954" s="65">
        <v>952</v>
      </c>
      <c r="B954" s="66">
        <v>6.7812306052949003</v>
      </c>
      <c r="C954" s="66">
        <v>1.0877868921557099</v>
      </c>
      <c r="D954" s="67">
        <v>5.5093812331205001</v>
      </c>
      <c r="E954" s="67">
        <v>5.4736204563606696</v>
      </c>
      <c r="F954" s="67">
        <v>-7.4531696537118099</v>
      </c>
      <c r="G954" s="67">
        <v>-4.9523423154173898</v>
      </c>
    </row>
    <row r="955" spans="1:7" x14ac:dyDescent="0.35">
      <c r="A955" s="65">
        <v>953</v>
      </c>
      <c r="B955" s="66">
        <v>7.4327533719834697</v>
      </c>
      <c r="C955" s="66">
        <v>10.0837435696006</v>
      </c>
      <c r="D955" s="67">
        <v>13.1015681544319</v>
      </c>
      <c r="E955" s="67">
        <v>-12.149657719287701</v>
      </c>
      <c r="F955" s="67">
        <v>1.30269138302501</v>
      </c>
      <c r="G955" s="67">
        <v>2.4270365453523399</v>
      </c>
    </row>
    <row r="956" spans="1:7" x14ac:dyDescent="0.35">
      <c r="A956" s="65">
        <v>954</v>
      </c>
      <c r="B956" s="66">
        <v>8.1577008334589003</v>
      </c>
      <c r="C956" s="66">
        <v>-2.0764810979578301</v>
      </c>
      <c r="D956" s="67">
        <v>3.9992878642463801</v>
      </c>
      <c r="E956" s="67">
        <v>5.0936644043450796</v>
      </c>
      <c r="F956" s="67">
        <v>6.890046875895</v>
      </c>
      <c r="G956" s="67">
        <v>3.9411187366813398</v>
      </c>
    </row>
    <row r="957" spans="1:7" x14ac:dyDescent="0.35">
      <c r="A957" s="65">
        <v>955</v>
      </c>
      <c r="B957" s="66">
        <v>4.4921379833344197</v>
      </c>
      <c r="C957" s="66">
        <v>12.7124101313517</v>
      </c>
      <c r="D957" s="67">
        <v>21.782003099832199</v>
      </c>
      <c r="E957" s="67">
        <v>-4.6263716027677004</v>
      </c>
      <c r="F957" s="67">
        <v>-9.2215595526234893</v>
      </c>
      <c r="G957" s="67">
        <v>-6.5322101419531001E-2</v>
      </c>
    </row>
    <row r="958" spans="1:7" x14ac:dyDescent="0.35">
      <c r="A958" s="65">
        <v>956</v>
      </c>
      <c r="B958" s="66">
        <v>-4.3349858662839198</v>
      </c>
      <c r="C958" s="66">
        <v>8.6424350345775096</v>
      </c>
      <c r="D958" s="67">
        <v>3.8730698963082002</v>
      </c>
      <c r="E958" s="67">
        <v>-3.4344856820156102</v>
      </c>
      <c r="F958" s="67">
        <v>3.7538580058807201</v>
      </c>
      <c r="G958" s="67">
        <v>6.1504600116175903</v>
      </c>
    </row>
    <row r="959" spans="1:7" x14ac:dyDescent="0.35">
      <c r="A959" s="65">
        <v>957</v>
      </c>
      <c r="B959" s="66">
        <v>2.71468905079879</v>
      </c>
      <c r="C959" s="66">
        <v>-2.8638033421931599</v>
      </c>
      <c r="D959" s="67">
        <v>3.1782148395438501</v>
      </c>
      <c r="E959" s="67">
        <v>6.1941208038423801</v>
      </c>
      <c r="F959" s="67">
        <v>0.33010393871554999</v>
      </c>
      <c r="G959" s="67">
        <v>3.38921833706828</v>
      </c>
    </row>
    <row r="960" spans="1:7" x14ac:dyDescent="0.35">
      <c r="A960" s="65">
        <v>958</v>
      </c>
      <c r="B960" s="66">
        <v>4.2824891235198903</v>
      </c>
      <c r="C960" s="66">
        <v>0.55250640141754204</v>
      </c>
      <c r="D960" s="67">
        <v>3.6027165577648401</v>
      </c>
      <c r="E960" s="67">
        <v>9.1598642750525592</v>
      </c>
      <c r="F960" s="67">
        <v>6.1841983074622204</v>
      </c>
      <c r="G960" s="67">
        <v>-15.569191845131</v>
      </c>
    </row>
    <row r="961" spans="1:7" x14ac:dyDescent="0.35">
      <c r="A961" s="65">
        <v>959</v>
      </c>
      <c r="B961" s="66">
        <v>-5.9146879523796896</v>
      </c>
      <c r="C961" s="66">
        <v>2.0570183602088599</v>
      </c>
      <c r="D961" s="67">
        <v>9.6051379765679101</v>
      </c>
      <c r="E961" s="67">
        <v>4.32156484677094</v>
      </c>
      <c r="F961" s="67">
        <v>9.3924327302501691</v>
      </c>
      <c r="G961" s="67">
        <v>-1.66975088938438</v>
      </c>
    </row>
    <row r="962" spans="1:7" x14ac:dyDescent="0.35">
      <c r="A962" s="65">
        <v>960</v>
      </c>
      <c r="B962" s="66">
        <v>0.63656585422999001</v>
      </c>
      <c r="C962" s="66">
        <v>5.7087040166450302</v>
      </c>
      <c r="D962" s="67">
        <v>1.9549764895664199</v>
      </c>
      <c r="E962" s="67">
        <v>10.9969869561303</v>
      </c>
      <c r="F962" s="67">
        <v>12.0773979096933</v>
      </c>
      <c r="G962" s="67">
        <v>6.8632619931486198</v>
      </c>
    </row>
    <row r="963" spans="1:7" x14ac:dyDescent="0.35">
      <c r="A963" s="65">
        <v>961</v>
      </c>
      <c r="B963" s="66">
        <v>7.6426253214056201</v>
      </c>
      <c r="C963" s="66">
        <v>-3.40002059177966</v>
      </c>
      <c r="D963" s="67">
        <v>0.54312465031128898</v>
      </c>
      <c r="E963" s="67">
        <v>0.75840849751325701</v>
      </c>
      <c r="F963" s="67">
        <v>-7.2589315495561699</v>
      </c>
      <c r="G963" s="67">
        <v>13.596348656440799</v>
      </c>
    </row>
    <row r="964" spans="1:7" x14ac:dyDescent="0.35">
      <c r="A964" s="65">
        <v>962</v>
      </c>
      <c r="B964" s="66">
        <v>9.7053266428341498</v>
      </c>
      <c r="C964" s="66">
        <v>5.3026094215749202</v>
      </c>
      <c r="D964" s="67">
        <v>2.17674226517964</v>
      </c>
      <c r="E964" s="67">
        <v>-10.3642998319188</v>
      </c>
      <c r="F964" s="67">
        <v>6.1071139018798997</v>
      </c>
      <c r="G964" s="67">
        <v>2.3165268993472399</v>
      </c>
    </row>
    <row r="965" spans="1:7" x14ac:dyDescent="0.35">
      <c r="A965" s="65">
        <v>963</v>
      </c>
      <c r="B965" s="66">
        <v>-6.8383351180865999</v>
      </c>
      <c r="C965" s="66">
        <v>6.3364542385561</v>
      </c>
      <c r="D965" s="67">
        <v>5.7521109102193604</v>
      </c>
      <c r="E965" s="67">
        <v>-6.7528415861265199</v>
      </c>
      <c r="F965" s="67">
        <v>2.8348515602763</v>
      </c>
      <c r="G965" s="67">
        <v>9.5599903724728108</v>
      </c>
    </row>
    <row r="966" spans="1:7" x14ac:dyDescent="0.35">
      <c r="A966" s="65">
        <v>964</v>
      </c>
      <c r="B966" s="66">
        <v>6.4633696539151702</v>
      </c>
      <c r="C966" s="66">
        <v>0.63018083462671604</v>
      </c>
      <c r="D966" s="67">
        <v>3.0995767833423198</v>
      </c>
      <c r="E966" s="67">
        <v>-8.5311421586554292</v>
      </c>
      <c r="F966" s="67">
        <v>9.6557005218832295</v>
      </c>
      <c r="G966" s="67">
        <v>-6.7505331253277703</v>
      </c>
    </row>
    <row r="967" spans="1:7" x14ac:dyDescent="0.35">
      <c r="A967" s="65">
        <v>965</v>
      </c>
      <c r="B967" s="66">
        <v>-18.628851264004901</v>
      </c>
      <c r="C967" s="66">
        <v>-4.4604961593263601</v>
      </c>
      <c r="D967" s="67">
        <v>3.7215971479946899</v>
      </c>
      <c r="E967" s="67">
        <v>-3.2385447592832701</v>
      </c>
      <c r="F967" s="67">
        <v>-0.56878745831578903</v>
      </c>
      <c r="G967" s="67">
        <v>-4.7671009575661198</v>
      </c>
    </row>
    <row r="968" spans="1:7" x14ac:dyDescent="0.35">
      <c r="A968" s="65">
        <v>966</v>
      </c>
      <c r="B968" s="66">
        <v>-17.613158949916201</v>
      </c>
      <c r="C968" s="66">
        <v>-5.2675392851292999</v>
      </c>
      <c r="D968" s="67">
        <v>1.1385265441965999</v>
      </c>
      <c r="E968" s="67">
        <v>45.3428220079184</v>
      </c>
      <c r="F968" s="67">
        <v>-8.8678544422487509</v>
      </c>
      <c r="G968" s="67">
        <v>-10.892712392539</v>
      </c>
    </row>
    <row r="969" spans="1:7" x14ac:dyDescent="0.35">
      <c r="A969" s="65">
        <v>967</v>
      </c>
      <c r="B969" s="66">
        <v>-8.1513932797086994</v>
      </c>
      <c r="C969" s="66">
        <v>8.4242308430250503</v>
      </c>
      <c r="D969" s="67">
        <v>5.2246778083873204</v>
      </c>
      <c r="E969" s="67">
        <v>-14.324783718947501</v>
      </c>
      <c r="F969" s="67">
        <v>4.1569044841047198</v>
      </c>
      <c r="G969" s="67">
        <v>0.931075666937077</v>
      </c>
    </row>
    <row r="970" spans="1:7" x14ac:dyDescent="0.35">
      <c r="A970" s="65">
        <v>968</v>
      </c>
      <c r="B970" s="66">
        <v>2.1108501585675299</v>
      </c>
      <c r="C970" s="66">
        <v>-0.16031819215776399</v>
      </c>
      <c r="D970" s="67">
        <v>7.7352045700300502</v>
      </c>
      <c r="E970" s="67">
        <v>-7.7776251793828397</v>
      </c>
      <c r="F970" s="67">
        <v>9.6833561944254996</v>
      </c>
      <c r="G970" s="67">
        <v>4.7117062151042299</v>
      </c>
    </row>
    <row r="971" spans="1:7" x14ac:dyDescent="0.35">
      <c r="A971" s="65">
        <v>969</v>
      </c>
      <c r="B971" s="66">
        <v>3.1629526862763</v>
      </c>
      <c r="C971" s="66">
        <v>0.203966425840929</v>
      </c>
      <c r="D971" s="67">
        <v>1.4694507031580699</v>
      </c>
      <c r="E971" s="67">
        <v>14.094493641653299</v>
      </c>
      <c r="F971" s="67">
        <v>16.4610910748743</v>
      </c>
      <c r="G971" s="67">
        <v>13.6677800312403</v>
      </c>
    </row>
    <row r="972" spans="1:7" x14ac:dyDescent="0.35">
      <c r="A972" s="65">
        <v>970</v>
      </c>
      <c r="B972" s="66">
        <v>1.8902656923101899</v>
      </c>
      <c r="C972" s="66">
        <v>-7.3858297295914603</v>
      </c>
      <c r="D972" s="67">
        <v>8.0714982325304094E-2</v>
      </c>
      <c r="E972" s="67">
        <v>7.0709109224119597</v>
      </c>
      <c r="F972" s="67">
        <v>4.2339378976747701</v>
      </c>
      <c r="G972" s="67">
        <v>-9.67982559569354</v>
      </c>
    </row>
    <row r="973" spans="1:7" x14ac:dyDescent="0.35">
      <c r="A973" s="65">
        <v>971</v>
      </c>
      <c r="B973" s="66">
        <v>14.0866207814052</v>
      </c>
      <c r="C973" s="66">
        <v>0.70900253088798404</v>
      </c>
      <c r="D973" s="67">
        <v>0.34894294501784501</v>
      </c>
      <c r="E973" s="67">
        <v>9.0862629705073008</v>
      </c>
      <c r="F973" s="67">
        <v>0.216073776744414</v>
      </c>
      <c r="G973" s="67">
        <v>4.0803918476208496</v>
      </c>
    </row>
    <row r="974" spans="1:7" x14ac:dyDescent="0.35">
      <c r="A974" s="65">
        <v>972</v>
      </c>
      <c r="B974" s="66">
        <v>-6.4686090796026896</v>
      </c>
      <c r="C974" s="66">
        <v>1.13317465134651</v>
      </c>
      <c r="D974" s="67">
        <v>2.2817574364691802</v>
      </c>
      <c r="E974" s="67">
        <v>15.165892446889099</v>
      </c>
      <c r="F974" s="67">
        <v>-6.2288806346397703</v>
      </c>
      <c r="G974" s="67">
        <v>-2.33849964341733E-2</v>
      </c>
    </row>
    <row r="975" spans="1:7" x14ac:dyDescent="0.35">
      <c r="A975" s="65">
        <v>973</v>
      </c>
      <c r="B975" s="66">
        <v>-14.287508129560001</v>
      </c>
      <c r="C975" s="66">
        <v>5.4943392894931504</v>
      </c>
      <c r="D975" s="67">
        <v>1.85559513826773</v>
      </c>
      <c r="E975" s="67">
        <v>3.5218625978420501</v>
      </c>
      <c r="F975" s="67">
        <v>-9.5526360359738298</v>
      </c>
      <c r="G975" s="67">
        <v>-5.73524552751089</v>
      </c>
    </row>
    <row r="976" spans="1:7" x14ac:dyDescent="0.35">
      <c r="A976" s="65">
        <v>974</v>
      </c>
      <c r="B976" s="66">
        <v>-10.336475495461301</v>
      </c>
      <c r="C976" s="66">
        <v>-3.2075497651705298</v>
      </c>
      <c r="D976" s="67">
        <v>0.79821930247117701</v>
      </c>
      <c r="E976" s="67">
        <v>0.33543014516743103</v>
      </c>
      <c r="F976" s="67">
        <v>-4.7487798542192197</v>
      </c>
      <c r="G976" s="67">
        <v>12.212191956463901</v>
      </c>
    </row>
    <row r="977" spans="1:7" x14ac:dyDescent="0.35">
      <c r="A977" s="65">
        <v>975</v>
      </c>
      <c r="B977" s="66">
        <v>19.166411447364101</v>
      </c>
      <c r="C977" s="66">
        <v>-3.2717723968660799</v>
      </c>
      <c r="D977" s="67">
        <v>7.9680603675391604</v>
      </c>
      <c r="E977" s="67">
        <v>16.8257334807967</v>
      </c>
      <c r="F977" s="67">
        <v>-3.9465459222456198</v>
      </c>
      <c r="G977" s="67">
        <v>-9.9846987273883592</v>
      </c>
    </row>
    <row r="978" spans="1:7" x14ac:dyDescent="0.35">
      <c r="A978" s="65">
        <v>976</v>
      </c>
      <c r="B978" s="66">
        <v>8.3221936976222803</v>
      </c>
      <c r="C978" s="66">
        <v>-7.0294357150662403</v>
      </c>
      <c r="D978" s="67">
        <v>1.69757373246828</v>
      </c>
      <c r="E978" s="67">
        <v>-27.0164302719391</v>
      </c>
      <c r="F978" s="67">
        <v>19.360296452867399</v>
      </c>
      <c r="G978" s="67">
        <v>3.44424134787277</v>
      </c>
    </row>
    <row r="979" spans="1:7" x14ac:dyDescent="0.35">
      <c r="A979" s="65">
        <v>977</v>
      </c>
      <c r="B979" s="66">
        <v>2.3912415510142599</v>
      </c>
      <c r="C979" s="66">
        <v>2.6489485803569002</v>
      </c>
      <c r="D979" s="67">
        <v>6.9413799963226097</v>
      </c>
      <c r="E979" s="67">
        <v>1.1957508713021801</v>
      </c>
      <c r="F979" s="67">
        <v>8.0862152673169199</v>
      </c>
      <c r="G979" s="67">
        <v>4.1665414627978299</v>
      </c>
    </row>
    <row r="980" spans="1:7" x14ac:dyDescent="0.35">
      <c r="A980" s="65">
        <v>978</v>
      </c>
      <c r="B980" s="66">
        <v>4.7294722039821604</v>
      </c>
      <c r="C980" s="66">
        <v>-1.03002010367262</v>
      </c>
      <c r="D980" s="67">
        <v>25.625107228870501</v>
      </c>
      <c r="E980" s="67">
        <v>14.5759568189234</v>
      </c>
      <c r="F980" s="67">
        <v>4.5126630526486897</v>
      </c>
      <c r="G980" s="67">
        <v>-5.3419807397777399</v>
      </c>
    </row>
    <row r="981" spans="1:7" x14ac:dyDescent="0.35">
      <c r="A981" s="65">
        <v>979</v>
      </c>
      <c r="B981" s="66">
        <v>10.278790486108999</v>
      </c>
      <c r="C981" s="66">
        <v>-6.1359248694570603</v>
      </c>
      <c r="D981" s="67">
        <v>3.9345804775297499</v>
      </c>
      <c r="E981" s="67">
        <v>4.3726982069803597</v>
      </c>
      <c r="F981" s="67">
        <v>10.8321854640766</v>
      </c>
      <c r="G981" s="67">
        <v>-3.1439279523533901</v>
      </c>
    </row>
    <row r="982" spans="1:7" x14ac:dyDescent="0.35">
      <c r="A982" s="65">
        <v>980</v>
      </c>
      <c r="B982" s="66">
        <v>-15.9906354295236</v>
      </c>
      <c r="C982" s="66">
        <v>-3.2076765579126199</v>
      </c>
      <c r="D982" s="67">
        <v>6.1518950576434799</v>
      </c>
      <c r="E982" s="67">
        <v>-9.2345688391768803</v>
      </c>
      <c r="F982" s="67">
        <v>13.536805437744601</v>
      </c>
      <c r="G982" s="67">
        <v>1.9261789664455899</v>
      </c>
    </row>
    <row r="983" spans="1:7" x14ac:dyDescent="0.35">
      <c r="A983" s="65">
        <v>981</v>
      </c>
      <c r="B983" s="66">
        <v>-8.1955045383455598</v>
      </c>
      <c r="C983" s="66">
        <v>-8.7535692065133297</v>
      </c>
      <c r="D983" s="67">
        <v>2.4918943725144498</v>
      </c>
      <c r="E983" s="67">
        <v>-2.5158875609565401</v>
      </c>
      <c r="F983" s="67">
        <v>8.3547795763547796</v>
      </c>
      <c r="G983" s="67">
        <v>2.04178211058059</v>
      </c>
    </row>
    <row r="984" spans="1:7" x14ac:dyDescent="0.35">
      <c r="A984" s="65">
        <v>982</v>
      </c>
      <c r="B984" s="66">
        <v>-2.6658419257007598E-2</v>
      </c>
      <c r="C984" s="66">
        <v>-0.71104053465291295</v>
      </c>
      <c r="D984" s="67">
        <v>1.2124524527943801</v>
      </c>
      <c r="E984" s="67">
        <v>-7.1165054240391097</v>
      </c>
      <c r="F984" s="67">
        <v>-12.4954303378983</v>
      </c>
      <c r="G984" s="67">
        <v>-1.5554701742636201</v>
      </c>
    </row>
    <row r="985" spans="1:7" x14ac:dyDescent="0.35">
      <c r="A985" s="65">
        <v>983</v>
      </c>
      <c r="B985" s="66">
        <v>-3.0325149507790399</v>
      </c>
      <c r="C985" s="66">
        <v>5.7474327158428498E-2</v>
      </c>
      <c r="D985" s="67">
        <v>1.14789338706711</v>
      </c>
      <c r="E985" s="67">
        <v>-10.817123893437101</v>
      </c>
      <c r="F985" s="67">
        <v>7.8710214863213004</v>
      </c>
      <c r="G985" s="67">
        <v>1.7494352218287399</v>
      </c>
    </row>
    <row r="986" spans="1:7" x14ac:dyDescent="0.35">
      <c r="A986" s="65">
        <v>984</v>
      </c>
      <c r="B986" s="66">
        <v>2.5509907084660499</v>
      </c>
      <c r="C986" s="66">
        <v>-4.7280183372739799</v>
      </c>
      <c r="D986" s="67">
        <v>2.2897403921483899</v>
      </c>
      <c r="E986" s="67">
        <v>-12.5387224184338</v>
      </c>
      <c r="F986" s="67">
        <v>8.2149204915143201</v>
      </c>
      <c r="G986" s="67">
        <v>3.3631205107762101</v>
      </c>
    </row>
    <row r="987" spans="1:7" x14ac:dyDescent="0.35">
      <c r="A987" s="65">
        <v>985</v>
      </c>
      <c r="B987" s="66">
        <v>5.8595310975169204</v>
      </c>
      <c r="C987" s="66">
        <v>-0.73211337456956205</v>
      </c>
      <c r="D987" s="67">
        <v>2.4394126320579601</v>
      </c>
      <c r="E987" s="67">
        <v>-7.6720216895624196</v>
      </c>
      <c r="F987" s="67">
        <v>0.44438630495122999</v>
      </c>
      <c r="G987" s="67">
        <v>-2.3194286363895098</v>
      </c>
    </row>
    <row r="988" spans="1:7" x14ac:dyDescent="0.35">
      <c r="A988" s="65">
        <v>986</v>
      </c>
      <c r="B988" s="66">
        <v>2.30422230935817</v>
      </c>
      <c r="C988" s="66">
        <v>10.369772343750601</v>
      </c>
      <c r="D988" s="67">
        <v>3.2621779791124501</v>
      </c>
      <c r="E988" s="67">
        <v>-18.6492015619766</v>
      </c>
      <c r="F988" s="67">
        <v>3.4209186072751598</v>
      </c>
      <c r="G988" s="67">
        <v>-1.7071749958910101</v>
      </c>
    </row>
    <row r="989" spans="1:7" x14ac:dyDescent="0.35">
      <c r="A989" s="65">
        <v>987</v>
      </c>
      <c r="B989" s="66">
        <v>-4.6513303078240904</v>
      </c>
      <c r="C989" s="66">
        <v>4.1004871095115396</v>
      </c>
      <c r="D989" s="67">
        <v>3.18258602201553</v>
      </c>
      <c r="E989" s="67">
        <v>-2.9539208590078898</v>
      </c>
      <c r="F989" s="67">
        <v>-10.0257174598189</v>
      </c>
      <c r="G989" s="67">
        <v>-1.3824542909131301</v>
      </c>
    </row>
    <row r="990" spans="1:7" x14ac:dyDescent="0.35">
      <c r="A990" s="65">
        <v>988</v>
      </c>
      <c r="B990" s="66">
        <v>8.4258066275546604</v>
      </c>
      <c r="C990" s="66">
        <v>0.31478476056411803</v>
      </c>
      <c r="D990" s="67">
        <v>1.5655484105445401</v>
      </c>
      <c r="E990" s="67">
        <v>-2.74670951733362</v>
      </c>
      <c r="F990" s="67">
        <v>-1.99404628680407</v>
      </c>
      <c r="G990" s="67">
        <v>1.2410240133854</v>
      </c>
    </row>
    <row r="991" spans="1:7" x14ac:dyDescent="0.35">
      <c r="A991" s="65">
        <v>989</v>
      </c>
      <c r="B991" s="66">
        <v>17.335329673457998</v>
      </c>
      <c r="C991" s="66">
        <v>-16.664454493299399</v>
      </c>
      <c r="D991" s="67">
        <v>0.42918396586985602</v>
      </c>
      <c r="E991" s="67">
        <v>-27.653324287336002</v>
      </c>
      <c r="F991" s="67">
        <v>2.1071237168706598</v>
      </c>
      <c r="G991" s="67">
        <v>-1.3472715448014301</v>
      </c>
    </row>
    <row r="992" spans="1:7" x14ac:dyDescent="0.35">
      <c r="A992" s="65">
        <v>990</v>
      </c>
      <c r="B992" s="66">
        <v>12.2454770580221</v>
      </c>
      <c r="C992" s="66">
        <v>-0.87066242706069796</v>
      </c>
      <c r="D992" s="67">
        <v>5.5133092978007703</v>
      </c>
      <c r="E992" s="67">
        <v>1.0803053910215701</v>
      </c>
      <c r="F992" s="67">
        <v>-20.440241109841999</v>
      </c>
      <c r="G992" s="67">
        <v>2.9404154540964602</v>
      </c>
    </row>
    <row r="993" spans="1:7" x14ac:dyDescent="0.35">
      <c r="A993" s="65">
        <v>991</v>
      </c>
      <c r="B993" s="66">
        <v>2.5199559700459599</v>
      </c>
      <c r="C993" s="66">
        <v>-1.3694984451813801</v>
      </c>
      <c r="D993" s="67">
        <v>6.4890197889368197</v>
      </c>
      <c r="E993" s="67">
        <v>16.389434809243099</v>
      </c>
      <c r="F993" s="67">
        <v>-3.7799853339466898</v>
      </c>
      <c r="G993" s="67">
        <v>-1.6265702718978201</v>
      </c>
    </row>
    <row r="994" spans="1:7" x14ac:dyDescent="0.35">
      <c r="A994" s="65">
        <v>992</v>
      </c>
      <c r="B994" s="66">
        <v>-2.88965391904707</v>
      </c>
      <c r="C994" s="66">
        <v>0.54307930974973495</v>
      </c>
      <c r="D994" s="67">
        <v>0.66944153558063302</v>
      </c>
      <c r="E994" s="67">
        <v>-14.850912781035699</v>
      </c>
      <c r="F994" s="67">
        <v>0.67765648478813101</v>
      </c>
      <c r="G994" s="67">
        <v>-10.718991849795801</v>
      </c>
    </row>
    <row r="995" spans="1:7" x14ac:dyDescent="0.35">
      <c r="A995" s="65">
        <v>993</v>
      </c>
      <c r="B995" s="66">
        <v>5.04418068078561</v>
      </c>
      <c r="C995" s="66">
        <v>-6.3324003323763796</v>
      </c>
      <c r="D995" s="67">
        <v>45.358494366136902</v>
      </c>
      <c r="E995" s="67">
        <v>-24.366420786064602</v>
      </c>
      <c r="F995" s="67">
        <v>-17.133672802684899</v>
      </c>
      <c r="G995" s="67">
        <v>11.9999655784708</v>
      </c>
    </row>
    <row r="996" spans="1:7" x14ac:dyDescent="0.35">
      <c r="A996" s="65">
        <v>994</v>
      </c>
      <c r="B996" s="66">
        <v>-2.1931218608807201</v>
      </c>
      <c r="C996" s="66">
        <v>-0.32744878793714599</v>
      </c>
      <c r="D996" s="67">
        <v>4.16420558476071</v>
      </c>
      <c r="E996" s="67">
        <v>0.108366410244136</v>
      </c>
      <c r="F996" s="67">
        <v>5.9918442008585098</v>
      </c>
      <c r="G996" s="67">
        <v>-2.6361794348922598</v>
      </c>
    </row>
    <row r="997" spans="1:7" x14ac:dyDescent="0.35">
      <c r="A997" s="65">
        <v>995</v>
      </c>
      <c r="B997" s="66">
        <v>-7.1603881659699802</v>
      </c>
      <c r="C997" s="66">
        <v>-5.3197417727296799</v>
      </c>
      <c r="D997" s="67">
        <v>1.85390125884651</v>
      </c>
      <c r="E997" s="67">
        <v>13.677237702568201</v>
      </c>
      <c r="F997" s="67">
        <v>4.8688138881439196</v>
      </c>
      <c r="G997" s="67">
        <v>1.4683636229393</v>
      </c>
    </row>
    <row r="998" spans="1:7" x14ac:dyDescent="0.35">
      <c r="A998" s="65">
        <v>996</v>
      </c>
      <c r="B998" s="66">
        <v>-18.643560888494601</v>
      </c>
      <c r="C998" s="66">
        <v>-7.0573492078889801</v>
      </c>
      <c r="D998" s="67">
        <v>5.6898878084292797</v>
      </c>
      <c r="E998" s="67">
        <v>-3.0663407841669499</v>
      </c>
      <c r="F998" s="67">
        <v>-1.2760739270299399</v>
      </c>
      <c r="G998" s="67">
        <v>6.6137451344826701</v>
      </c>
    </row>
    <row r="999" spans="1:7" x14ac:dyDescent="0.35">
      <c r="A999" s="65">
        <v>997</v>
      </c>
      <c r="B999" s="66">
        <v>-4.0235821466121298</v>
      </c>
      <c r="C999" s="66">
        <v>-9.5266771691838699</v>
      </c>
      <c r="D999" s="67">
        <v>2.4951151682432999</v>
      </c>
      <c r="E999" s="67">
        <v>21.157845157841901</v>
      </c>
      <c r="F999" s="67">
        <v>3.3764112839636899</v>
      </c>
      <c r="G999" s="67">
        <v>-3.7152009035790101</v>
      </c>
    </row>
    <row r="1000" spans="1:7" x14ac:dyDescent="0.35">
      <c r="A1000" s="65">
        <v>998</v>
      </c>
      <c r="B1000" s="66">
        <v>-6.0282860140586898</v>
      </c>
      <c r="C1000" s="66">
        <v>-5.8246383128078296</v>
      </c>
      <c r="D1000" s="67">
        <v>2.98204135557001</v>
      </c>
      <c r="E1000" s="67">
        <v>-4.79249107336347</v>
      </c>
      <c r="F1000" s="67">
        <v>1.1986756512083001</v>
      </c>
      <c r="G1000" s="67">
        <v>-2.7045066379450602</v>
      </c>
    </row>
    <row r="1001" spans="1:7" x14ac:dyDescent="0.35">
      <c r="A1001" s="65">
        <v>999</v>
      </c>
      <c r="B1001" s="66">
        <v>11.2907091227818</v>
      </c>
      <c r="C1001" s="66">
        <v>2.9254179583779001</v>
      </c>
      <c r="D1001" s="67">
        <v>1.1998224995558899</v>
      </c>
      <c r="E1001" s="67">
        <v>11.5025170352405</v>
      </c>
      <c r="F1001" s="67">
        <v>-4.5746472106972798</v>
      </c>
      <c r="G1001" s="67">
        <v>-4.4133653540124804</v>
      </c>
    </row>
    <row r="1002" spans="1:7" x14ac:dyDescent="0.35">
      <c r="A1002" s="65">
        <v>1000</v>
      </c>
      <c r="B1002" s="66">
        <v>4.6521259060286404</v>
      </c>
      <c r="C1002" s="66">
        <v>5.9169880574601104</v>
      </c>
      <c r="D1002" s="67">
        <v>19.357738846479201</v>
      </c>
      <c r="E1002" s="67">
        <v>12.988538618457699</v>
      </c>
      <c r="F1002" s="67">
        <v>-10.1966481124221</v>
      </c>
      <c r="G1002" s="67">
        <v>3.7292933902861298</v>
      </c>
    </row>
  </sheetData>
  <printOptions horizontalCentered="1"/>
  <pageMargins left="0.7" right="0.7" top="0.75" bottom="0.75" header="0.3" footer="0.3"/>
  <pageSetup orientation="portrait" r:id="rId1"/>
  <headerFooter>
    <oddFooter>&amp;L&amp;F
&amp;A&amp;R&amp;D
&amp;T</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8"/>
  <dimension ref="A1:M68"/>
  <sheetViews>
    <sheetView workbookViewId="0">
      <selection activeCell="B3" sqref="B3"/>
    </sheetView>
  </sheetViews>
  <sheetFormatPr defaultRowHeight="12.5" x14ac:dyDescent="0.25"/>
  <cols>
    <col min="1" max="1" width="4.7265625" customWidth="1"/>
    <col min="2" max="2" width="14.7265625" bestFit="1" customWidth="1"/>
    <col min="3" max="3" width="1.7265625" customWidth="1"/>
    <col min="4" max="6" width="13" customWidth="1"/>
  </cols>
  <sheetData>
    <row r="1" spans="1:13" ht="16" thickBot="1" x14ac:dyDescent="0.4">
      <c r="A1" s="9"/>
      <c r="B1" s="9"/>
      <c r="C1" s="9"/>
      <c r="D1" s="202" t="s">
        <v>272</v>
      </c>
      <c r="E1" s="203"/>
      <c r="F1" s="203"/>
    </row>
    <row r="2" spans="1:13" ht="13.5" thickBot="1" x14ac:dyDescent="0.35">
      <c r="A2" s="9"/>
      <c r="B2" s="68" t="s">
        <v>273</v>
      </c>
      <c r="C2" s="68"/>
      <c r="D2" s="69" t="s">
        <v>274</v>
      </c>
      <c r="E2" s="69" t="s">
        <v>275</v>
      </c>
      <c r="F2" s="70" t="s">
        <v>276</v>
      </c>
    </row>
    <row r="3" spans="1:13" x14ac:dyDescent="0.25">
      <c r="A3" s="71">
        <v>1</v>
      </c>
      <c r="B3" s="72">
        <v>42736</v>
      </c>
      <c r="C3" s="73"/>
      <c r="D3" s="74">
        <v>190</v>
      </c>
      <c r="E3" s="74">
        <v>172</v>
      </c>
      <c r="F3" s="74">
        <v>169</v>
      </c>
      <c r="M3">
        <f>EDATE(B3,6*12)</f>
        <v>44927</v>
      </c>
    </row>
    <row r="4" spans="1:13" x14ac:dyDescent="0.25">
      <c r="A4" s="71">
        <f>A3+1</f>
        <v>2</v>
      </c>
      <c r="B4" s="72">
        <v>42810</v>
      </c>
      <c r="C4" s="73"/>
      <c r="D4" s="74">
        <v>187</v>
      </c>
      <c r="E4" s="74">
        <v>164</v>
      </c>
      <c r="F4" s="74">
        <v>158</v>
      </c>
      <c r="M4">
        <f t="shared" ref="M4:M27" si="0">EDATE(B4,6*12)</f>
        <v>45001</v>
      </c>
    </row>
    <row r="5" spans="1:13" x14ac:dyDescent="0.25">
      <c r="A5" s="71">
        <f t="shared" ref="A5:A68" si="1">A4+1</f>
        <v>3</v>
      </c>
      <c r="B5" s="72">
        <v>42876</v>
      </c>
      <c r="C5" s="73"/>
      <c r="D5" s="74">
        <v>183.5</v>
      </c>
      <c r="E5" s="74">
        <v>161</v>
      </c>
      <c r="F5" s="74">
        <v>156</v>
      </c>
      <c r="M5">
        <f t="shared" si="0"/>
        <v>45067</v>
      </c>
    </row>
    <row r="6" spans="1:13" x14ac:dyDescent="0.25">
      <c r="A6" s="71">
        <f t="shared" si="1"/>
        <v>4</v>
      </c>
      <c r="B6" s="72">
        <v>42960</v>
      </c>
      <c r="C6" s="73"/>
      <c r="D6" s="74">
        <v>170</v>
      </c>
      <c r="E6" s="74">
        <v>160</v>
      </c>
      <c r="F6" s="74">
        <v>152.5</v>
      </c>
      <c r="M6">
        <f t="shared" si="0"/>
        <v>45151</v>
      </c>
    </row>
    <row r="7" spans="1:13" x14ac:dyDescent="0.25">
      <c r="A7" s="71">
        <f t="shared" si="1"/>
        <v>5</v>
      </c>
      <c r="B7" s="72">
        <v>43030</v>
      </c>
      <c r="C7" s="73"/>
      <c r="D7" s="74">
        <v>169.5</v>
      </c>
      <c r="E7" s="74">
        <v>156</v>
      </c>
      <c r="F7" s="74">
        <v>153</v>
      </c>
      <c r="M7">
        <f t="shared" si="0"/>
        <v>45221</v>
      </c>
    </row>
    <row r="8" spans="1:13" x14ac:dyDescent="0.25">
      <c r="A8" s="71">
        <f t="shared" si="1"/>
        <v>6</v>
      </c>
      <c r="B8" s="72">
        <v>43086</v>
      </c>
      <c r="C8" s="73"/>
      <c r="D8" s="74">
        <v>175.5</v>
      </c>
      <c r="E8" s="74">
        <v>163.5</v>
      </c>
      <c r="F8" s="74">
        <v>155.5</v>
      </c>
      <c r="M8">
        <f t="shared" si="0"/>
        <v>45277</v>
      </c>
    </row>
    <row r="9" spans="1:13" x14ac:dyDescent="0.25">
      <c r="A9" s="71">
        <f t="shared" si="1"/>
        <v>7</v>
      </c>
      <c r="B9" s="72">
        <v>43137</v>
      </c>
      <c r="C9" s="73"/>
      <c r="D9" s="74">
        <v>180</v>
      </c>
      <c r="E9" s="74">
        <v>164</v>
      </c>
      <c r="F9" s="74">
        <v>157.5</v>
      </c>
      <c r="M9">
        <f t="shared" si="0"/>
        <v>45328</v>
      </c>
    </row>
    <row r="10" spans="1:13" x14ac:dyDescent="0.25">
      <c r="A10" s="71">
        <f t="shared" si="1"/>
        <v>8</v>
      </c>
      <c r="B10" s="72">
        <v>43214</v>
      </c>
      <c r="C10" s="73"/>
      <c r="D10" s="74">
        <v>175.5</v>
      </c>
      <c r="E10" s="74">
        <v>165</v>
      </c>
      <c r="F10" s="74">
        <v>155</v>
      </c>
      <c r="M10">
        <f t="shared" si="0"/>
        <v>45406</v>
      </c>
    </row>
    <row r="11" spans="1:13" x14ac:dyDescent="0.25">
      <c r="A11" s="71">
        <f t="shared" si="1"/>
        <v>9</v>
      </c>
      <c r="B11" s="72">
        <v>43234</v>
      </c>
      <c r="C11" s="73"/>
      <c r="D11" s="74">
        <v>171.4</v>
      </c>
      <c r="E11" s="74">
        <v>165.2</v>
      </c>
      <c r="F11" s="74">
        <v>152</v>
      </c>
      <c r="M11">
        <f t="shared" si="0"/>
        <v>45426</v>
      </c>
    </row>
    <row r="12" spans="1:13" x14ac:dyDescent="0.25">
      <c r="A12" s="71">
        <f t="shared" si="1"/>
        <v>10</v>
      </c>
      <c r="B12" s="72">
        <v>43263</v>
      </c>
      <c r="C12" s="73"/>
      <c r="D12" s="74">
        <v>171.4</v>
      </c>
      <c r="E12" s="74">
        <v>157.4</v>
      </c>
      <c r="F12" s="74">
        <v>154</v>
      </c>
      <c r="M12">
        <f t="shared" si="0"/>
        <v>45455</v>
      </c>
    </row>
    <row r="13" spans="1:13" x14ac:dyDescent="0.25">
      <c r="A13" s="71">
        <f t="shared" si="1"/>
        <v>11</v>
      </c>
      <c r="B13" s="72">
        <v>43293</v>
      </c>
      <c r="C13" s="73"/>
      <c r="D13" s="74">
        <v>169.5</v>
      </c>
      <c r="E13" s="74">
        <v>154</v>
      </c>
      <c r="F13" s="74">
        <v>154</v>
      </c>
      <c r="M13">
        <f t="shared" si="0"/>
        <v>45485</v>
      </c>
    </row>
    <row r="14" spans="1:13" x14ac:dyDescent="0.25">
      <c r="A14" s="71">
        <f t="shared" si="1"/>
        <v>12</v>
      </c>
      <c r="B14" s="72">
        <v>43334</v>
      </c>
      <c r="C14" s="73"/>
      <c r="D14" s="74">
        <v>176</v>
      </c>
      <c r="E14" s="74">
        <v>154</v>
      </c>
      <c r="F14" s="74">
        <v>153.5</v>
      </c>
      <c r="M14">
        <f t="shared" si="0"/>
        <v>45526</v>
      </c>
    </row>
    <row r="15" spans="1:13" x14ac:dyDescent="0.25">
      <c r="A15" s="71">
        <f t="shared" si="1"/>
        <v>13</v>
      </c>
      <c r="B15" s="72">
        <v>43369</v>
      </c>
      <c r="C15" s="73"/>
      <c r="D15" s="74">
        <v>184</v>
      </c>
      <c r="E15" s="74">
        <v>161.5</v>
      </c>
      <c r="F15" s="74">
        <v>159.5</v>
      </c>
      <c r="M15">
        <f t="shared" si="0"/>
        <v>45561</v>
      </c>
    </row>
    <row r="16" spans="1:13" x14ac:dyDescent="0.25">
      <c r="A16" s="71">
        <f t="shared" si="1"/>
        <v>14</v>
      </c>
      <c r="B16" s="72">
        <v>43411</v>
      </c>
      <c r="C16" s="73"/>
      <c r="D16" s="74">
        <v>184.5</v>
      </c>
      <c r="E16" s="74">
        <v>162</v>
      </c>
      <c r="F16" s="74">
        <v>155</v>
      </c>
      <c r="M16">
        <f t="shared" si="0"/>
        <v>45603</v>
      </c>
    </row>
    <row r="17" spans="1:13" x14ac:dyDescent="0.25">
      <c r="A17" s="71">
        <f t="shared" si="1"/>
        <v>15</v>
      </c>
      <c r="B17" s="72">
        <v>43464</v>
      </c>
      <c r="C17" s="73"/>
      <c r="D17" s="74">
        <v>183</v>
      </c>
      <c r="E17" s="74">
        <v>163</v>
      </c>
      <c r="F17" s="74">
        <v>155.5</v>
      </c>
      <c r="M17">
        <f t="shared" si="0"/>
        <v>45656</v>
      </c>
    </row>
    <row r="18" spans="1:13" x14ac:dyDescent="0.25">
      <c r="A18" s="71">
        <f t="shared" si="1"/>
        <v>16</v>
      </c>
      <c r="B18" s="72">
        <v>43497</v>
      </c>
      <c r="C18" s="73"/>
      <c r="D18" s="74">
        <v>180</v>
      </c>
      <c r="E18" s="74">
        <v>164</v>
      </c>
      <c r="F18" s="74">
        <v>158.5</v>
      </c>
      <c r="M18">
        <f t="shared" si="0"/>
        <v>45689</v>
      </c>
    </row>
    <row r="19" spans="1:13" x14ac:dyDescent="0.25">
      <c r="A19" s="71">
        <f t="shared" si="1"/>
        <v>17</v>
      </c>
      <c r="B19" s="72">
        <v>43524</v>
      </c>
      <c r="C19" s="73"/>
      <c r="D19" s="74">
        <v>188</v>
      </c>
      <c r="E19" s="74">
        <v>168</v>
      </c>
      <c r="F19" s="74">
        <v>161</v>
      </c>
      <c r="M19">
        <f t="shared" si="0"/>
        <v>45716</v>
      </c>
    </row>
    <row r="20" spans="1:13" x14ac:dyDescent="0.25">
      <c r="A20" s="71">
        <f t="shared" si="1"/>
        <v>18</v>
      </c>
      <c r="B20" s="72">
        <v>43574</v>
      </c>
      <c r="C20" s="73"/>
      <c r="D20" s="74">
        <v>180</v>
      </c>
      <c r="E20" s="74">
        <v>164.8</v>
      </c>
      <c r="F20" s="74">
        <v>153.6</v>
      </c>
      <c r="M20">
        <f t="shared" si="0"/>
        <v>45766</v>
      </c>
    </row>
    <row r="21" spans="1:13" x14ac:dyDescent="0.25">
      <c r="A21" s="71">
        <f t="shared" si="1"/>
        <v>19</v>
      </c>
      <c r="B21" s="72">
        <v>43600</v>
      </c>
      <c r="C21" s="73"/>
      <c r="D21" s="74">
        <v>184.5</v>
      </c>
      <c r="E21" s="74">
        <v>167.5</v>
      </c>
      <c r="F21" s="74">
        <v>159</v>
      </c>
      <c r="M21">
        <f t="shared" si="0"/>
        <v>45792</v>
      </c>
    </row>
    <row r="22" spans="1:13" x14ac:dyDescent="0.25">
      <c r="A22" s="71">
        <f t="shared" si="1"/>
        <v>20</v>
      </c>
      <c r="B22" s="72">
        <v>43635</v>
      </c>
      <c r="C22" s="73"/>
      <c r="D22" s="74">
        <v>178.5</v>
      </c>
      <c r="E22" s="74">
        <v>160</v>
      </c>
      <c r="F22" s="74">
        <v>158</v>
      </c>
      <c r="M22">
        <f t="shared" si="0"/>
        <v>45827</v>
      </c>
    </row>
    <row r="23" spans="1:13" x14ac:dyDescent="0.25">
      <c r="A23" s="71">
        <f t="shared" si="1"/>
        <v>21</v>
      </c>
      <c r="B23" s="72">
        <v>43655</v>
      </c>
      <c r="C23" s="73"/>
      <c r="D23" s="74">
        <v>176.5</v>
      </c>
      <c r="E23" s="74">
        <v>157</v>
      </c>
      <c r="F23" s="74">
        <v>157</v>
      </c>
      <c r="M23">
        <f t="shared" si="0"/>
        <v>45847</v>
      </c>
    </row>
    <row r="24" spans="1:13" x14ac:dyDescent="0.25">
      <c r="A24" s="71">
        <f t="shared" si="1"/>
        <v>22</v>
      </c>
      <c r="B24" s="72">
        <v>43700</v>
      </c>
      <c r="C24" s="73"/>
      <c r="D24" s="74">
        <v>176</v>
      </c>
      <c r="E24" s="74">
        <v>151</v>
      </c>
      <c r="F24" s="74">
        <v>155</v>
      </c>
      <c r="M24">
        <f t="shared" si="0"/>
        <v>45892</v>
      </c>
    </row>
    <row r="25" spans="1:13" x14ac:dyDescent="0.25">
      <c r="A25" s="71">
        <f t="shared" si="1"/>
        <v>23</v>
      </c>
      <c r="B25" s="72">
        <v>43719</v>
      </c>
      <c r="C25" s="73"/>
      <c r="D25" s="74">
        <v>175.5</v>
      </c>
      <c r="E25" s="74">
        <v>151.5</v>
      </c>
      <c r="F25" s="74">
        <v>154</v>
      </c>
      <c r="M25">
        <f t="shared" si="0"/>
        <v>45911</v>
      </c>
    </row>
    <row r="26" spans="1:13" x14ac:dyDescent="0.25">
      <c r="A26" s="71">
        <f t="shared" si="1"/>
        <v>24</v>
      </c>
      <c r="B26" s="72">
        <v>43749</v>
      </c>
      <c r="C26" s="73"/>
      <c r="D26" s="74">
        <v>171</v>
      </c>
      <c r="E26" s="74">
        <v>153</v>
      </c>
      <c r="F26" s="74">
        <v>159</v>
      </c>
      <c r="M26">
        <f t="shared" si="0"/>
        <v>45941</v>
      </c>
    </row>
    <row r="27" spans="1:13" x14ac:dyDescent="0.25">
      <c r="A27" s="71">
        <f t="shared" si="1"/>
        <v>25</v>
      </c>
      <c r="B27" s="72">
        <v>43784</v>
      </c>
      <c r="C27" s="73"/>
      <c r="D27" s="74">
        <v>172</v>
      </c>
      <c r="E27" s="74">
        <v>149.5</v>
      </c>
      <c r="F27" s="74">
        <v>152</v>
      </c>
      <c r="M27">
        <f t="shared" si="0"/>
        <v>45976</v>
      </c>
    </row>
    <row r="28" spans="1:13" x14ac:dyDescent="0.25">
      <c r="A28" s="71">
        <f t="shared" si="1"/>
        <v>26</v>
      </c>
      <c r="B28" s="72"/>
      <c r="C28" s="73"/>
      <c r="D28" s="74"/>
      <c r="E28" s="74"/>
      <c r="F28" s="74"/>
    </row>
    <row r="29" spans="1:13" x14ac:dyDescent="0.25">
      <c r="A29" s="71">
        <f t="shared" si="1"/>
        <v>27</v>
      </c>
      <c r="B29" s="72"/>
      <c r="C29" s="73"/>
      <c r="D29" s="74"/>
      <c r="E29" s="74"/>
      <c r="F29" s="74"/>
    </row>
    <row r="30" spans="1:13" x14ac:dyDescent="0.25">
      <c r="A30" s="71">
        <f t="shared" si="1"/>
        <v>28</v>
      </c>
      <c r="B30" s="72"/>
      <c r="C30" s="73"/>
      <c r="D30" s="74"/>
      <c r="E30" s="74"/>
      <c r="F30" s="74"/>
    </row>
    <row r="31" spans="1:13" x14ac:dyDescent="0.25">
      <c r="A31" s="71">
        <f t="shared" si="1"/>
        <v>29</v>
      </c>
      <c r="B31" s="72"/>
      <c r="C31" s="73"/>
      <c r="D31" s="74"/>
      <c r="E31" s="74"/>
      <c r="F31" s="74"/>
    </row>
    <row r="32" spans="1:13" x14ac:dyDescent="0.25">
      <c r="A32" s="71">
        <f t="shared" si="1"/>
        <v>30</v>
      </c>
      <c r="B32" s="72"/>
      <c r="C32" s="73"/>
      <c r="D32" s="74"/>
      <c r="E32" s="74"/>
      <c r="F32" s="74"/>
    </row>
    <row r="33" spans="1:6" x14ac:dyDescent="0.25">
      <c r="A33" s="71">
        <f t="shared" si="1"/>
        <v>31</v>
      </c>
      <c r="B33" s="72"/>
      <c r="C33" s="73"/>
      <c r="D33" s="74"/>
      <c r="E33" s="74"/>
      <c r="F33" s="74"/>
    </row>
    <row r="34" spans="1:6" x14ac:dyDescent="0.25">
      <c r="A34" s="71">
        <f t="shared" si="1"/>
        <v>32</v>
      </c>
      <c r="B34" s="72"/>
      <c r="C34" s="73"/>
      <c r="D34" s="74"/>
      <c r="E34" s="74"/>
      <c r="F34" s="74"/>
    </row>
    <row r="35" spans="1:6" x14ac:dyDescent="0.25">
      <c r="A35" s="71">
        <f t="shared" si="1"/>
        <v>33</v>
      </c>
      <c r="B35" s="72"/>
      <c r="C35" s="73"/>
      <c r="D35" s="74"/>
      <c r="E35" s="74"/>
      <c r="F35" s="74"/>
    </row>
    <row r="36" spans="1:6" x14ac:dyDescent="0.25">
      <c r="A36" s="71">
        <f t="shared" si="1"/>
        <v>34</v>
      </c>
      <c r="B36" s="72"/>
      <c r="C36" s="73"/>
      <c r="D36" s="74"/>
      <c r="E36" s="74"/>
      <c r="F36" s="74"/>
    </row>
    <row r="37" spans="1:6" x14ac:dyDescent="0.25">
      <c r="A37" s="71">
        <f t="shared" si="1"/>
        <v>35</v>
      </c>
      <c r="B37" s="72"/>
      <c r="C37" s="73"/>
      <c r="D37" s="74"/>
      <c r="E37" s="74"/>
      <c r="F37" s="74"/>
    </row>
    <row r="38" spans="1:6" x14ac:dyDescent="0.25">
      <c r="A38" s="71">
        <f t="shared" si="1"/>
        <v>36</v>
      </c>
      <c r="B38" s="72"/>
      <c r="C38" s="73"/>
      <c r="D38" s="74"/>
      <c r="E38" s="74"/>
      <c r="F38" s="74"/>
    </row>
    <row r="39" spans="1:6" x14ac:dyDescent="0.25">
      <c r="A39" s="71">
        <f t="shared" si="1"/>
        <v>37</v>
      </c>
      <c r="B39" s="72"/>
      <c r="C39" s="73"/>
      <c r="D39" s="74"/>
      <c r="E39" s="74"/>
      <c r="F39" s="74"/>
    </row>
    <row r="40" spans="1:6" x14ac:dyDescent="0.25">
      <c r="A40" s="71">
        <f t="shared" si="1"/>
        <v>38</v>
      </c>
      <c r="B40" s="72"/>
      <c r="C40" s="73"/>
      <c r="D40" s="74"/>
      <c r="E40" s="74"/>
      <c r="F40" s="74"/>
    </row>
    <row r="41" spans="1:6" x14ac:dyDescent="0.25">
      <c r="A41" s="71">
        <f t="shared" si="1"/>
        <v>39</v>
      </c>
      <c r="B41" s="72"/>
      <c r="C41" s="73"/>
      <c r="D41" s="74"/>
      <c r="E41" s="74"/>
      <c r="F41" s="74"/>
    </row>
    <row r="42" spans="1:6" x14ac:dyDescent="0.25">
      <c r="A42" s="71">
        <f t="shared" si="1"/>
        <v>40</v>
      </c>
      <c r="B42" s="72"/>
      <c r="C42" s="73"/>
      <c r="D42" s="74"/>
      <c r="E42" s="74"/>
      <c r="F42" s="74"/>
    </row>
    <row r="43" spans="1:6" x14ac:dyDescent="0.25">
      <c r="A43" s="71">
        <f t="shared" si="1"/>
        <v>41</v>
      </c>
      <c r="B43" s="72"/>
      <c r="C43" s="73"/>
      <c r="D43" s="74"/>
      <c r="E43" s="74"/>
      <c r="F43" s="74"/>
    </row>
    <row r="44" spans="1:6" x14ac:dyDescent="0.25">
      <c r="A44" s="71">
        <f t="shared" si="1"/>
        <v>42</v>
      </c>
      <c r="B44" s="72"/>
      <c r="C44" s="73"/>
      <c r="D44" s="74"/>
      <c r="E44" s="74"/>
      <c r="F44" s="74"/>
    </row>
    <row r="45" spans="1:6" x14ac:dyDescent="0.25">
      <c r="A45" s="71">
        <f t="shared" si="1"/>
        <v>43</v>
      </c>
      <c r="B45" s="72"/>
      <c r="C45" s="73"/>
      <c r="D45" s="74"/>
      <c r="E45" s="74"/>
      <c r="F45" s="74"/>
    </row>
    <row r="46" spans="1:6" x14ac:dyDescent="0.25">
      <c r="A46" s="71">
        <f t="shared" si="1"/>
        <v>44</v>
      </c>
      <c r="B46" s="72"/>
      <c r="C46" s="73"/>
      <c r="D46" s="74"/>
      <c r="E46" s="74"/>
      <c r="F46" s="74"/>
    </row>
    <row r="47" spans="1:6" x14ac:dyDescent="0.25">
      <c r="A47" s="71">
        <f t="shared" si="1"/>
        <v>45</v>
      </c>
      <c r="B47" s="72"/>
      <c r="C47" s="73"/>
      <c r="D47" s="74"/>
      <c r="E47" s="74"/>
      <c r="F47" s="74"/>
    </row>
    <row r="48" spans="1:6" x14ac:dyDescent="0.25">
      <c r="A48" s="71">
        <f t="shared" si="1"/>
        <v>46</v>
      </c>
      <c r="B48" s="72"/>
      <c r="C48" s="73"/>
      <c r="D48" s="74"/>
      <c r="E48" s="74"/>
      <c r="F48" s="74"/>
    </row>
    <row r="49" spans="1:6" x14ac:dyDescent="0.25">
      <c r="A49" s="71">
        <f t="shared" si="1"/>
        <v>47</v>
      </c>
      <c r="B49" s="72"/>
      <c r="C49" s="73"/>
      <c r="D49" s="74"/>
      <c r="E49" s="74"/>
      <c r="F49" s="74"/>
    </row>
    <row r="50" spans="1:6" x14ac:dyDescent="0.25">
      <c r="A50" s="71">
        <f t="shared" si="1"/>
        <v>48</v>
      </c>
      <c r="B50" s="72"/>
      <c r="C50" s="73"/>
      <c r="D50" s="74"/>
      <c r="E50" s="74"/>
      <c r="F50" s="74"/>
    </row>
    <row r="51" spans="1:6" x14ac:dyDescent="0.25">
      <c r="A51" s="71">
        <f t="shared" si="1"/>
        <v>49</v>
      </c>
      <c r="B51" s="72"/>
      <c r="C51" s="73"/>
      <c r="D51" s="74"/>
      <c r="E51" s="74"/>
      <c r="F51" s="74"/>
    </row>
    <row r="52" spans="1:6" x14ac:dyDescent="0.25">
      <c r="A52" s="71">
        <f t="shared" si="1"/>
        <v>50</v>
      </c>
      <c r="B52" s="72"/>
      <c r="C52" s="73"/>
      <c r="D52" s="74"/>
      <c r="E52" s="74"/>
      <c r="F52" s="74"/>
    </row>
    <row r="53" spans="1:6" x14ac:dyDescent="0.25">
      <c r="A53" s="71">
        <f t="shared" si="1"/>
        <v>51</v>
      </c>
      <c r="B53" s="72"/>
      <c r="C53" s="73"/>
      <c r="D53" s="74"/>
      <c r="E53" s="74"/>
      <c r="F53" s="74"/>
    </row>
    <row r="54" spans="1:6" x14ac:dyDescent="0.25">
      <c r="A54" s="71">
        <f t="shared" si="1"/>
        <v>52</v>
      </c>
      <c r="B54" s="72"/>
      <c r="C54" s="73"/>
      <c r="D54" s="74"/>
      <c r="E54" s="74"/>
      <c r="F54" s="74"/>
    </row>
    <row r="55" spans="1:6" x14ac:dyDescent="0.25">
      <c r="A55" s="71">
        <f t="shared" si="1"/>
        <v>53</v>
      </c>
      <c r="B55" s="72"/>
      <c r="C55" s="73"/>
      <c r="D55" s="74"/>
      <c r="E55" s="74"/>
      <c r="F55" s="74"/>
    </row>
    <row r="56" spans="1:6" x14ac:dyDescent="0.25">
      <c r="A56" s="71">
        <f t="shared" si="1"/>
        <v>54</v>
      </c>
      <c r="B56" s="72"/>
      <c r="C56" s="73"/>
      <c r="D56" s="74"/>
      <c r="E56" s="74"/>
      <c r="F56" s="74"/>
    </row>
    <row r="57" spans="1:6" x14ac:dyDescent="0.25">
      <c r="A57" s="71">
        <f t="shared" si="1"/>
        <v>55</v>
      </c>
      <c r="B57" s="72"/>
      <c r="C57" s="73"/>
      <c r="D57" s="74"/>
      <c r="E57" s="74"/>
      <c r="F57" s="74"/>
    </row>
    <row r="58" spans="1:6" x14ac:dyDescent="0.25">
      <c r="A58" s="71">
        <f t="shared" si="1"/>
        <v>56</v>
      </c>
      <c r="B58" s="72"/>
      <c r="C58" s="73"/>
      <c r="D58" s="74"/>
      <c r="E58" s="74"/>
      <c r="F58" s="74"/>
    </row>
    <row r="59" spans="1:6" x14ac:dyDescent="0.25">
      <c r="A59" s="71">
        <f t="shared" si="1"/>
        <v>57</v>
      </c>
      <c r="B59" s="72"/>
      <c r="C59" s="73"/>
      <c r="D59" s="74"/>
      <c r="E59" s="74"/>
      <c r="F59" s="74"/>
    </row>
    <row r="60" spans="1:6" x14ac:dyDescent="0.25">
      <c r="A60" s="71">
        <f t="shared" si="1"/>
        <v>58</v>
      </c>
      <c r="B60" s="72"/>
      <c r="C60" s="73"/>
      <c r="D60" s="74"/>
      <c r="E60" s="74"/>
      <c r="F60" s="74"/>
    </row>
    <row r="61" spans="1:6" x14ac:dyDescent="0.25">
      <c r="A61" s="71">
        <f t="shared" si="1"/>
        <v>59</v>
      </c>
      <c r="B61" s="72"/>
      <c r="C61" s="73"/>
      <c r="D61" s="74"/>
      <c r="E61" s="74"/>
      <c r="F61" s="74"/>
    </row>
    <row r="62" spans="1:6" x14ac:dyDescent="0.25">
      <c r="A62" s="71">
        <f t="shared" si="1"/>
        <v>60</v>
      </c>
      <c r="B62" s="72"/>
      <c r="C62" s="73"/>
      <c r="D62" s="74"/>
      <c r="E62" s="74"/>
      <c r="F62" s="74"/>
    </row>
    <row r="63" spans="1:6" x14ac:dyDescent="0.25">
      <c r="A63" s="71">
        <f t="shared" si="1"/>
        <v>61</v>
      </c>
      <c r="B63" s="72"/>
      <c r="C63" s="73"/>
      <c r="D63" s="74"/>
      <c r="E63" s="74"/>
      <c r="F63" s="74"/>
    </row>
    <row r="64" spans="1:6" x14ac:dyDescent="0.25">
      <c r="A64" s="71">
        <f t="shared" si="1"/>
        <v>62</v>
      </c>
      <c r="B64" s="72"/>
      <c r="C64" s="73"/>
      <c r="D64" s="74"/>
      <c r="E64" s="74"/>
      <c r="F64" s="74"/>
    </row>
    <row r="65" spans="1:6" x14ac:dyDescent="0.25">
      <c r="A65" s="71">
        <f t="shared" si="1"/>
        <v>63</v>
      </c>
      <c r="B65" s="72"/>
      <c r="C65" s="73"/>
      <c r="D65" s="74"/>
      <c r="E65" s="74"/>
      <c r="F65" s="74"/>
    </row>
    <row r="66" spans="1:6" x14ac:dyDescent="0.25">
      <c r="A66" s="71">
        <f t="shared" si="1"/>
        <v>64</v>
      </c>
      <c r="B66" s="72"/>
      <c r="C66" s="73"/>
      <c r="D66" s="74"/>
      <c r="E66" s="74"/>
      <c r="F66" s="74"/>
    </row>
    <row r="67" spans="1:6" x14ac:dyDescent="0.25">
      <c r="A67" s="71">
        <f t="shared" si="1"/>
        <v>65</v>
      </c>
      <c r="B67" s="72"/>
      <c r="C67" s="73"/>
      <c r="D67" s="74"/>
      <c r="E67" s="74"/>
      <c r="F67" s="74"/>
    </row>
    <row r="68" spans="1:6" x14ac:dyDescent="0.25">
      <c r="A68" s="71">
        <f t="shared" si="1"/>
        <v>66</v>
      </c>
      <c r="B68" s="72"/>
      <c r="C68" s="73"/>
      <c r="D68" s="74"/>
      <c r="E68" s="74"/>
      <c r="F68" s="74"/>
    </row>
  </sheetData>
  <mergeCells count="1">
    <mergeCell ref="D1:F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9"/>
  <dimension ref="B1:C33"/>
  <sheetViews>
    <sheetView topLeftCell="A13" workbookViewId="0">
      <selection activeCell="C33" sqref="C33"/>
    </sheetView>
  </sheetViews>
  <sheetFormatPr defaultRowHeight="12.5" x14ac:dyDescent="0.25"/>
  <cols>
    <col min="1" max="1" width="4.81640625" customWidth="1"/>
    <col min="2" max="2" width="17.1796875" customWidth="1"/>
    <col min="3" max="3" width="27.7265625" customWidth="1"/>
  </cols>
  <sheetData>
    <row r="1" spans="2:3" x14ac:dyDescent="0.25">
      <c r="B1" s="204" t="s">
        <v>55</v>
      </c>
      <c r="C1" s="204"/>
    </row>
    <row r="2" spans="2:3" x14ac:dyDescent="0.25">
      <c r="B2" s="97" t="s">
        <v>26</v>
      </c>
      <c r="C2" s="97" t="s">
        <v>56</v>
      </c>
    </row>
    <row r="3" spans="2:3" x14ac:dyDescent="0.25">
      <c r="B3">
        <v>1</v>
      </c>
      <c r="C3">
        <v>5.5E-2</v>
      </c>
    </row>
    <row r="4" spans="2:3" x14ac:dyDescent="0.25">
      <c r="B4">
        <v>2</v>
      </c>
      <c r="C4">
        <v>5.5899999999999998E-2</v>
      </c>
    </row>
    <row r="5" spans="2:3" x14ac:dyDescent="0.25">
      <c r="B5">
        <v>3</v>
      </c>
      <c r="C5">
        <v>5.6799999999999996E-2</v>
      </c>
    </row>
    <row r="6" spans="2:3" x14ac:dyDescent="0.25">
      <c r="B6">
        <v>4</v>
      </c>
      <c r="C6">
        <v>5.7699999999999994E-2</v>
      </c>
    </row>
    <row r="7" spans="2:3" x14ac:dyDescent="0.25">
      <c r="B7">
        <v>5</v>
      </c>
      <c r="C7">
        <v>5.8599999999999992E-2</v>
      </c>
    </row>
    <row r="8" spans="2:3" x14ac:dyDescent="0.25">
      <c r="B8">
        <v>6</v>
      </c>
      <c r="C8">
        <v>5.949999999999999E-2</v>
      </c>
    </row>
    <row r="9" spans="2:3" x14ac:dyDescent="0.25">
      <c r="B9">
        <v>7</v>
      </c>
      <c r="C9">
        <v>6.0399999999999988E-2</v>
      </c>
    </row>
    <row r="10" spans="2:3" x14ac:dyDescent="0.25">
      <c r="B10">
        <v>8</v>
      </c>
      <c r="C10">
        <v>6.1299999999999986E-2</v>
      </c>
    </row>
    <row r="11" spans="2:3" x14ac:dyDescent="0.25">
      <c r="B11">
        <v>9</v>
      </c>
      <c r="C11">
        <v>6.2199999999999984E-2</v>
      </c>
    </row>
    <row r="12" spans="2:3" x14ac:dyDescent="0.25">
      <c r="B12">
        <v>10</v>
      </c>
      <c r="C12">
        <v>6.3099999999999989E-2</v>
      </c>
    </row>
    <row r="13" spans="2:3" x14ac:dyDescent="0.25">
      <c r="B13">
        <v>11</v>
      </c>
      <c r="C13">
        <v>6.3999999999999987E-2</v>
      </c>
    </row>
    <row r="14" spans="2:3" x14ac:dyDescent="0.25">
      <c r="B14">
        <v>12</v>
      </c>
      <c r="C14">
        <v>6.4899999999999985E-2</v>
      </c>
    </row>
    <row r="15" spans="2:3" x14ac:dyDescent="0.25">
      <c r="B15">
        <v>13</v>
      </c>
      <c r="C15">
        <v>6.5799999999999984E-2</v>
      </c>
    </row>
    <row r="16" spans="2:3" x14ac:dyDescent="0.25">
      <c r="B16">
        <v>14</v>
      </c>
      <c r="C16">
        <v>6.6699999999999982E-2</v>
      </c>
    </row>
    <row r="17" spans="2:3" x14ac:dyDescent="0.25">
      <c r="B17">
        <v>15</v>
      </c>
      <c r="C17">
        <v>6.759999999999998E-2</v>
      </c>
    </row>
    <row r="18" spans="2:3" x14ac:dyDescent="0.25">
      <c r="B18">
        <v>16</v>
      </c>
      <c r="C18">
        <v>6.8499999999999978E-2</v>
      </c>
    </row>
    <row r="19" spans="2:3" x14ac:dyDescent="0.25">
      <c r="B19">
        <v>17</v>
      </c>
      <c r="C19">
        <v>6.9399999999999976E-2</v>
      </c>
    </row>
    <row r="20" spans="2:3" x14ac:dyDescent="0.25">
      <c r="B20">
        <v>18</v>
      </c>
      <c r="C20">
        <v>7.0299999999999974E-2</v>
      </c>
    </row>
    <row r="21" spans="2:3" x14ac:dyDescent="0.25">
      <c r="B21">
        <v>19</v>
      </c>
      <c r="C21">
        <v>7.1199999999999972E-2</v>
      </c>
    </row>
    <row r="22" spans="2:3" x14ac:dyDescent="0.25">
      <c r="B22">
        <v>20</v>
      </c>
      <c r="C22">
        <v>7.209999999999997E-2</v>
      </c>
    </row>
    <row r="23" spans="2:3" x14ac:dyDescent="0.25">
      <c r="B23">
        <v>21</v>
      </c>
      <c r="C23">
        <v>7.2999999999999968E-2</v>
      </c>
    </row>
    <row r="24" spans="2:3" x14ac:dyDescent="0.25">
      <c r="B24">
        <v>22</v>
      </c>
      <c r="C24">
        <v>7.3899999999999966E-2</v>
      </c>
    </row>
    <row r="25" spans="2:3" x14ac:dyDescent="0.25">
      <c r="B25">
        <v>23</v>
      </c>
      <c r="C25">
        <v>7.4799999999999964E-2</v>
      </c>
    </row>
    <row r="26" spans="2:3" x14ac:dyDescent="0.25">
      <c r="B26">
        <v>24</v>
      </c>
      <c r="C26">
        <v>7.5699999999999962E-2</v>
      </c>
    </row>
    <row r="27" spans="2:3" x14ac:dyDescent="0.25">
      <c r="B27">
        <v>25</v>
      </c>
      <c r="C27">
        <v>7.659999999999996E-2</v>
      </c>
    </row>
    <row r="28" spans="2:3" x14ac:dyDescent="0.25">
      <c r="B28">
        <v>26</v>
      </c>
      <c r="C28">
        <v>7.7499999999999999E-2</v>
      </c>
    </row>
    <row r="29" spans="2:3" x14ac:dyDescent="0.25">
      <c r="B29">
        <v>27</v>
      </c>
      <c r="C29">
        <v>7.8399999999999956E-2</v>
      </c>
    </row>
    <row r="30" spans="2:3" x14ac:dyDescent="0.25">
      <c r="B30">
        <v>28</v>
      </c>
      <c r="C30">
        <v>7.9299999999999954E-2</v>
      </c>
    </row>
    <row r="31" spans="2:3" x14ac:dyDescent="0.25">
      <c r="B31">
        <v>29</v>
      </c>
      <c r="C31">
        <v>8.0199999999999952E-2</v>
      </c>
    </row>
    <row r="32" spans="2:3" x14ac:dyDescent="0.25">
      <c r="B32">
        <v>30</v>
      </c>
      <c r="C32">
        <v>8.109999999999995E-2</v>
      </c>
    </row>
    <row r="33" spans="3:3" x14ac:dyDescent="0.25">
      <c r="C33" s="97" t="s">
        <v>57</v>
      </c>
    </row>
  </sheetData>
  <mergeCells count="1">
    <mergeCell ref="B1:C1"/>
  </mergeCells>
  <phoneticPr fontId="6" type="noConversion"/>
  <pageMargins left="0.75" right="0.75" top="1" bottom="1" header="0.5" footer="0.5"/>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0"/>
  <dimension ref="A1:N51"/>
  <sheetViews>
    <sheetView topLeftCell="A13" workbookViewId="0">
      <selection activeCell="C51" sqref="C51"/>
    </sheetView>
  </sheetViews>
  <sheetFormatPr defaultColWidth="8.81640625" defaultRowHeight="12.5" x14ac:dyDescent="0.25"/>
  <cols>
    <col min="1" max="1" width="9.7265625" style="9" customWidth="1"/>
    <col min="2" max="2" width="20.26953125" style="9" bestFit="1" customWidth="1"/>
    <col min="3" max="3" width="12.26953125" style="9" bestFit="1" customWidth="1"/>
    <col min="4" max="4" width="11.7265625" style="9" bestFit="1" customWidth="1"/>
    <col min="5" max="7" width="11.36328125" style="9" bestFit="1" customWidth="1"/>
    <col min="8" max="8" width="8.81640625" style="9"/>
    <col min="9" max="9" width="8.36328125" style="9" bestFit="1" customWidth="1"/>
    <col min="10" max="10" width="15.1796875" style="9" bestFit="1" customWidth="1"/>
    <col min="11" max="11" width="14.36328125" style="9" bestFit="1" customWidth="1"/>
    <col min="12" max="12" width="11.1796875" style="9" customWidth="1"/>
    <col min="13" max="13" width="10.1796875" style="9" bestFit="1" customWidth="1"/>
    <col min="14" max="16384" width="8.81640625" style="9"/>
  </cols>
  <sheetData>
    <row r="1" spans="1:14" x14ac:dyDescent="0.25">
      <c r="A1"/>
      <c r="B1"/>
      <c r="C1"/>
      <c r="D1"/>
      <c r="E1"/>
      <c r="F1"/>
      <c r="G1"/>
      <c r="H1"/>
      <c r="I1"/>
      <c r="J1"/>
    </row>
    <row r="2" spans="1:14" ht="15.5" x14ac:dyDescent="0.35">
      <c r="A2" s="98" t="s">
        <v>716</v>
      </c>
      <c r="B2"/>
      <c r="C2"/>
      <c r="D2"/>
      <c r="E2"/>
      <c r="F2"/>
      <c r="G2"/>
      <c r="H2"/>
      <c r="I2"/>
      <c r="J2"/>
    </row>
    <row r="3" spans="1:14" x14ac:dyDescent="0.25">
      <c r="A3"/>
      <c r="B3"/>
      <c r="C3"/>
      <c r="D3"/>
      <c r="E3"/>
      <c r="F3"/>
      <c r="G3"/>
      <c r="H3"/>
      <c r="I3"/>
      <c r="J3"/>
    </row>
    <row r="4" spans="1:14" ht="13" thickBot="1" x14ac:dyDescent="0.3"/>
    <row r="5" spans="1:14" ht="13" x14ac:dyDescent="0.3">
      <c r="A5" s="10" t="s">
        <v>803</v>
      </c>
      <c r="B5" s="11" t="s">
        <v>31</v>
      </c>
      <c r="C5" s="12" t="s">
        <v>202</v>
      </c>
      <c r="D5" s="11" t="s">
        <v>203</v>
      </c>
      <c r="E5" s="11" t="s">
        <v>713</v>
      </c>
      <c r="F5" s="11" t="s">
        <v>714</v>
      </c>
      <c r="G5" s="11" t="s">
        <v>715</v>
      </c>
      <c r="H5" s="11" t="s">
        <v>204</v>
      </c>
      <c r="I5" s="11" t="s">
        <v>205</v>
      </c>
      <c r="J5" s="13" t="s">
        <v>206</v>
      </c>
      <c r="K5" s="13" t="s">
        <v>760</v>
      </c>
    </row>
    <row r="6" spans="1:14" x14ac:dyDescent="0.25">
      <c r="A6" s="14">
        <v>123491</v>
      </c>
      <c r="B6" s="15" t="s">
        <v>727</v>
      </c>
      <c r="C6" s="16">
        <v>24017</v>
      </c>
      <c r="D6" s="16">
        <v>40073</v>
      </c>
      <c r="E6" s="17">
        <v>90000</v>
      </c>
      <c r="F6" s="17">
        <v>85700</v>
      </c>
      <c r="G6" s="17">
        <v>81600</v>
      </c>
      <c r="L6" s="99"/>
      <c r="M6" s="99"/>
      <c r="N6" s="99"/>
    </row>
    <row r="7" spans="1:14" x14ac:dyDescent="0.25">
      <c r="A7" s="14">
        <v>144983</v>
      </c>
      <c r="B7" s="15" t="s">
        <v>726</v>
      </c>
      <c r="C7" s="16">
        <v>27601</v>
      </c>
      <c r="D7" s="16">
        <v>39634</v>
      </c>
      <c r="E7" s="17">
        <v>91000</v>
      </c>
      <c r="F7" s="17">
        <v>86700</v>
      </c>
      <c r="G7" s="17">
        <v>82500</v>
      </c>
      <c r="L7" s="99"/>
      <c r="M7" s="99"/>
      <c r="N7" s="99"/>
    </row>
    <row r="8" spans="1:14" x14ac:dyDescent="0.25">
      <c r="A8" s="14">
        <v>187427</v>
      </c>
      <c r="B8" s="15" t="s">
        <v>731</v>
      </c>
      <c r="C8" s="16">
        <v>21170</v>
      </c>
      <c r="D8" s="16">
        <v>31071</v>
      </c>
      <c r="E8" s="17">
        <v>86000</v>
      </c>
      <c r="F8" s="17">
        <v>81900</v>
      </c>
      <c r="G8" s="17">
        <v>78000</v>
      </c>
      <c r="L8" s="99"/>
      <c r="M8" s="99"/>
      <c r="N8" s="99"/>
    </row>
    <row r="9" spans="1:14" x14ac:dyDescent="0.25">
      <c r="A9" s="14">
        <v>189508</v>
      </c>
      <c r="B9" s="15" t="s">
        <v>729</v>
      </c>
      <c r="C9" s="16">
        <v>30229</v>
      </c>
      <c r="D9" s="16">
        <v>40774</v>
      </c>
      <c r="E9" s="17">
        <v>88000</v>
      </c>
      <c r="F9" s="17">
        <v>83800</v>
      </c>
      <c r="G9" s="17">
        <v>40000</v>
      </c>
      <c r="L9" s="99"/>
      <c r="M9" s="99"/>
      <c r="N9" s="99"/>
    </row>
    <row r="10" spans="1:14" x14ac:dyDescent="0.25">
      <c r="A10" s="14">
        <v>199741</v>
      </c>
      <c r="B10" s="15" t="s">
        <v>734</v>
      </c>
      <c r="C10" s="16">
        <v>16439</v>
      </c>
      <c r="D10" s="16">
        <v>35009</v>
      </c>
      <c r="E10" s="17">
        <v>300000</v>
      </c>
      <c r="F10" s="17">
        <v>276000</v>
      </c>
      <c r="G10" s="17">
        <v>252000</v>
      </c>
      <c r="L10" s="99"/>
      <c r="M10" s="99"/>
      <c r="N10" s="99"/>
    </row>
    <row r="11" spans="1:14" x14ac:dyDescent="0.25">
      <c r="A11" s="14">
        <v>205217</v>
      </c>
      <c r="B11" s="15" t="s">
        <v>730</v>
      </c>
      <c r="C11" s="16">
        <v>17620</v>
      </c>
      <c r="D11" s="16" t="s">
        <v>761</v>
      </c>
      <c r="E11" s="17">
        <v>87000</v>
      </c>
      <c r="F11" s="17">
        <v>82900</v>
      </c>
      <c r="G11" s="17">
        <v>78900</v>
      </c>
      <c r="L11" s="99"/>
      <c r="M11" s="99"/>
      <c r="N11" s="99"/>
    </row>
    <row r="12" spans="1:14" x14ac:dyDescent="0.25">
      <c r="A12" s="14">
        <v>206418</v>
      </c>
      <c r="B12" s="15" t="s">
        <v>732</v>
      </c>
      <c r="C12" s="16">
        <v>20874</v>
      </c>
      <c r="D12" s="16">
        <v>41600</v>
      </c>
      <c r="E12" s="17">
        <v>85000</v>
      </c>
      <c r="F12" s="17">
        <v>2000</v>
      </c>
      <c r="G12" s="17"/>
      <c r="L12" s="99"/>
      <c r="M12" s="99"/>
      <c r="N12" s="99"/>
    </row>
    <row r="13" spans="1:14" x14ac:dyDescent="0.25">
      <c r="A13" s="14">
        <v>218201</v>
      </c>
      <c r="B13" s="15" t="s">
        <v>733</v>
      </c>
      <c r="C13" s="16">
        <v>15818</v>
      </c>
      <c r="D13" s="16">
        <v>31876</v>
      </c>
      <c r="E13" s="17">
        <v>84000</v>
      </c>
      <c r="F13" s="17">
        <v>80000</v>
      </c>
      <c r="G13" s="17">
        <v>76200</v>
      </c>
      <c r="L13" s="99"/>
      <c r="M13" s="99"/>
      <c r="N13" s="99"/>
    </row>
    <row r="14" spans="1:14" x14ac:dyDescent="0.25">
      <c r="A14" s="14">
        <v>225139</v>
      </c>
      <c r="B14" s="15" t="s">
        <v>728</v>
      </c>
      <c r="C14" s="16">
        <v>33987</v>
      </c>
      <c r="D14" s="16">
        <v>40339</v>
      </c>
      <c r="E14" s="17">
        <v>89000</v>
      </c>
      <c r="F14" s="17">
        <v>84800</v>
      </c>
      <c r="G14" s="17">
        <v>80700</v>
      </c>
      <c r="L14" s="99"/>
      <c r="M14" s="99"/>
      <c r="N14" s="99"/>
    </row>
    <row r="15" spans="1:14" x14ac:dyDescent="0.25">
      <c r="A15" s="14">
        <v>232072</v>
      </c>
      <c r="B15" s="15" t="s">
        <v>739</v>
      </c>
      <c r="C15" s="16">
        <v>24290</v>
      </c>
      <c r="D15" s="16">
        <v>35067</v>
      </c>
      <c r="E15" s="17">
        <v>114000</v>
      </c>
      <c r="F15" s="17">
        <v>108600</v>
      </c>
      <c r="G15" s="17">
        <v>103400</v>
      </c>
      <c r="L15" s="99"/>
      <c r="M15" s="99"/>
      <c r="N15" s="99"/>
    </row>
    <row r="16" spans="1:14" x14ac:dyDescent="0.25">
      <c r="A16" s="14">
        <v>250067</v>
      </c>
      <c r="B16" s="15" t="s">
        <v>738</v>
      </c>
      <c r="C16" s="16" t="s">
        <v>762</v>
      </c>
      <c r="D16" s="16">
        <v>36129</v>
      </c>
      <c r="E16" s="17">
        <v>115200</v>
      </c>
      <c r="F16" s="17">
        <v>109700</v>
      </c>
      <c r="G16" s="17">
        <v>104500</v>
      </c>
      <c r="L16" s="99"/>
      <c r="M16" s="99"/>
      <c r="N16" s="99"/>
    </row>
    <row r="17" spans="1:14" x14ac:dyDescent="0.25">
      <c r="A17" s="14">
        <v>253862</v>
      </c>
      <c r="B17" s="15" t="s">
        <v>723</v>
      </c>
      <c r="C17" s="16">
        <v>23332</v>
      </c>
      <c r="D17" s="16">
        <v>40497</v>
      </c>
      <c r="E17" s="17">
        <v>320000</v>
      </c>
      <c r="F17" s="17">
        <v>32000</v>
      </c>
      <c r="G17" s="17"/>
      <c r="L17" s="99"/>
      <c r="M17" s="99"/>
      <c r="N17" s="99"/>
    </row>
    <row r="18" spans="1:14" x14ac:dyDescent="0.25">
      <c r="A18" s="14">
        <v>255179</v>
      </c>
      <c r="B18" s="15" t="s">
        <v>737</v>
      </c>
      <c r="C18" s="16">
        <v>22281</v>
      </c>
      <c r="D18" s="16">
        <v>35220</v>
      </c>
      <c r="E18" s="17">
        <v>116400</v>
      </c>
      <c r="F18" s="17">
        <v>110900</v>
      </c>
      <c r="G18" s="17">
        <v>105600</v>
      </c>
      <c r="L18" s="99"/>
      <c r="M18" s="99"/>
      <c r="N18" s="99"/>
    </row>
    <row r="19" spans="1:14" x14ac:dyDescent="0.25">
      <c r="A19" s="14">
        <v>258130</v>
      </c>
      <c r="B19" s="15" t="s">
        <v>741</v>
      </c>
      <c r="C19" s="16">
        <v>29124</v>
      </c>
      <c r="D19" s="16">
        <v>35562</v>
      </c>
      <c r="E19" s="17">
        <v>111600</v>
      </c>
      <c r="F19" s="17">
        <v>106300</v>
      </c>
      <c r="G19" s="17">
        <v>101200</v>
      </c>
      <c r="L19" s="99"/>
      <c r="M19" s="99"/>
      <c r="N19" s="99"/>
    </row>
    <row r="20" spans="1:14" x14ac:dyDescent="0.25">
      <c r="A20" s="14">
        <v>286491</v>
      </c>
      <c r="B20" s="15" t="s">
        <v>735</v>
      </c>
      <c r="C20" s="16">
        <v>16018</v>
      </c>
      <c r="D20" s="16">
        <v>38201</v>
      </c>
      <c r="E20" s="17">
        <v>118800</v>
      </c>
      <c r="F20" s="17">
        <v>113100</v>
      </c>
      <c r="G20" s="17">
        <v>107800</v>
      </c>
      <c r="L20" s="99"/>
      <c r="M20" s="99"/>
      <c r="N20" s="99"/>
    </row>
    <row r="21" spans="1:14" x14ac:dyDescent="0.25">
      <c r="A21" s="14">
        <v>290999</v>
      </c>
      <c r="B21" s="15" t="s">
        <v>742</v>
      </c>
      <c r="C21" s="16">
        <v>25991</v>
      </c>
      <c r="D21" s="16">
        <v>41274</v>
      </c>
      <c r="E21" s="17">
        <v>110400</v>
      </c>
      <c r="F21" s="17">
        <v>48000</v>
      </c>
      <c r="G21" s="17"/>
      <c r="L21" s="99"/>
      <c r="M21" s="99"/>
      <c r="N21" s="99"/>
    </row>
    <row r="22" spans="1:14" x14ac:dyDescent="0.25">
      <c r="A22" s="14">
        <v>300843</v>
      </c>
      <c r="B22" s="15" t="s">
        <v>736</v>
      </c>
      <c r="C22" s="16">
        <v>17659</v>
      </c>
      <c r="D22" s="16">
        <v>38175</v>
      </c>
      <c r="E22" s="17">
        <v>117600</v>
      </c>
      <c r="F22" s="17">
        <v>112000</v>
      </c>
      <c r="G22" s="17">
        <v>106700</v>
      </c>
      <c r="L22" s="99"/>
      <c r="M22" s="99"/>
      <c r="N22" s="99"/>
    </row>
    <row r="23" spans="1:14" x14ac:dyDescent="0.25">
      <c r="A23" s="14">
        <v>302798</v>
      </c>
      <c r="B23" s="15" t="s">
        <v>724</v>
      </c>
      <c r="C23" s="16">
        <v>28924</v>
      </c>
      <c r="D23" s="16">
        <v>35362</v>
      </c>
      <c r="E23" s="17">
        <v>93000</v>
      </c>
      <c r="F23" s="17">
        <v>88600</v>
      </c>
      <c r="G23" s="17">
        <v>84400</v>
      </c>
      <c r="L23" s="99"/>
      <c r="M23" s="99"/>
      <c r="N23" s="99"/>
    </row>
    <row r="24" spans="1:14" x14ac:dyDescent="0.25">
      <c r="A24" s="14">
        <v>310267</v>
      </c>
      <c r="B24" s="15" t="s">
        <v>740</v>
      </c>
      <c r="C24" s="16">
        <v>23532</v>
      </c>
      <c r="D24" s="16">
        <v>45081</v>
      </c>
      <c r="E24" s="17">
        <v>384000</v>
      </c>
      <c r="F24" s="17">
        <v>38400</v>
      </c>
      <c r="G24" s="17"/>
      <c r="L24" s="99"/>
      <c r="M24" s="99"/>
      <c r="N24" s="99"/>
    </row>
    <row r="25" spans="1:14" x14ac:dyDescent="0.25">
      <c r="A25" s="14">
        <v>313615</v>
      </c>
      <c r="B25" s="15" t="s">
        <v>745</v>
      </c>
      <c r="C25" s="16">
        <v>34187</v>
      </c>
      <c r="D25" s="16">
        <v>40539</v>
      </c>
      <c r="E25" s="17">
        <v>106800</v>
      </c>
      <c r="F25" s="17">
        <v>101700</v>
      </c>
      <c r="G25" s="17">
        <v>96900</v>
      </c>
      <c r="L25" s="99"/>
      <c r="M25" s="99"/>
      <c r="N25" s="99"/>
    </row>
    <row r="26" spans="1:14" x14ac:dyDescent="0.25">
      <c r="A26" s="14">
        <v>320387</v>
      </c>
      <c r="B26" s="15" t="s">
        <v>725</v>
      </c>
      <c r="C26" s="16">
        <v>25791</v>
      </c>
      <c r="D26" s="16">
        <v>41074</v>
      </c>
      <c r="E26" s="17">
        <v>92000</v>
      </c>
      <c r="F26" s="17">
        <v>40000</v>
      </c>
      <c r="G26" s="17"/>
      <c r="L26" s="99"/>
      <c r="M26" s="99"/>
      <c r="N26" s="99"/>
    </row>
    <row r="27" spans="1:14" x14ac:dyDescent="0.25">
      <c r="A27" s="14">
        <v>340436</v>
      </c>
      <c r="B27" s="15" t="s">
        <v>743</v>
      </c>
      <c r="C27" s="16">
        <v>27801</v>
      </c>
      <c r="D27" s="16">
        <v>39834</v>
      </c>
      <c r="E27" s="17">
        <v>109200</v>
      </c>
      <c r="F27" s="17">
        <v>104000</v>
      </c>
      <c r="G27" s="17">
        <v>99000</v>
      </c>
      <c r="L27" s="99"/>
      <c r="M27" s="99"/>
      <c r="N27" s="99"/>
    </row>
    <row r="28" spans="1:14" x14ac:dyDescent="0.25">
      <c r="A28" s="14">
        <v>345767</v>
      </c>
      <c r="B28" s="15" t="s">
        <v>744</v>
      </c>
      <c r="C28" s="16">
        <v>24217</v>
      </c>
      <c r="D28" s="16">
        <v>40273</v>
      </c>
      <c r="E28" s="17">
        <v>108000</v>
      </c>
      <c r="F28" s="17">
        <v>102900</v>
      </c>
      <c r="G28" s="17">
        <v>98000</v>
      </c>
      <c r="L28" s="99"/>
      <c r="M28" s="99"/>
      <c r="N28" s="99"/>
    </row>
    <row r="29" spans="1:14" x14ac:dyDescent="0.25">
      <c r="A29" s="14">
        <v>352244</v>
      </c>
      <c r="B29" s="15" t="s">
        <v>748</v>
      </c>
      <c r="C29" s="16">
        <v>21370</v>
      </c>
      <c r="D29" s="16">
        <v>31271</v>
      </c>
      <c r="E29" s="17">
        <v>103200</v>
      </c>
      <c r="F29" s="17">
        <v>98300</v>
      </c>
      <c r="G29" s="17">
        <v>93600</v>
      </c>
      <c r="L29" s="99"/>
      <c r="M29" s="99"/>
      <c r="N29" s="99"/>
    </row>
    <row r="30" spans="1:14" x14ac:dyDescent="0.25">
      <c r="A30" s="14">
        <v>357982</v>
      </c>
      <c r="B30" s="15" t="s">
        <v>747</v>
      </c>
      <c r="C30" s="16">
        <v>17820</v>
      </c>
      <c r="D30" s="16">
        <v>27116</v>
      </c>
      <c r="E30" s="17">
        <v>104400</v>
      </c>
      <c r="F30" s="17">
        <v>99400</v>
      </c>
      <c r="G30" s="17">
        <v>94700</v>
      </c>
      <c r="L30" s="99"/>
      <c r="M30" s="99"/>
      <c r="N30" s="99"/>
    </row>
    <row r="31" spans="1:14" x14ac:dyDescent="0.25">
      <c r="A31" s="14">
        <v>369257</v>
      </c>
      <c r="B31" s="15" t="s">
        <v>746</v>
      </c>
      <c r="C31" s="16">
        <v>3651</v>
      </c>
      <c r="D31" s="16">
        <v>40974</v>
      </c>
      <c r="E31" s="17">
        <v>105600</v>
      </c>
      <c r="F31" s="17">
        <v>100600</v>
      </c>
      <c r="G31" s="17">
        <v>48000</v>
      </c>
      <c r="L31" s="99"/>
      <c r="M31" s="99"/>
      <c r="N31" s="99"/>
    </row>
    <row r="32" spans="1:14" x14ac:dyDescent="0.25">
      <c r="A32" s="14">
        <v>375122</v>
      </c>
      <c r="B32" s="15" t="s">
        <v>753</v>
      </c>
      <c r="C32" s="16">
        <v>17859</v>
      </c>
      <c r="D32" s="16">
        <v>38375</v>
      </c>
      <c r="E32" s="17">
        <v>141100</v>
      </c>
      <c r="F32" s="17">
        <v>134400</v>
      </c>
      <c r="G32" s="17">
        <v>128000</v>
      </c>
      <c r="L32" s="99"/>
      <c r="M32" s="99"/>
      <c r="N32" s="99"/>
    </row>
    <row r="33" spans="1:14" x14ac:dyDescent="0.25">
      <c r="A33" s="14">
        <v>406300</v>
      </c>
      <c r="B33" s="15" t="s">
        <v>757</v>
      </c>
      <c r="C33" s="16">
        <v>1</v>
      </c>
      <c r="D33" s="16">
        <v>45281</v>
      </c>
      <c r="E33" s="17">
        <v>460800</v>
      </c>
      <c r="F33" s="17">
        <v>46100</v>
      </c>
      <c r="G33" s="17"/>
      <c r="L33" s="99"/>
      <c r="M33" s="99"/>
      <c r="N33" s="99"/>
    </row>
    <row r="34" spans="1:14" x14ac:dyDescent="0.25">
      <c r="A34" s="14">
        <v>422365</v>
      </c>
      <c r="B34" s="15" t="s">
        <v>749</v>
      </c>
      <c r="C34" s="16">
        <v>21074</v>
      </c>
      <c r="D34" s="16">
        <v>1</v>
      </c>
      <c r="E34" s="17">
        <v>102000</v>
      </c>
      <c r="F34" s="17">
        <v>2400</v>
      </c>
      <c r="G34" s="17"/>
      <c r="L34" s="99"/>
      <c r="M34" s="99"/>
      <c r="N34" s="99"/>
    </row>
    <row r="35" spans="1:14" x14ac:dyDescent="0.25">
      <c r="A35" s="14">
        <v>423109</v>
      </c>
      <c r="B35" s="15" t="s">
        <v>752</v>
      </c>
      <c r="C35" s="16">
        <v>16218</v>
      </c>
      <c r="D35" s="16">
        <v>38401</v>
      </c>
      <c r="E35" s="17">
        <v>142600</v>
      </c>
      <c r="F35" s="17">
        <v>135700</v>
      </c>
      <c r="G35" s="17">
        <v>129400</v>
      </c>
      <c r="L35" s="99"/>
      <c r="M35" s="99"/>
      <c r="N35" s="99"/>
    </row>
    <row r="36" spans="1:14" x14ac:dyDescent="0.25">
      <c r="A36" s="14">
        <v>426223</v>
      </c>
      <c r="B36" s="15" t="s">
        <v>759</v>
      </c>
      <c r="C36" s="16">
        <v>26191</v>
      </c>
      <c r="D36" s="16">
        <v>41474</v>
      </c>
      <c r="E36" s="17">
        <v>132500</v>
      </c>
      <c r="F36" s="17">
        <v>57600</v>
      </c>
      <c r="G36" s="17"/>
      <c r="L36" s="99"/>
      <c r="M36" s="99"/>
      <c r="N36" s="99"/>
    </row>
    <row r="37" spans="1:14" x14ac:dyDescent="0.25">
      <c r="A37" s="14">
        <v>430276</v>
      </c>
      <c r="B37" s="15" t="s">
        <v>758</v>
      </c>
      <c r="C37" s="16">
        <v>29324</v>
      </c>
      <c r="D37" s="16">
        <v>35762</v>
      </c>
      <c r="E37" s="17">
        <v>133900</v>
      </c>
      <c r="F37" s="17">
        <v>127600</v>
      </c>
      <c r="G37" s="17">
        <v>121400</v>
      </c>
      <c r="L37" s="99"/>
      <c r="M37" s="99"/>
      <c r="N37" s="99"/>
    </row>
    <row r="38" spans="1:14" x14ac:dyDescent="0.25">
      <c r="A38" s="14">
        <v>430534</v>
      </c>
      <c r="B38" s="15" t="s">
        <v>750</v>
      </c>
      <c r="C38" s="16">
        <v>16018</v>
      </c>
      <c r="D38" s="16">
        <v>32076</v>
      </c>
      <c r="E38" s="17">
        <v>100800</v>
      </c>
      <c r="F38" s="17">
        <v>96000</v>
      </c>
      <c r="G38" s="17">
        <v>91400</v>
      </c>
      <c r="L38" s="99"/>
      <c r="M38" s="99"/>
      <c r="N38" s="99"/>
    </row>
    <row r="39" spans="1:14" x14ac:dyDescent="0.25">
      <c r="A39" s="14">
        <v>443913</v>
      </c>
      <c r="B39" s="15" t="s">
        <v>751</v>
      </c>
      <c r="C39" s="16">
        <v>16639</v>
      </c>
      <c r="D39" s="16">
        <v>35209</v>
      </c>
      <c r="E39" s="17">
        <v>360000</v>
      </c>
      <c r="F39" s="17">
        <v>331200</v>
      </c>
      <c r="G39" s="17">
        <v>302400</v>
      </c>
      <c r="L39" s="99"/>
      <c r="M39" s="99"/>
      <c r="N39" s="99"/>
    </row>
    <row r="40" spans="1:14" x14ac:dyDescent="0.25">
      <c r="A40" s="14">
        <v>446641</v>
      </c>
      <c r="B40" s="15" t="s">
        <v>727</v>
      </c>
      <c r="C40" s="16">
        <v>24017</v>
      </c>
      <c r="D40" s="16">
        <v>40073</v>
      </c>
      <c r="E40" s="17">
        <v>90000</v>
      </c>
      <c r="F40" s="17">
        <v>85700</v>
      </c>
      <c r="G40" s="17">
        <v>81600</v>
      </c>
      <c r="L40" s="99"/>
      <c r="M40" s="99"/>
      <c r="N40" s="99"/>
    </row>
    <row r="41" spans="1:14" x14ac:dyDescent="0.25">
      <c r="A41" s="14">
        <v>462488</v>
      </c>
      <c r="B41" s="15" t="s">
        <v>754</v>
      </c>
      <c r="C41" s="16">
        <v>22481</v>
      </c>
      <c r="D41" s="16">
        <v>1</v>
      </c>
      <c r="E41" s="17">
        <v>139700</v>
      </c>
      <c r="F41" s="17">
        <v>133100</v>
      </c>
      <c r="G41" s="17">
        <v>126700</v>
      </c>
      <c r="L41" s="99"/>
      <c r="M41" s="99"/>
      <c r="N41" s="99"/>
    </row>
    <row r="42" spans="1:14" x14ac:dyDescent="0.25">
      <c r="A42" s="14">
        <v>472297</v>
      </c>
      <c r="B42" s="15" t="s">
        <v>728</v>
      </c>
      <c r="C42" s="16">
        <v>33987</v>
      </c>
      <c r="D42" s="16">
        <v>40339</v>
      </c>
      <c r="E42" s="17">
        <v>89000</v>
      </c>
      <c r="F42" s="17">
        <v>84800</v>
      </c>
      <c r="G42" s="17">
        <v>80700</v>
      </c>
      <c r="L42" s="99"/>
      <c r="M42" s="99"/>
      <c r="N42" s="99"/>
    </row>
    <row r="43" spans="1:14" x14ac:dyDescent="0.25">
      <c r="A43" s="14">
        <v>489909</v>
      </c>
      <c r="B43" s="15" t="s">
        <v>756</v>
      </c>
      <c r="C43" s="16">
        <v>24490</v>
      </c>
      <c r="D43" s="16">
        <v>35267</v>
      </c>
      <c r="E43" s="17">
        <v>136800</v>
      </c>
      <c r="F43" s="17">
        <v>130300</v>
      </c>
      <c r="G43" s="17">
        <v>124100</v>
      </c>
      <c r="L43" s="99"/>
      <c r="M43" s="99"/>
      <c r="N43" s="99"/>
    </row>
    <row r="44" spans="1:14" x14ac:dyDescent="0.25">
      <c r="A44" s="14">
        <v>489933</v>
      </c>
      <c r="B44" s="15" t="s">
        <v>755</v>
      </c>
      <c r="C44" s="16">
        <v>22158</v>
      </c>
      <c r="D44" s="16">
        <v>36329</v>
      </c>
      <c r="E44" s="17">
        <v>138200</v>
      </c>
      <c r="F44" s="17">
        <v>131600</v>
      </c>
      <c r="G44" s="17">
        <v>125400</v>
      </c>
      <c r="L44" s="99"/>
      <c r="M44" s="99"/>
      <c r="N44" s="99"/>
    </row>
    <row r="45" spans="1:14" x14ac:dyDescent="0.25">
      <c r="A45" s="14">
        <v>537613</v>
      </c>
      <c r="B45" s="15" t="s">
        <v>729</v>
      </c>
      <c r="C45" s="16">
        <v>30229</v>
      </c>
      <c r="D45" s="16">
        <v>40774</v>
      </c>
      <c r="E45" s="17">
        <v>88000</v>
      </c>
      <c r="F45" s="17">
        <v>83800</v>
      </c>
      <c r="G45" s="17">
        <v>40000</v>
      </c>
      <c r="L45" s="99"/>
      <c r="M45" s="99"/>
      <c r="N45" s="99"/>
    </row>
    <row r="46" spans="1:14" x14ac:dyDescent="0.25">
      <c r="A46" s="14">
        <v>538228</v>
      </c>
      <c r="B46" s="15" t="s">
        <v>718</v>
      </c>
      <c r="C46" s="16">
        <v>15818</v>
      </c>
      <c r="D46" s="16">
        <v>38001</v>
      </c>
      <c r="E46" s="17">
        <v>99000</v>
      </c>
      <c r="F46" s="17">
        <v>94300</v>
      </c>
      <c r="G46" s="17">
        <v>89800</v>
      </c>
      <c r="L46" s="99"/>
      <c r="M46" s="99"/>
      <c r="N46" s="99"/>
    </row>
    <row r="47" spans="1:14" x14ac:dyDescent="0.25">
      <c r="A47" s="14">
        <v>545776</v>
      </c>
      <c r="B47" s="15" t="s">
        <v>722</v>
      </c>
      <c r="C47" s="16">
        <v>24090</v>
      </c>
      <c r="D47" s="16">
        <v>34867</v>
      </c>
      <c r="E47" s="17">
        <v>95000</v>
      </c>
      <c r="F47" s="17">
        <v>90500</v>
      </c>
      <c r="G47" s="17">
        <v>86200</v>
      </c>
      <c r="L47" s="99"/>
      <c r="M47" s="99"/>
      <c r="N47" s="99"/>
    </row>
    <row r="48" spans="1:14" x14ac:dyDescent="0.25">
      <c r="A48" s="14">
        <v>565414</v>
      </c>
      <c r="B48" s="15" t="s">
        <v>721</v>
      </c>
      <c r="C48" s="16">
        <v>21758</v>
      </c>
      <c r="D48" s="16">
        <v>35929</v>
      </c>
      <c r="E48" s="17">
        <v>96000</v>
      </c>
      <c r="F48" s="17">
        <v>91400</v>
      </c>
      <c r="G48" s="17">
        <v>87100</v>
      </c>
      <c r="L48" s="99"/>
      <c r="M48" s="99"/>
      <c r="N48" s="99"/>
    </row>
    <row r="49" spans="1:14" x14ac:dyDescent="0.25">
      <c r="A49" s="14">
        <v>570202</v>
      </c>
      <c r="B49" s="15" t="s">
        <v>717</v>
      </c>
      <c r="C49" s="16">
        <v>16239</v>
      </c>
      <c r="D49" s="16">
        <v>34809</v>
      </c>
      <c r="E49" s="17">
        <v>250000</v>
      </c>
      <c r="F49" s="17">
        <v>230000</v>
      </c>
      <c r="G49" s="17">
        <v>210000</v>
      </c>
      <c r="L49" s="99"/>
      <c r="M49" s="99"/>
      <c r="N49" s="99"/>
    </row>
    <row r="50" spans="1:14" x14ac:dyDescent="0.25">
      <c r="A50" s="14">
        <v>578408</v>
      </c>
      <c r="B50" s="15" t="s">
        <v>719</v>
      </c>
      <c r="C50" s="16">
        <v>17459</v>
      </c>
      <c r="D50" s="16">
        <v>37975</v>
      </c>
      <c r="E50" s="17">
        <v>98000</v>
      </c>
      <c r="F50" s="17">
        <v>93300</v>
      </c>
      <c r="G50" s="17">
        <v>88900</v>
      </c>
      <c r="L50" s="99"/>
      <c r="M50" s="99"/>
      <c r="N50" s="99"/>
    </row>
    <row r="51" spans="1:14" x14ac:dyDescent="0.25">
      <c r="A51" s="14">
        <v>579268</v>
      </c>
      <c r="B51" s="15" t="s">
        <v>720</v>
      </c>
      <c r="C51" s="16">
        <v>22081</v>
      </c>
      <c r="D51" s="16">
        <v>35020</v>
      </c>
      <c r="E51" s="17">
        <v>97000</v>
      </c>
      <c r="F51" s="17">
        <v>92400</v>
      </c>
      <c r="G51" s="17">
        <v>88000</v>
      </c>
      <c r="L51" s="99"/>
      <c r="M51" s="99"/>
      <c r="N51" s="99"/>
    </row>
  </sheetData>
  <sortState xmlns:xlrd2="http://schemas.microsoft.com/office/spreadsheetml/2017/richdata2" ref="A6:G51">
    <sortCondition ref="A6"/>
  </sortState>
  <pageMargins left="0.75" right="0.75" top="1" bottom="1" header="0.5" footer="0.5"/>
  <pageSetup orientation="portrait"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FC1D80-5876-4CC3-841D-6AAEA78BDCD2}">
  <dimension ref="A1:R58"/>
  <sheetViews>
    <sheetView tabSelected="1" workbookViewId="0">
      <selection activeCell="K6" sqref="K6"/>
    </sheetView>
  </sheetViews>
  <sheetFormatPr defaultColWidth="8.81640625" defaultRowHeight="12.5" x14ac:dyDescent="0.25"/>
  <cols>
    <col min="1" max="1" width="9.7265625" style="9" customWidth="1"/>
    <col min="2" max="2" width="20.26953125" style="9" bestFit="1" customWidth="1"/>
    <col min="3" max="3" width="12.26953125" style="9" bestFit="1" customWidth="1"/>
    <col min="4" max="4" width="11.7265625" style="9" bestFit="1" customWidth="1"/>
    <col min="5" max="7" width="11.36328125" style="9" bestFit="1" customWidth="1"/>
    <col min="8" max="9" width="11.36328125" style="9" customWidth="1"/>
    <col min="10" max="10" width="12.26953125" style="9" customWidth="1"/>
    <col min="11" max="11" width="11.26953125" style="9" customWidth="1"/>
    <col min="12" max="12" width="8.81640625" style="9"/>
    <col min="13" max="13" width="8.36328125" style="9" bestFit="1" customWidth="1"/>
    <col min="14" max="14" width="15.1796875" style="9" bestFit="1" customWidth="1"/>
    <col min="15" max="15" width="14.36328125" style="9" bestFit="1" customWidth="1"/>
    <col min="16" max="16" width="11.1796875" style="9" customWidth="1"/>
    <col min="17" max="17" width="10.1796875" style="9" bestFit="1" customWidth="1"/>
    <col min="18" max="16384" width="8.81640625" style="9"/>
  </cols>
  <sheetData>
    <row r="1" spans="1:18" x14ac:dyDescent="0.25">
      <c r="A1"/>
      <c r="B1"/>
      <c r="C1"/>
      <c r="D1"/>
      <c r="E1"/>
      <c r="F1"/>
      <c r="G1"/>
      <c r="H1"/>
      <c r="I1"/>
      <c r="J1"/>
      <c r="K1"/>
      <c r="L1"/>
      <c r="M1"/>
      <c r="N1"/>
    </row>
    <row r="2" spans="1:18" ht="15.5" x14ac:dyDescent="0.35">
      <c r="A2" s="98" t="s">
        <v>716</v>
      </c>
      <c r="B2"/>
      <c r="C2"/>
      <c r="D2"/>
      <c r="E2"/>
      <c r="F2"/>
      <c r="G2"/>
      <c r="H2"/>
      <c r="I2"/>
      <c r="J2"/>
      <c r="K2"/>
      <c r="L2"/>
      <c r="M2"/>
      <c r="N2"/>
    </row>
    <row r="3" spans="1:18" x14ac:dyDescent="0.25">
      <c r="A3"/>
      <c r="B3"/>
      <c r="C3"/>
      <c r="D3"/>
      <c r="E3"/>
      <c r="F3"/>
      <c r="G3"/>
      <c r="H3"/>
      <c r="I3"/>
      <c r="J3"/>
      <c r="K3"/>
      <c r="L3"/>
      <c r="M3"/>
      <c r="N3"/>
    </row>
    <row r="4" spans="1:18" ht="13" thickBot="1" x14ac:dyDescent="0.3"/>
    <row r="5" spans="1:18" ht="26" x14ac:dyDescent="0.3">
      <c r="A5" s="10" t="s">
        <v>803</v>
      </c>
      <c r="B5" s="11" t="s">
        <v>31</v>
      </c>
      <c r="C5" s="12" t="s">
        <v>202</v>
      </c>
      <c r="D5" s="11" t="s">
        <v>203</v>
      </c>
      <c r="E5" s="11" t="s">
        <v>713</v>
      </c>
      <c r="F5" s="11" t="s">
        <v>714</v>
      </c>
      <c r="G5" s="11" t="s">
        <v>715</v>
      </c>
      <c r="H5" s="226" t="s">
        <v>941</v>
      </c>
      <c r="I5" s="226" t="s">
        <v>942</v>
      </c>
      <c r="J5" s="226" t="s">
        <v>950</v>
      </c>
      <c r="K5" s="226" t="s">
        <v>951</v>
      </c>
      <c r="L5" s="11" t="s">
        <v>204</v>
      </c>
      <c r="M5" s="11" t="s">
        <v>205</v>
      </c>
      <c r="N5" s="13" t="s">
        <v>206</v>
      </c>
      <c r="O5" s="13" t="s">
        <v>760</v>
      </c>
    </row>
    <row r="6" spans="1:18" x14ac:dyDescent="0.25">
      <c r="A6" s="35">
        <v>123491</v>
      </c>
      <c r="B6" s="15" t="s">
        <v>727</v>
      </c>
      <c r="C6" s="174">
        <v>24017</v>
      </c>
      <c r="D6" s="174">
        <v>34809</v>
      </c>
      <c r="E6" s="36">
        <v>250000</v>
      </c>
      <c r="F6" s="36">
        <v>230000</v>
      </c>
      <c r="G6" s="36">
        <v>210000</v>
      </c>
      <c r="H6" s="174"/>
      <c r="I6" s="36"/>
      <c r="J6" s="35" t="s">
        <v>244</v>
      </c>
      <c r="K6" s="35" t="s">
        <v>244</v>
      </c>
      <c r="P6" s="99"/>
      <c r="Q6" s="99"/>
      <c r="R6" s="99"/>
    </row>
    <row r="7" spans="1:18" x14ac:dyDescent="0.25">
      <c r="A7" s="35">
        <v>144983</v>
      </c>
      <c r="B7" s="15" t="s">
        <v>726</v>
      </c>
      <c r="C7" s="174">
        <v>27601</v>
      </c>
      <c r="D7" s="174">
        <v>38001</v>
      </c>
      <c r="E7" s="36">
        <v>99000</v>
      </c>
      <c r="F7" s="36">
        <v>94300</v>
      </c>
      <c r="G7" s="36">
        <v>89800</v>
      </c>
      <c r="H7" s="174"/>
      <c r="I7" s="36"/>
      <c r="J7" s="35" t="s">
        <v>244</v>
      </c>
      <c r="K7" s="35" t="s">
        <v>244</v>
      </c>
      <c r="P7" s="99"/>
      <c r="Q7" s="99"/>
      <c r="R7" s="99"/>
    </row>
    <row r="8" spans="1:18" x14ac:dyDescent="0.25">
      <c r="A8" s="35">
        <v>187427</v>
      </c>
      <c r="B8" s="15" t="s">
        <v>731</v>
      </c>
      <c r="C8" s="174">
        <v>21170</v>
      </c>
      <c r="D8" s="174">
        <v>37975</v>
      </c>
      <c r="E8" s="36">
        <v>98000</v>
      </c>
      <c r="F8" s="36">
        <v>93300</v>
      </c>
      <c r="G8" s="36">
        <v>88900</v>
      </c>
      <c r="H8" s="174"/>
      <c r="I8" s="36"/>
      <c r="J8" s="35" t="s">
        <v>244</v>
      </c>
      <c r="K8" s="35" t="s">
        <v>244</v>
      </c>
      <c r="P8" s="99"/>
      <c r="Q8" s="99"/>
      <c r="R8" s="99"/>
    </row>
    <row r="9" spans="1:18" x14ac:dyDescent="0.25">
      <c r="A9" s="35">
        <v>189508</v>
      </c>
      <c r="B9" s="15" t="s">
        <v>729</v>
      </c>
      <c r="C9" s="174">
        <v>30229</v>
      </c>
      <c r="D9" s="174">
        <v>35020</v>
      </c>
      <c r="E9" s="36">
        <v>97000</v>
      </c>
      <c r="F9" s="36">
        <v>92400</v>
      </c>
      <c r="G9" s="36">
        <v>88000</v>
      </c>
      <c r="H9" s="174"/>
      <c r="I9" s="36"/>
      <c r="J9" s="35" t="s">
        <v>244</v>
      </c>
      <c r="K9" s="35" t="s">
        <v>244</v>
      </c>
      <c r="P9" s="99"/>
      <c r="Q9" s="99"/>
      <c r="R9" s="99"/>
    </row>
    <row r="10" spans="1:18" x14ac:dyDescent="0.25">
      <c r="A10" s="35">
        <v>199741</v>
      </c>
      <c r="B10" s="15" t="s">
        <v>734</v>
      </c>
      <c r="C10" s="174">
        <v>16439</v>
      </c>
      <c r="D10" s="174">
        <v>35929</v>
      </c>
      <c r="E10" s="36">
        <v>96000</v>
      </c>
      <c r="F10" s="36">
        <v>91400</v>
      </c>
      <c r="G10" s="36">
        <v>87100</v>
      </c>
      <c r="H10" s="174"/>
      <c r="I10" s="36"/>
      <c r="J10" s="35" t="s">
        <v>244</v>
      </c>
      <c r="K10" s="35" t="s">
        <v>244</v>
      </c>
      <c r="P10" s="99"/>
      <c r="Q10" s="99"/>
      <c r="R10" s="99"/>
    </row>
    <row r="11" spans="1:18" x14ac:dyDescent="0.25">
      <c r="A11" s="35">
        <v>205217</v>
      </c>
      <c r="B11" s="15" t="s">
        <v>730</v>
      </c>
      <c r="C11" s="174">
        <v>17620</v>
      </c>
      <c r="D11" s="174">
        <v>34867</v>
      </c>
      <c r="E11" s="36">
        <v>95000</v>
      </c>
      <c r="F11" s="36">
        <v>90500</v>
      </c>
      <c r="G11" s="36">
        <v>86200</v>
      </c>
      <c r="H11" s="174"/>
      <c r="I11" s="36"/>
      <c r="J11" s="35" t="s">
        <v>244</v>
      </c>
      <c r="K11" s="35" t="s">
        <v>244</v>
      </c>
      <c r="P11" s="99"/>
      <c r="Q11" s="99"/>
      <c r="R11" s="99"/>
    </row>
    <row r="12" spans="1:18" x14ac:dyDescent="0.25">
      <c r="A12" s="35">
        <v>206418</v>
      </c>
      <c r="B12" s="15" t="s">
        <v>732</v>
      </c>
      <c r="C12" s="174">
        <v>20874</v>
      </c>
      <c r="D12" s="174">
        <v>40497</v>
      </c>
      <c r="E12" s="36">
        <v>320000</v>
      </c>
      <c r="F12" s="36">
        <v>32000</v>
      </c>
      <c r="G12" s="36"/>
      <c r="H12" s="174"/>
      <c r="I12" s="36"/>
      <c r="J12" s="35" t="s">
        <v>244</v>
      </c>
      <c r="K12" s="35" t="s">
        <v>244</v>
      </c>
      <c r="P12" s="99"/>
      <c r="Q12" s="99"/>
      <c r="R12" s="99"/>
    </row>
    <row r="13" spans="1:18" x14ac:dyDescent="0.25">
      <c r="A13" s="35">
        <v>218201</v>
      </c>
      <c r="B13" s="15" t="s">
        <v>733</v>
      </c>
      <c r="C13" s="174">
        <v>15818</v>
      </c>
      <c r="D13" s="174">
        <v>35362</v>
      </c>
      <c r="E13" s="36">
        <v>93000</v>
      </c>
      <c r="F13" s="36">
        <v>88600</v>
      </c>
      <c r="G13" s="36">
        <v>84400</v>
      </c>
      <c r="H13" s="174"/>
      <c r="I13" s="36"/>
      <c r="J13" s="35" t="s">
        <v>244</v>
      </c>
      <c r="K13" s="35" t="s">
        <v>244</v>
      </c>
      <c r="P13" s="99"/>
      <c r="Q13" s="99"/>
      <c r="R13" s="99"/>
    </row>
    <row r="14" spans="1:18" x14ac:dyDescent="0.25">
      <c r="A14" s="35">
        <v>225139</v>
      </c>
      <c r="B14" s="15" t="s">
        <v>728</v>
      </c>
      <c r="C14" s="174">
        <v>33987</v>
      </c>
      <c r="D14" s="174">
        <v>41074</v>
      </c>
      <c r="E14" s="36">
        <v>92000</v>
      </c>
      <c r="F14" s="36">
        <v>40000</v>
      </c>
      <c r="G14" s="36"/>
      <c r="H14" s="174"/>
      <c r="I14" s="36"/>
      <c r="J14" s="35" t="s">
        <v>244</v>
      </c>
      <c r="K14" s="35" t="s">
        <v>244</v>
      </c>
      <c r="P14" s="99"/>
      <c r="Q14" s="99"/>
      <c r="R14" s="99"/>
    </row>
    <row r="15" spans="1:18" x14ac:dyDescent="0.25">
      <c r="A15" s="35">
        <v>232072</v>
      </c>
      <c r="B15" s="15" t="s">
        <v>739</v>
      </c>
      <c r="C15" s="174">
        <v>24290</v>
      </c>
      <c r="D15" s="174">
        <v>39634</v>
      </c>
      <c r="E15" s="36">
        <v>91000</v>
      </c>
      <c r="F15" s="36">
        <v>86700</v>
      </c>
      <c r="G15" s="36">
        <v>82500</v>
      </c>
      <c r="H15" s="174"/>
      <c r="I15" s="36"/>
      <c r="J15" s="35" t="s">
        <v>244</v>
      </c>
      <c r="K15" s="35" t="s">
        <v>244</v>
      </c>
      <c r="P15" s="99"/>
      <c r="Q15" s="99"/>
      <c r="R15" s="99"/>
    </row>
    <row r="16" spans="1:18" x14ac:dyDescent="0.25">
      <c r="A16" s="35">
        <v>250067</v>
      </c>
      <c r="B16" s="15" t="s">
        <v>738</v>
      </c>
      <c r="C16" s="174" t="s">
        <v>762</v>
      </c>
      <c r="D16" s="174">
        <v>40073</v>
      </c>
      <c r="E16" s="36">
        <v>90000</v>
      </c>
      <c r="F16" s="36">
        <v>85700</v>
      </c>
      <c r="G16" s="36">
        <v>81600</v>
      </c>
      <c r="H16" s="174"/>
      <c r="I16" s="36"/>
      <c r="J16" s="35" t="s">
        <v>244</v>
      </c>
      <c r="K16" s="35" t="s">
        <v>244</v>
      </c>
      <c r="P16" s="99"/>
      <c r="Q16" s="99"/>
      <c r="R16" s="99"/>
    </row>
    <row r="17" spans="1:18" x14ac:dyDescent="0.25">
      <c r="A17" s="35">
        <v>253862</v>
      </c>
      <c r="B17" s="15" t="s">
        <v>723</v>
      </c>
      <c r="C17" s="174">
        <v>23332</v>
      </c>
      <c r="D17" s="174">
        <v>40339</v>
      </c>
      <c r="E17" s="36">
        <v>89000</v>
      </c>
      <c r="F17" s="36">
        <v>84800</v>
      </c>
      <c r="G17" s="36">
        <v>80700</v>
      </c>
      <c r="H17" s="174"/>
      <c r="I17" s="36"/>
      <c r="J17" s="35" t="s">
        <v>244</v>
      </c>
      <c r="K17" s="35" t="s">
        <v>244</v>
      </c>
      <c r="P17" s="99"/>
      <c r="Q17" s="99"/>
      <c r="R17" s="99"/>
    </row>
    <row r="18" spans="1:18" x14ac:dyDescent="0.25">
      <c r="A18" s="35">
        <v>255179</v>
      </c>
      <c r="B18" s="15" t="s">
        <v>737</v>
      </c>
      <c r="C18" s="174">
        <v>22281</v>
      </c>
      <c r="D18" s="174">
        <v>40774</v>
      </c>
      <c r="E18" s="36">
        <v>88000</v>
      </c>
      <c r="F18" s="36">
        <v>83800</v>
      </c>
      <c r="G18" s="36">
        <v>40000</v>
      </c>
      <c r="H18" s="174"/>
      <c r="I18" s="36"/>
      <c r="J18" s="35" t="s">
        <v>244</v>
      </c>
      <c r="K18" s="35" t="s">
        <v>244</v>
      </c>
      <c r="P18" s="99"/>
      <c r="Q18" s="99"/>
      <c r="R18" s="99"/>
    </row>
    <row r="19" spans="1:18" x14ac:dyDescent="0.25">
      <c r="A19" s="35">
        <v>258130</v>
      </c>
      <c r="B19" s="15" t="s">
        <v>741</v>
      </c>
      <c r="C19" s="174">
        <v>29124</v>
      </c>
      <c r="D19" s="174">
        <v>29006</v>
      </c>
      <c r="E19" s="36">
        <v>87000</v>
      </c>
      <c r="F19" s="36">
        <v>82900</v>
      </c>
      <c r="G19" s="36">
        <v>78900</v>
      </c>
      <c r="H19" s="174"/>
      <c r="I19" s="36"/>
      <c r="J19" s="35" t="s">
        <v>244</v>
      </c>
      <c r="K19" s="35" t="s">
        <v>244</v>
      </c>
      <c r="P19" s="99"/>
      <c r="Q19" s="99"/>
      <c r="R19" s="99"/>
    </row>
    <row r="20" spans="1:18" x14ac:dyDescent="0.25">
      <c r="A20" s="35">
        <v>286491</v>
      </c>
      <c r="B20" s="15" t="s">
        <v>735</v>
      </c>
      <c r="C20" s="174">
        <v>16018</v>
      </c>
      <c r="D20" s="174">
        <v>31071</v>
      </c>
      <c r="E20" s="36">
        <v>86000</v>
      </c>
      <c r="F20" s="36">
        <v>81900</v>
      </c>
      <c r="G20" s="36">
        <v>78000</v>
      </c>
      <c r="H20" s="174"/>
      <c r="I20" s="36"/>
      <c r="J20" s="35" t="s">
        <v>244</v>
      </c>
      <c r="K20" s="35" t="s">
        <v>244</v>
      </c>
      <c r="P20" s="99"/>
      <c r="Q20" s="99"/>
      <c r="R20" s="99"/>
    </row>
    <row r="21" spans="1:18" x14ac:dyDescent="0.25">
      <c r="A21" s="35">
        <v>290999</v>
      </c>
      <c r="B21" s="15" t="s">
        <v>742</v>
      </c>
      <c r="C21" s="174">
        <v>25991</v>
      </c>
      <c r="D21" s="174">
        <v>41600</v>
      </c>
      <c r="E21" s="36">
        <v>85000</v>
      </c>
      <c r="F21" s="36">
        <v>2000</v>
      </c>
      <c r="G21" s="36"/>
      <c r="H21" s="174"/>
      <c r="I21" s="36"/>
      <c r="J21" s="35" t="s">
        <v>244</v>
      </c>
      <c r="K21" s="35"/>
      <c r="P21" s="99"/>
      <c r="Q21" s="99"/>
      <c r="R21" s="99"/>
    </row>
    <row r="22" spans="1:18" x14ac:dyDescent="0.25">
      <c r="A22" s="35">
        <v>300843</v>
      </c>
      <c r="B22" s="15" t="s">
        <v>736</v>
      </c>
      <c r="C22" s="174">
        <v>17659</v>
      </c>
      <c r="D22" s="174">
        <v>31876</v>
      </c>
      <c r="E22" s="36">
        <v>84000</v>
      </c>
      <c r="F22" s="36">
        <v>80000</v>
      </c>
      <c r="G22" s="36">
        <v>76200</v>
      </c>
      <c r="H22" s="174"/>
      <c r="I22" s="36"/>
      <c r="J22" s="35" t="s">
        <v>244</v>
      </c>
      <c r="K22" s="35" t="s">
        <v>244</v>
      </c>
      <c r="P22" s="99"/>
      <c r="Q22" s="99"/>
      <c r="R22" s="99"/>
    </row>
    <row r="23" spans="1:18" x14ac:dyDescent="0.25">
      <c r="A23" s="35">
        <v>302798</v>
      </c>
      <c r="B23" s="15" t="s">
        <v>724</v>
      </c>
      <c r="C23" s="174">
        <v>28924</v>
      </c>
      <c r="D23" s="174">
        <v>35009</v>
      </c>
      <c r="E23" s="36">
        <v>300000</v>
      </c>
      <c r="F23" s="36">
        <v>276000</v>
      </c>
      <c r="G23" s="36">
        <v>252000</v>
      </c>
      <c r="H23" s="174"/>
      <c r="I23" s="36"/>
      <c r="J23" s="35" t="s">
        <v>244</v>
      </c>
      <c r="K23" s="35" t="s">
        <v>244</v>
      </c>
      <c r="P23" s="99"/>
      <c r="Q23" s="99"/>
      <c r="R23" s="99"/>
    </row>
    <row r="24" spans="1:18" x14ac:dyDescent="0.25">
      <c r="A24" s="35">
        <v>310267</v>
      </c>
      <c r="B24" s="15" t="s">
        <v>740</v>
      </c>
      <c r="C24" s="174">
        <v>23532</v>
      </c>
      <c r="D24" s="174">
        <v>38201</v>
      </c>
      <c r="E24" s="36">
        <v>118800</v>
      </c>
      <c r="F24" s="36">
        <v>113100</v>
      </c>
      <c r="G24" s="36">
        <v>107800</v>
      </c>
      <c r="H24" s="174"/>
      <c r="I24" s="36"/>
      <c r="J24" s="35" t="s">
        <v>244</v>
      </c>
      <c r="K24" s="35" t="s">
        <v>244</v>
      </c>
      <c r="P24" s="99"/>
      <c r="Q24" s="99"/>
      <c r="R24" s="99"/>
    </row>
    <row r="25" spans="1:18" x14ac:dyDescent="0.25">
      <c r="A25" s="35">
        <v>313615</v>
      </c>
      <c r="B25" s="15" t="s">
        <v>745</v>
      </c>
      <c r="C25" s="174">
        <v>34187</v>
      </c>
      <c r="D25" s="174">
        <v>38175</v>
      </c>
      <c r="E25" s="36">
        <v>117600</v>
      </c>
      <c r="F25" s="36">
        <v>112000</v>
      </c>
      <c r="G25" s="36">
        <v>106700</v>
      </c>
      <c r="H25" s="174"/>
      <c r="I25" s="36"/>
      <c r="J25" s="35" t="s">
        <v>244</v>
      </c>
      <c r="K25" s="35" t="s">
        <v>244</v>
      </c>
      <c r="P25" s="99"/>
      <c r="Q25" s="99"/>
      <c r="R25" s="99"/>
    </row>
    <row r="26" spans="1:18" x14ac:dyDescent="0.25">
      <c r="A26" s="35">
        <v>320387</v>
      </c>
      <c r="B26" s="15" t="s">
        <v>725</v>
      </c>
      <c r="C26" s="174">
        <v>25791</v>
      </c>
      <c r="D26" s="174">
        <v>35220</v>
      </c>
      <c r="E26" s="36">
        <v>116400</v>
      </c>
      <c r="F26" s="36">
        <v>110900</v>
      </c>
      <c r="G26" s="36">
        <v>105600</v>
      </c>
      <c r="H26" s="174"/>
      <c r="I26" s="36"/>
      <c r="J26" s="35" t="s">
        <v>244</v>
      </c>
      <c r="K26" s="35" t="s">
        <v>244</v>
      </c>
      <c r="P26" s="99"/>
      <c r="Q26" s="99"/>
      <c r="R26" s="99"/>
    </row>
    <row r="27" spans="1:18" x14ac:dyDescent="0.25">
      <c r="A27" s="35">
        <v>340436</v>
      </c>
      <c r="B27" s="15" t="s">
        <v>743</v>
      </c>
      <c r="C27" s="174">
        <v>27791</v>
      </c>
      <c r="D27" s="174">
        <v>36129</v>
      </c>
      <c r="E27" s="36">
        <v>115200</v>
      </c>
      <c r="F27" s="36">
        <v>109700</v>
      </c>
      <c r="G27" s="36">
        <v>104500</v>
      </c>
      <c r="H27" s="174"/>
      <c r="I27" s="36"/>
      <c r="J27" s="35" t="s">
        <v>244</v>
      </c>
      <c r="K27" s="35" t="s">
        <v>244</v>
      </c>
      <c r="P27" s="99"/>
      <c r="Q27" s="99"/>
      <c r="R27" s="99"/>
    </row>
    <row r="28" spans="1:18" x14ac:dyDescent="0.25">
      <c r="A28" s="35">
        <v>345767</v>
      </c>
      <c r="B28" s="15" t="s">
        <v>744</v>
      </c>
      <c r="C28" s="174">
        <v>24217</v>
      </c>
      <c r="D28" s="174">
        <v>35067</v>
      </c>
      <c r="E28" s="36">
        <v>114000</v>
      </c>
      <c r="F28" s="36">
        <v>108600</v>
      </c>
      <c r="G28" s="36">
        <v>103400</v>
      </c>
      <c r="H28" s="174"/>
      <c r="I28" s="36"/>
      <c r="J28" s="35" t="s">
        <v>244</v>
      </c>
      <c r="K28" s="35" t="s">
        <v>244</v>
      </c>
      <c r="P28" s="99"/>
      <c r="Q28" s="99"/>
      <c r="R28" s="99"/>
    </row>
    <row r="29" spans="1:18" x14ac:dyDescent="0.25">
      <c r="A29" s="35">
        <v>352244</v>
      </c>
      <c r="B29" s="15" t="s">
        <v>748</v>
      </c>
      <c r="C29" s="174">
        <v>21370</v>
      </c>
      <c r="D29" s="174">
        <v>41429</v>
      </c>
      <c r="E29" s="36">
        <v>384000</v>
      </c>
      <c r="F29" s="36">
        <v>38400</v>
      </c>
      <c r="G29" s="36"/>
      <c r="H29" s="174"/>
      <c r="I29" s="36"/>
      <c r="J29" s="35" t="s">
        <v>244</v>
      </c>
      <c r="K29" s="35"/>
      <c r="P29" s="99"/>
      <c r="Q29" s="99"/>
      <c r="R29" s="99"/>
    </row>
    <row r="30" spans="1:18" x14ac:dyDescent="0.25">
      <c r="A30" s="35">
        <v>357982</v>
      </c>
      <c r="B30" s="15" t="s">
        <v>747</v>
      </c>
      <c r="C30" s="174">
        <v>17820</v>
      </c>
      <c r="D30" s="174">
        <v>35562</v>
      </c>
      <c r="E30" s="36">
        <v>111600</v>
      </c>
      <c r="F30" s="36">
        <v>106300</v>
      </c>
      <c r="G30" s="36">
        <v>101200</v>
      </c>
      <c r="H30" s="174"/>
      <c r="I30" s="36"/>
      <c r="J30" s="35" t="s">
        <v>244</v>
      </c>
      <c r="K30" s="35" t="s">
        <v>244</v>
      </c>
      <c r="P30" s="99"/>
      <c r="Q30" s="99"/>
      <c r="R30" s="99"/>
    </row>
    <row r="31" spans="1:18" x14ac:dyDescent="0.25">
      <c r="A31" s="35">
        <v>369257</v>
      </c>
      <c r="B31" s="15" t="s">
        <v>746</v>
      </c>
      <c r="C31" s="174">
        <v>3651</v>
      </c>
      <c r="D31" s="174">
        <v>41274</v>
      </c>
      <c r="E31" s="36">
        <v>110400</v>
      </c>
      <c r="F31" s="36">
        <v>48000</v>
      </c>
      <c r="G31" s="36"/>
      <c r="H31" s="174"/>
      <c r="I31" s="36"/>
      <c r="J31" s="35" t="s">
        <v>244</v>
      </c>
      <c r="K31" s="35" t="s">
        <v>244</v>
      </c>
      <c r="P31" s="99"/>
      <c r="Q31" s="99"/>
      <c r="R31" s="99"/>
    </row>
    <row r="32" spans="1:18" x14ac:dyDescent="0.25">
      <c r="A32" s="35">
        <v>375122</v>
      </c>
      <c r="B32" s="15" t="s">
        <v>753</v>
      </c>
      <c r="C32" s="174">
        <v>17859</v>
      </c>
      <c r="D32" s="174">
        <v>39834</v>
      </c>
      <c r="E32" s="36">
        <v>109200</v>
      </c>
      <c r="F32" s="36">
        <v>104000</v>
      </c>
      <c r="G32" s="36">
        <v>99000</v>
      </c>
      <c r="H32" s="174"/>
      <c r="I32" s="36"/>
      <c r="J32" s="35" t="s">
        <v>244</v>
      </c>
      <c r="K32" s="35" t="s">
        <v>244</v>
      </c>
      <c r="P32" s="99"/>
      <c r="Q32" s="99"/>
      <c r="R32" s="99"/>
    </row>
    <row r="33" spans="1:18" x14ac:dyDescent="0.25">
      <c r="A33" s="35">
        <v>406300</v>
      </c>
      <c r="B33" s="15" t="s">
        <v>757</v>
      </c>
      <c r="C33" s="174">
        <v>1</v>
      </c>
      <c r="D33" s="174">
        <v>40273</v>
      </c>
      <c r="E33" s="36">
        <v>108000</v>
      </c>
      <c r="F33" s="36">
        <v>102900</v>
      </c>
      <c r="G33" s="36">
        <v>98000</v>
      </c>
      <c r="H33" s="174"/>
      <c r="I33" s="36"/>
      <c r="J33" s="35" t="s">
        <v>244</v>
      </c>
      <c r="K33" s="35" t="s">
        <v>244</v>
      </c>
      <c r="P33" s="99"/>
      <c r="Q33" s="99"/>
      <c r="R33" s="99"/>
    </row>
    <row r="34" spans="1:18" x14ac:dyDescent="0.25">
      <c r="A34" s="35">
        <v>422365</v>
      </c>
      <c r="B34" s="15" t="s">
        <v>749</v>
      </c>
      <c r="C34" s="174">
        <v>21074</v>
      </c>
      <c r="D34" s="174">
        <v>40539</v>
      </c>
      <c r="E34" s="36">
        <v>106800</v>
      </c>
      <c r="F34" s="36">
        <v>101700</v>
      </c>
      <c r="G34" s="36">
        <v>96900</v>
      </c>
      <c r="H34" s="174"/>
      <c r="I34" s="36"/>
      <c r="J34" s="35" t="s">
        <v>244</v>
      </c>
      <c r="K34" s="35" t="s">
        <v>244</v>
      </c>
      <c r="P34" s="99"/>
      <c r="Q34" s="99"/>
      <c r="R34" s="99"/>
    </row>
    <row r="35" spans="1:18" x14ac:dyDescent="0.25">
      <c r="A35" s="35">
        <v>423109</v>
      </c>
      <c r="B35" s="15" t="s">
        <v>752</v>
      </c>
      <c r="C35" s="174">
        <v>16218</v>
      </c>
      <c r="D35" s="174">
        <v>40974</v>
      </c>
      <c r="E35" s="36">
        <v>105600</v>
      </c>
      <c r="F35" s="36">
        <v>100600</v>
      </c>
      <c r="G35" s="36">
        <v>48000</v>
      </c>
      <c r="H35" s="174"/>
      <c r="I35" s="36"/>
      <c r="J35" s="35" t="s">
        <v>244</v>
      </c>
      <c r="K35" s="35" t="s">
        <v>244</v>
      </c>
      <c r="P35" s="99"/>
      <c r="Q35" s="99"/>
      <c r="R35" s="99"/>
    </row>
    <row r="36" spans="1:18" x14ac:dyDescent="0.25">
      <c r="A36" s="35">
        <v>426223</v>
      </c>
      <c r="B36" s="15" t="s">
        <v>759</v>
      </c>
      <c r="C36" s="174">
        <v>26191</v>
      </c>
      <c r="D36" s="174">
        <v>27116</v>
      </c>
      <c r="E36" s="36">
        <v>104400</v>
      </c>
      <c r="F36" s="36">
        <v>99400</v>
      </c>
      <c r="G36" s="36">
        <v>94700</v>
      </c>
      <c r="H36" s="174"/>
      <c r="I36" s="36"/>
      <c r="J36" s="35" t="s">
        <v>244</v>
      </c>
      <c r="K36" s="35" t="s">
        <v>244</v>
      </c>
      <c r="P36" s="99"/>
      <c r="Q36" s="99"/>
      <c r="R36" s="99"/>
    </row>
    <row r="37" spans="1:18" x14ac:dyDescent="0.25">
      <c r="A37" s="35">
        <v>430276</v>
      </c>
      <c r="B37" s="15" t="s">
        <v>758</v>
      </c>
      <c r="C37" s="174">
        <v>29324</v>
      </c>
      <c r="D37" s="174">
        <v>31271</v>
      </c>
      <c r="E37" s="36">
        <v>103200</v>
      </c>
      <c r="F37" s="36">
        <v>98300</v>
      </c>
      <c r="G37" s="36">
        <v>93600</v>
      </c>
      <c r="H37" s="174"/>
      <c r="I37" s="36"/>
      <c r="J37" s="35" t="s">
        <v>244</v>
      </c>
      <c r="K37" s="35" t="s">
        <v>244</v>
      </c>
      <c r="P37" s="99"/>
      <c r="Q37" s="99"/>
      <c r="R37" s="99"/>
    </row>
    <row r="38" spans="1:18" x14ac:dyDescent="0.25">
      <c r="A38" s="35">
        <v>430534</v>
      </c>
      <c r="B38" s="15" t="s">
        <v>750</v>
      </c>
      <c r="C38" s="174">
        <v>16018</v>
      </c>
      <c r="D38" s="174">
        <v>1</v>
      </c>
      <c r="E38" s="36">
        <v>102000</v>
      </c>
      <c r="F38" s="36">
        <v>2400</v>
      </c>
      <c r="G38" s="36"/>
      <c r="H38" s="174"/>
      <c r="I38" s="36"/>
      <c r="J38" s="35" t="s">
        <v>244</v>
      </c>
      <c r="K38" s="35" t="s">
        <v>244</v>
      </c>
      <c r="P38" s="99"/>
      <c r="Q38" s="99"/>
      <c r="R38" s="99"/>
    </row>
    <row r="39" spans="1:18" x14ac:dyDescent="0.25">
      <c r="A39" s="35">
        <v>443913</v>
      </c>
      <c r="B39" s="15" t="s">
        <v>751</v>
      </c>
      <c r="C39" s="174">
        <v>16639</v>
      </c>
      <c r="D39" s="174">
        <v>32076</v>
      </c>
      <c r="E39" s="36">
        <v>100800</v>
      </c>
      <c r="F39" s="36">
        <v>96000</v>
      </c>
      <c r="G39" s="36">
        <v>91400</v>
      </c>
      <c r="H39" s="174"/>
      <c r="I39" s="36"/>
      <c r="J39" s="35" t="s">
        <v>244</v>
      </c>
      <c r="K39" s="35" t="s">
        <v>244</v>
      </c>
      <c r="P39" s="99"/>
      <c r="Q39" s="99"/>
      <c r="R39" s="99"/>
    </row>
    <row r="40" spans="1:18" x14ac:dyDescent="0.25">
      <c r="A40" s="35">
        <v>446641</v>
      </c>
      <c r="B40" s="15" t="s">
        <v>727</v>
      </c>
      <c r="C40" s="174">
        <v>23652</v>
      </c>
      <c r="D40" s="174">
        <v>35209</v>
      </c>
      <c r="E40" s="36">
        <v>360000</v>
      </c>
      <c r="F40" s="36">
        <v>331200</v>
      </c>
      <c r="G40" s="36">
        <v>302400</v>
      </c>
      <c r="H40" s="174"/>
      <c r="I40" s="36"/>
      <c r="J40" s="35" t="s">
        <v>244</v>
      </c>
      <c r="K40" s="35" t="s">
        <v>244</v>
      </c>
      <c r="P40" s="99"/>
      <c r="Q40" s="99"/>
      <c r="R40" s="99"/>
    </row>
    <row r="41" spans="1:18" x14ac:dyDescent="0.25">
      <c r="A41" s="35">
        <v>462488</v>
      </c>
      <c r="B41" s="15" t="s">
        <v>754</v>
      </c>
      <c r="C41" s="174">
        <v>22481</v>
      </c>
      <c r="D41" s="174">
        <v>38401</v>
      </c>
      <c r="E41" s="36">
        <v>142600</v>
      </c>
      <c r="F41" s="36">
        <v>135700</v>
      </c>
      <c r="G41" s="36">
        <v>129400</v>
      </c>
      <c r="H41" s="174"/>
      <c r="I41" s="36"/>
      <c r="J41" s="35" t="s">
        <v>244</v>
      </c>
      <c r="K41" s="35" t="s">
        <v>244</v>
      </c>
      <c r="P41" s="99"/>
      <c r="Q41" s="99"/>
      <c r="R41" s="99"/>
    </row>
    <row r="42" spans="1:18" x14ac:dyDescent="0.25">
      <c r="A42" s="35">
        <v>472297</v>
      </c>
      <c r="B42" s="15" t="s">
        <v>728</v>
      </c>
      <c r="C42" s="174">
        <v>33987</v>
      </c>
      <c r="D42" s="174">
        <v>38375</v>
      </c>
      <c r="E42" s="36">
        <v>141100</v>
      </c>
      <c r="F42" s="36">
        <v>134400</v>
      </c>
      <c r="G42" s="36">
        <v>128000</v>
      </c>
      <c r="H42" s="174"/>
      <c r="I42" s="36"/>
      <c r="J42" s="35" t="s">
        <v>244</v>
      </c>
      <c r="K42" s="35" t="s">
        <v>244</v>
      </c>
      <c r="P42" s="99"/>
      <c r="Q42" s="99"/>
      <c r="R42" s="99"/>
    </row>
    <row r="43" spans="1:18" x14ac:dyDescent="0.25">
      <c r="A43" s="35">
        <v>489909</v>
      </c>
      <c r="B43" s="15" t="s">
        <v>756</v>
      </c>
      <c r="C43" s="174">
        <v>24490</v>
      </c>
      <c r="D43" s="174">
        <v>1</v>
      </c>
      <c r="E43" s="36">
        <v>139700</v>
      </c>
      <c r="F43" s="36">
        <v>133100</v>
      </c>
      <c r="G43" s="36">
        <v>126700</v>
      </c>
      <c r="H43" s="174"/>
      <c r="I43" s="36"/>
      <c r="J43" s="35" t="s">
        <v>244</v>
      </c>
      <c r="K43" s="35" t="s">
        <v>244</v>
      </c>
      <c r="P43" s="99"/>
      <c r="Q43" s="99"/>
      <c r="R43" s="99"/>
    </row>
    <row r="44" spans="1:18" x14ac:dyDescent="0.25">
      <c r="A44" s="35">
        <v>489933</v>
      </c>
      <c r="B44" s="15" t="s">
        <v>755</v>
      </c>
      <c r="C44" s="174">
        <v>22158</v>
      </c>
      <c r="D44" s="174">
        <v>36329</v>
      </c>
      <c r="E44" s="36">
        <v>138200</v>
      </c>
      <c r="F44" s="36">
        <v>131600</v>
      </c>
      <c r="G44" s="36">
        <v>125400</v>
      </c>
      <c r="H44" s="174"/>
      <c r="I44" s="36"/>
      <c r="J44" s="35" t="s">
        <v>244</v>
      </c>
      <c r="K44" s="35" t="s">
        <v>244</v>
      </c>
      <c r="P44" s="99"/>
      <c r="Q44" s="99"/>
      <c r="R44" s="99"/>
    </row>
    <row r="45" spans="1:18" x14ac:dyDescent="0.25">
      <c r="A45" s="35">
        <v>537613</v>
      </c>
      <c r="B45" s="15" t="s">
        <v>729</v>
      </c>
      <c r="C45" s="174">
        <v>30229</v>
      </c>
      <c r="D45" s="174">
        <v>35267</v>
      </c>
      <c r="E45" s="36">
        <v>136800</v>
      </c>
      <c r="F45" s="36">
        <v>130300</v>
      </c>
      <c r="G45" s="36">
        <v>124100</v>
      </c>
      <c r="H45" s="174"/>
      <c r="I45" s="36"/>
      <c r="J45" s="35" t="s">
        <v>244</v>
      </c>
      <c r="K45" s="35" t="s">
        <v>244</v>
      </c>
      <c r="P45" s="99"/>
      <c r="Q45" s="99"/>
      <c r="R45" s="99"/>
    </row>
    <row r="46" spans="1:18" x14ac:dyDescent="0.25">
      <c r="A46" s="35">
        <v>538228</v>
      </c>
      <c r="B46" s="15" t="s">
        <v>718</v>
      </c>
      <c r="C46" s="174">
        <v>15818</v>
      </c>
      <c r="D46" s="174">
        <v>41629</v>
      </c>
      <c r="E46" s="36">
        <v>460800</v>
      </c>
      <c r="F46" s="36">
        <v>46100</v>
      </c>
      <c r="G46" s="36"/>
      <c r="H46" s="174"/>
      <c r="I46" s="36"/>
      <c r="J46" s="35" t="s">
        <v>244</v>
      </c>
      <c r="K46" s="35"/>
      <c r="P46" s="99"/>
      <c r="Q46" s="99"/>
      <c r="R46" s="99"/>
    </row>
    <row r="47" spans="1:18" x14ac:dyDescent="0.25">
      <c r="A47" s="35">
        <v>545776</v>
      </c>
      <c r="B47" s="15" t="s">
        <v>722</v>
      </c>
      <c r="C47" s="174">
        <v>24090</v>
      </c>
      <c r="D47" s="174">
        <v>35762</v>
      </c>
      <c r="E47" s="36">
        <v>133900</v>
      </c>
      <c r="F47" s="36">
        <v>127600</v>
      </c>
      <c r="G47" s="36">
        <v>121400</v>
      </c>
      <c r="H47" s="174"/>
      <c r="I47" s="36"/>
      <c r="J47" s="35" t="s">
        <v>244</v>
      </c>
      <c r="K47" s="35" t="s">
        <v>244</v>
      </c>
      <c r="P47" s="99"/>
      <c r="Q47" s="99"/>
      <c r="R47" s="99"/>
    </row>
    <row r="48" spans="1:18" x14ac:dyDescent="0.25">
      <c r="A48" s="35">
        <v>565414</v>
      </c>
      <c r="B48" s="15" t="s">
        <v>721</v>
      </c>
      <c r="C48" s="174">
        <v>21758</v>
      </c>
      <c r="D48" s="174">
        <v>41474</v>
      </c>
      <c r="E48" s="36">
        <v>132500</v>
      </c>
      <c r="F48" s="36">
        <v>57600</v>
      </c>
      <c r="G48" s="36"/>
      <c r="H48" s="174"/>
      <c r="I48" s="36"/>
      <c r="J48" s="35" t="s">
        <v>244</v>
      </c>
      <c r="K48" s="35"/>
      <c r="P48" s="99"/>
      <c r="Q48" s="99"/>
      <c r="R48" s="99"/>
    </row>
    <row r="49" spans="1:18" x14ac:dyDescent="0.25">
      <c r="A49" s="35">
        <v>570202</v>
      </c>
      <c r="B49" s="15" t="s">
        <v>717</v>
      </c>
      <c r="C49" s="174">
        <v>16239</v>
      </c>
      <c r="D49" s="174">
        <v>40073</v>
      </c>
      <c r="E49" s="36">
        <v>90000</v>
      </c>
      <c r="F49" s="36">
        <v>85700</v>
      </c>
      <c r="G49" s="36">
        <v>81600</v>
      </c>
      <c r="H49" s="174"/>
      <c r="I49" s="36"/>
      <c r="J49" s="35" t="s">
        <v>244</v>
      </c>
      <c r="K49" s="35" t="s">
        <v>244</v>
      </c>
      <c r="P49" s="99"/>
      <c r="Q49" s="99"/>
      <c r="R49" s="99"/>
    </row>
    <row r="50" spans="1:18" x14ac:dyDescent="0.25">
      <c r="A50" s="35">
        <v>578408</v>
      </c>
      <c r="B50" s="15" t="s">
        <v>719</v>
      </c>
      <c r="C50" s="174">
        <v>17459</v>
      </c>
      <c r="D50" s="174">
        <v>40339</v>
      </c>
      <c r="E50" s="36">
        <v>89000</v>
      </c>
      <c r="F50" s="36">
        <v>84800</v>
      </c>
      <c r="G50" s="36">
        <v>80700</v>
      </c>
      <c r="H50" s="174"/>
      <c r="I50" s="36"/>
      <c r="J50" s="35" t="s">
        <v>244</v>
      </c>
      <c r="K50" s="35" t="s">
        <v>244</v>
      </c>
      <c r="P50" s="99"/>
      <c r="Q50" s="99"/>
      <c r="R50" s="99"/>
    </row>
    <row r="51" spans="1:18" x14ac:dyDescent="0.25">
      <c r="A51" s="35">
        <v>579268</v>
      </c>
      <c r="B51" s="15" t="s">
        <v>720</v>
      </c>
      <c r="C51" s="174">
        <v>22081</v>
      </c>
      <c r="D51" s="174">
        <v>40774</v>
      </c>
      <c r="E51" s="36">
        <v>88000</v>
      </c>
      <c r="F51" s="36">
        <v>83800</v>
      </c>
      <c r="G51" s="36">
        <v>40000</v>
      </c>
      <c r="H51" s="174"/>
      <c r="I51" s="36"/>
      <c r="J51" s="35" t="s">
        <v>244</v>
      </c>
      <c r="K51" s="35" t="s">
        <v>244</v>
      </c>
      <c r="P51" s="99"/>
      <c r="Q51" s="99"/>
      <c r="R51" s="99"/>
    </row>
    <row r="52" spans="1:18" x14ac:dyDescent="0.25">
      <c r="A52" s="35">
        <v>123486</v>
      </c>
      <c r="B52" s="15" t="s">
        <v>943</v>
      </c>
      <c r="C52" s="174">
        <v>19725</v>
      </c>
      <c r="D52" s="174"/>
      <c r="E52" s="36"/>
      <c r="F52" s="36"/>
      <c r="G52" s="36"/>
      <c r="H52" s="174">
        <v>43466</v>
      </c>
      <c r="I52" s="36">
        <v>8990</v>
      </c>
      <c r="J52" s="35" t="s">
        <v>250</v>
      </c>
      <c r="K52" s="35" t="s">
        <v>250</v>
      </c>
    </row>
    <row r="53" spans="1:18" x14ac:dyDescent="0.25">
      <c r="A53" s="35">
        <v>123485</v>
      </c>
      <c r="B53" s="15" t="s">
        <v>944</v>
      </c>
      <c r="C53" s="174">
        <v>16254</v>
      </c>
      <c r="D53" s="174"/>
      <c r="E53" s="36"/>
      <c r="F53" s="36"/>
      <c r="G53" s="36"/>
      <c r="H53" s="174">
        <v>39995</v>
      </c>
      <c r="I53" s="36">
        <v>18047</v>
      </c>
      <c r="J53" s="35" t="s">
        <v>44</v>
      </c>
      <c r="K53" s="35" t="s">
        <v>44</v>
      </c>
    </row>
    <row r="54" spans="1:18" x14ac:dyDescent="0.25">
      <c r="A54" s="35">
        <v>123484</v>
      </c>
      <c r="B54" s="15" t="s">
        <v>945</v>
      </c>
      <c r="C54" s="174">
        <v>18203</v>
      </c>
      <c r="D54" s="174"/>
      <c r="E54" s="36"/>
      <c r="F54" s="36"/>
      <c r="G54" s="36"/>
      <c r="H54" s="174">
        <v>41944</v>
      </c>
      <c r="I54" s="36">
        <v>9625</v>
      </c>
      <c r="J54" s="35" t="s">
        <v>44</v>
      </c>
      <c r="K54" s="35" t="s">
        <v>244</v>
      </c>
    </row>
    <row r="55" spans="1:18" x14ac:dyDescent="0.25">
      <c r="A55" s="35">
        <v>123472</v>
      </c>
      <c r="B55" s="15" t="s">
        <v>946</v>
      </c>
      <c r="C55" s="174">
        <v>19725</v>
      </c>
      <c r="D55" s="174"/>
      <c r="E55" s="36"/>
      <c r="F55" s="36"/>
      <c r="G55" s="36"/>
      <c r="H55" s="174">
        <v>43466</v>
      </c>
      <c r="I55" s="36">
        <v>5840</v>
      </c>
      <c r="J55" s="35" t="s">
        <v>250</v>
      </c>
      <c r="K55" s="35" t="s">
        <v>244</v>
      </c>
    </row>
    <row r="56" spans="1:18" x14ac:dyDescent="0.25">
      <c r="A56" s="35">
        <v>123466</v>
      </c>
      <c r="B56" s="15" t="s">
        <v>947</v>
      </c>
      <c r="C56" s="174">
        <v>22098</v>
      </c>
      <c r="D56" s="174"/>
      <c r="E56" s="36"/>
      <c r="F56" s="36"/>
      <c r="G56" s="36"/>
      <c r="H56" s="174">
        <v>45839</v>
      </c>
      <c r="I56" s="36">
        <v>15804</v>
      </c>
      <c r="J56" s="35" t="s">
        <v>250</v>
      </c>
      <c r="K56" s="35" t="s">
        <v>250</v>
      </c>
    </row>
    <row r="57" spans="1:18" x14ac:dyDescent="0.25">
      <c r="A57" s="35">
        <v>123465</v>
      </c>
      <c r="B57" s="15" t="s">
        <v>948</v>
      </c>
      <c r="C57" s="174">
        <v>16803</v>
      </c>
      <c r="D57" s="174"/>
      <c r="E57" s="36"/>
      <c r="F57" s="36"/>
      <c r="G57" s="36"/>
      <c r="H57" s="174">
        <v>40544</v>
      </c>
      <c r="I57" s="36">
        <v>10349</v>
      </c>
      <c r="J57" s="35" t="s">
        <v>44</v>
      </c>
      <c r="K57" s="35" t="s">
        <v>44</v>
      </c>
    </row>
    <row r="58" spans="1:18" x14ac:dyDescent="0.25">
      <c r="A58" s="35">
        <v>123451</v>
      </c>
      <c r="B58" s="15" t="s">
        <v>949</v>
      </c>
      <c r="C58" s="174">
        <v>13789</v>
      </c>
      <c r="D58" s="174"/>
      <c r="E58" s="36"/>
      <c r="F58" s="36"/>
      <c r="G58" s="36"/>
      <c r="H58" s="174">
        <v>37530</v>
      </c>
      <c r="I58" s="36">
        <v>7800</v>
      </c>
      <c r="J58" s="35" t="s">
        <v>44</v>
      </c>
      <c r="K58" s="35" t="s">
        <v>44</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63A96-12E3-42B8-B6DC-DD05B6FED188}">
  <dimension ref="A1:G69"/>
  <sheetViews>
    <sheetView workbookViewId="0">
      <pane ySplit="1" topLeftCell="A2" activePane="bottomLeft" state="frozen"/>
      <selection pane="bottomLeft" activeCell="H4" sqref="H4"/>
    </sheetView>
  </sheetViews>
  <sheetFormatPr defaultColWidth="9.1796875" defaultRowHeight="14.5" x14ac:dyDescent="0.35"/>
  <cols>
    <col min="1" max="1" width="9.7265625" style="9" customWidth="1"/>
    <col min="2" max="2" width="10.1796875" style="9" bestFit="1" customWidth="1"/>
    <col min="3" max="3" width="10.1796875" style="9" customWidth="1"/>
    <col min="4" max="4" width="13.81640625" style="9" bestFit="1" customWidth="1"/>
    <col min="5" max="6" width="11.81640625" style="173" customWidth="1"/>
    <col min="7" max="7" width="6.54296875" style="173" bestFit="1" customWidth="1"/>
    <col min="8" max="16384" width="9.1796875" style="173"/>
  </cols>
  <sheetData>
    <row r="1" spans="1:7" ht="26.5" x14ac:dyDescent="0.35">
      <c r="A1" s="170" t="s">
        <v>803</v>
      </c>
      <c r="B1" s="171" t="s">
        <v>202</v>
      </c>
      <c r="C1" s="171" t="s">
        <v>203</v>
      </c>
      <c r="D1" s="172" t="s">
        <v>804</v>
      </c>
      <c r="E1" s="171" t="s">
        <v>941</v>
      </c>
      <c r="F1" s="171" t="s">
        <v>942</v>
      </c>
      <c r="G1" s="171" t="s">
        <v>32</v>
      </c>
    </row>
    <row r="2" spans="1:7" x14ac:dyDescent="0.35">
      <c r="A2" s="35">
        <v>123491</v>
      </c>
      <c r="B2" s="174">
        <v>24017</v>
      </c>
      <c r="C2" s="174">
        <v>34809</v>
      </c>
      <c r="D2" s="36">
        <v>250000</v>
      </c>
      <c r="E2" s="174"/>
      <c r="F2" s="36"/>
      <c r="G2" s="175" t="s">
        <v>244</v>
      </c>
    </row>
    <row r="3" spans="1:7" x14ac:dyDescent="0.35">
      <c r="A3" s="35">
        <v>144983</v>
      </c>
      <c r="B3" s="174">
        <v>27601</v>
      </c>
      <c r="C3" s="174">
        <v>38001</v>
      </c>
      <c r="D3" s="36">
        <v>99000</v>
      </c>
      <c r="E3" s="174"/>
      <c r="F3" s="36"/>
      <c r="G3" s="175" t="s">
        <v>244</v>
      </c>
    </row>
    <row r="4" spans="1:7" x14ac:dyDescent="0.35">
      <c r="A4" s="35">
        <v>187427</v>
      </c>
      <c r="B4" s="174">
        <v>21170</v>
      </c>
      <c r="C4" s="174">
        <v>37975</v>
      </c>
      <c r="D4" s="36">
        <v>98000</v>
      </c>
      <c r="E4" s="174"/>
      <c r="F4" s="36"/>
      <c r="G4" s="175" t="s">
        <v>244</v>
      </c>
    </row>
    <row r="5" spans="1:7" x14ac:dyDescent="0.35">
      <c r="A5" s="35">
        <v>189508</v>
      </c>
      <c r="B5" s="174">
        <v>30229</v>
      </c>
      <c r="C5" s="174">
        <v>35020</v>
      </c>
      <c r="D5" s="36">
        <v>97000</v>
      </c>
      <c r="E5" s="174"/>
      <c r="F5" s="36"/>
      <c r="G5" s="175" t="s">
        <v>244</v>
      </c>
    </row>
    <row r="6" spans="1:7" x14ac:dyDescent="0.35">
      <c r="A6" s="35">
        <v>199741</v>
      </c>
      <c r="B6" s="174">
        <v>16439</v>
      </c>
      <c r="C6" s="174">
        <v>35929</v>
      </c>
      <c r="D6" s="36">
        <v>96000</v>
      </c>
      <c r="E6" s="174"/>
      <c r="F6" s="36"/>
      <c r="G6" s="175" t="s">
        <v>244</v>
      </c>
    </row>
    <row r="7" spans="1:7" x14ac:dyDescent="0.35">
      <c r="A7" s="35">
        <v>205217</v>
      </c>
      <c r="B7" s="174">
        <v>17620</v>
      </c>
      <c r="C7" s="174">
        <v>34867</v>
      </c>
      <c r="D7" s="36">
        <v>95000</v>
      </c>
      <c r="E7" s="174"/>
      <c r="F7" s="36"/>
      <c r="G7" s="175" t="s">
        <v>244</v>
      </c>
    </row>
    <row r="8" spans="1:7" x14ac:dyDescent="0.35">
      <c r="A8" s="35">
        <v>206418</v>
      </c>
      <c r="B8" s="174">
        <v>20874</v>
      </c>
      <c r="C8" s="174">
        <v>40497</v>
      </c>
      <c r="D8" s="36">
        <v>320000</v>
      </c>
      <c r="E8" s="174"/>
      <c r="F8" s="36"/>
      <c r="G8" s="175" t="s">
        <v>244</v>
      </c>
    </row>
    <row r="9" spans="1:7" x14ac:dyDescent="0.35">
      <c r="A9" s="35">
        <v>218201</v>
      </c>
      <c r="B9" s="174">
        <v>15818</v>
      </c>
      <c r="C9" s="174">
        <v>35362</v>
      </c>
      <c r="D9" s="36">
        <v>93000</v>
      </c>
      <c r="E9" s="174"/>
      <c r="F9" s="36"/>
      <c r="G9" s="175" t="s">
        <v>244</v>
      </c>
    </row>
    <row r="10" spans="1:7" x14ac:dyDescent="0.35">
      <c r="A10" s="35">
        <v>225139</v>
      </c>
      <c r="B10" s="174">
        <v>33987</v>
      </c>
      <c r="C10" s="174">
        <v>41074</v>
      </c>
      <c r="D10" s="36">
        <v>92000</v>
      </c>
      <c r="E10" s="174"/>
      <c r="F10" s="36"/>
      <c r="G10" s="175" t="s">
        <v>244</v>
      </c>
    </row>
    <row r="11" spans="1:7" x14ac:dyDescent="0.35">
      <c r="A11" s="35">
        <v>232072</v>
      </c>
      <c r="B11" s="174">
        <v>24290</v>
      </c>
      <c r="C11" s="174">
        <v>39634</v>
      </c>
      <c r="D11" s="36">
        <v>91000</v>
      </c>
      <c r="E11" s="174"/>
      <c r="F11" s="36"/>
      <c r="G11" s="175" t="s">
        <v>244</v>
      </c>
    </row>
    <row r="12" spans="1:7" x14ac:dyDescent="0.35">
      <c r="A12" s="35">
        <v>250067</v>
      </c>
      <c r="B12" s="174" t="s">
        <v>762</v>
      </c>
      <c r="C12" s="174">
        <v>40073</v>
      </c>
      <c r="D12" s="36">
        <v>90000</v>
      </c>
      <c r="E12" s="174"/>
      <c r="F12" s="36"/>
      <c r="G12" s="175" t="s">
        <v>244</v>
      </c>
    </row>
    <row r="13" spans="1:7" x14ac:dyDescent="0.35">
      <c r="A13" s="35">
        <v>253862</v>
      </c>
      <c r="B13" s="174">
        <v>23332</v>
      </c>
      <c r="C13" s="174">
        <v>40339</v>
      </c>
      <c r="D13" s="36">
        <v>89000</v>
      </c>
      <c r="E13" s="174"/>
      <c r="F13" s="36"/>
      <c r="G13" s="175" t="s">
        <v>244</v>
      </c>
    </row>
    <row r="14" spans="1:7" x14ac:dyDescent="0.35">
      <c r="A14" s="35">
        <v>255179</v>
      </c>
      <c r="B14" s="174">
        <v>22281</v>
      </c>
      <c r="C14" s="174">
        <v>40774</v>
      </c>
      <c r="D14" s="36">
        <v>88000</v>
      </c>
      <c r="E14" s="174"/>
      <c r="F14" s="36"/>
      <c r="G14" s="175" t="s">
        <v>244</v>
      </c>
    </row>
    <row r="15" spans="1:7" x14ac:dyDescent="0.35">
      <c r="A15" s="35">
        <v>258130</v>
      </c>
      <c r="B15" s="174">
        <v>29124</v>
      </c>
      <c r="C15" s="174">
        <v>29006</v>
      </c>
      <c r="D15" s="36">
        <v>87000</v>
      </c>
      <c r="E15" s="174"/>
      <c r="F15" s="36"/>
      <c r="G15" s="175" t="s">
        <v>244</v>
      </c>
    </row>
    <row r="16" spans="1:7" x14ac:dyDescent="0.35">
      <c r="A16" s="35">
        <v>286491</v>
      </c>
      <c r="B16" s="174">
        <v>16018</v>
      </c>
      <c r="C16" s="174">
        <v>31071</v>
      </c>
      <c r="D16" s="36">
        <v>86000</v>
      </c>
      <c r="E16" s="174"/>
      <c r="F16" s="36"/>
      <c r="G16" s="175" t="s">
        <v>244</v>
      </c>
    </row>
    <row r="17" spans="1:7" x14ac:dyDescent="0.35">
      <c r="A17" s="35">
        <v>290999</v>
      </c>
      <c r="B17" s="174">
        <v>25991</v>
      </c>
      <c r="C17" s="174">
        <v>41600</v>
      </c>
      <c r="D17" s="36">
        <v>85000</v>
      </c>
      <c r="E17" s="174"/>
      <c r="F17" s="36"/>
      <c r="G17" s="175" t="s">
        <v>244</v>
      </c>
    </row>
    <row r="18" spans="1:7" x14ac:dyDescent="0.35">
      <c r="A18" s="35">
        <v>300843</v>
      </c>
      <c r="B18" s="174">
        <v>17659</v>
      </c>
      <c r="C18" s="174">
        <v>31876</v>
      </c>
      <c r="D18" s="36">
        <v>84000</v>
      </c>
      <c r="E18" s="174"/>
      <c r="F18" s="36"/>
      <c r="G18" s="175" t="s">
        <v>244</v>
      </c>
    </row>
    <row r="19" spans="1:7" x14ac:dyDescent="0.35">
      <c r="A19" s="35">
        <v>302798</v>
      </c>
      <c r="B19" s="174">
        <v>28924</v>
      </c>
      <c r="C19" s="174">
        <v>35009</v>
      </c>
      <c r="D19" s="36">
        <v>86000</v>
      </c>
      <c r="E19" s="174"/>
      <c r="F19" s="36"/>
      <c r="G19" s="175" t="s">
        <v>244</v>
      </c>
    </row>
    <row r="20" spans="1:7" x14ac:dyDescent="0.35">
      <c r="A20" s="35">
        <v>310267</v>
      </c>
      <c r="B20" s="174">
        <v>23532</v>
      </c>
      <c r="C20" s="174">
        <v>38201</v>
      </c>
      <c r="D20" s="36">
        <v>86000</v>
      </c>
      <c r="E20" s="174"/>
      <c r="F20" s="36"/>
      <c r="G20" s="175" t="s">
        <v>244</v>
      </c>
    </row>
    <row r="21" spans="1:7" x14ac:dyDescent="0.35">
      <c r="A21" s="35">
        <v>313615</v>
      </c>
      <c r="B21" s="174">
        <v>34187</v>
      </c>
      <c r="C21" s="174">
        <v>38175</v>
      </c>
      <c r="D21" s="36">
        <v>87000</v>
      </c>
      <c r="E21" s="174"/>
      <c r="F21" s="36"/>
      <c r="G21" s="175" t="s">
        <v>244</v>
      </c>
    </row>
    <row r="22" spans="1:7" x14ac:dyDescent="0.35">
      <c r="A22" s="35">
        <v>320387</v>
      </c>
      <c r="B22" s="174">
        <v>25791</v>
      </c>
      <c r="C22" s="174">
        <v>35220</v>
      </c>
      <c r="D22" s="36">
        <v>76000</v>
      </c>
      <c r="E22" s="174"/>
      <c r="F22" s="36"/>
      <c r="G22" s="175" t="s">
        <v>244</v>
      </c>
    </row>
    <row r="23" spans="1:7" x14ac:dyDescent="0.35">
      <c r="A23" s="35">
        <v>340436</v>
      </c>
      <c r="B23" s="174">
        <v>27801</v>
      </c>
      <c r="C23" s="174">
        <v>36129</v>
      </c>
      <c r="D23" s="36">
        <v>75000</v>
      </c>
      <c r="E23" s="174"/>
      <c r="F23" s="36"/>
      <c r="G23" s="175" t="s">
        <v>244</v>
      </c>
    </row>
    <row r="24" spans="1:7" x14ac:dyDescent="0.35">
      <c r="A24" s="35">
        <v>345767</v>
      </c>
      <c r="B24" s="174">
        <v>24217</v>
      </c>
      <c r="C24" s="174">
        <v>35067</v>
      </c>
      <c r="D24" s="36">
        <v>86000</v>
      </c>
      <c r="E24" s="174"/>
      <c r="F24" s="36"/>
      <c r="G24" s="175" t="s">
        <v>244</v>
      </c>
    </row>
    <row r="25" spans="1:7" x14ac:dyDescent="0.35">
      <c r="A25" s="35">
        <v>352244</v>
      </c>
      <c r="B25" s="174">
        <v>21370</v>
      </c>
      <c r="C25" s="174">
        <v>45081</v>
      </c>
      <c r="D25" s="36">
        <v>96000</v>
      </c>
      <c r="E25" s="174"/>
      <c r="F25" s="36"/>
      <c r="G25" s="175" t="s">
        <v>244</v>
      </c>
    </row>
    <row r="26" spans="1:7" x14ac:dyDescent="0.35">
      <c r="A26" s="35">
        <v>357982</v>
      </c>
      <c r="B26" s="174">
        <v>17820</v>
      </c>
      <c r="C26" s="174">
        <v>35562</v>
      </c>
      <c r="D26" s="36">
        <v>94000</v>
      </c>
      <c r="E26" s="174"/>
      <c r="F26" s="36"/>
      <c r="G26" s="175" t="s">
        <v>244</v>
      </c>
    </row>
    <row r="27" spans="1:7" x14ac:dyDescent="0.35">
      <c r="A27" s="35">
        <v>369257</v>
      </c>
      <c r="B27" s="174">
        <v>3651</v>
      </c>
      <c r="C27" s="174">
        <v>41274</v>
      </c>
      <c r="D27" s="36">
        <v>86000</v>
      </c>
      <c r="E27" s="174"/>
      <c r="F27" s="36"/>
      <c r="G27" s="175" t="s">
        <v>244</v>
      </c>
    </row>
    <row r="28" spans="1:7" x14ac:dyDescent="0.35">
      <c r="A28" s="35">
        <v>375122</v>
      </c>
      <c r="B28" s="174">
        <v>17859</v>
      </c>
      <c r="C28" s="174">
        <v>39834</v>
      </c>
      <c r="D28" s="36">
        <v>23000</v>
      </c>
      <c r="E28" s="174"/>
      <c r="F28" s="36"/>
      <c r="G28" s="175" t="s">
        <v>244</v>
      </c>
    </row>
    <row r="29" spans="1:7" x14ac:dyDescent="0.35">
      <c r="A29" s="35">
        <v>406300</v>
      </c>
      <c r="B29" s="174">
        <v>1</v>
      </c>
      <c r="C29" s="174">
        <v>40273</v>
      </c>
      <c r="D29" s="36">
        <v>54000</v>
      </c>
      <c r="E29" s="174"/>
      <c r="F29" s="36"/>
      <c r="G29" s="175" t="s">
        <v>244</v>
      </c>
    </row>
    <row r="30" spans="1:7" x14ac:dyDescent="0.35">
      <c r="A30" s="35">
        <v>422365</v>
      </c>
      <c r="B30" s="174">
        <v>21074</v>
      </c>
      <c r="C30" s="174">
        <v>40539</v>
      </c>
      <c r="D30" s="36">
        <v>86000</v>
      </c>
      <c r="E30" s="174"/>
      <c r="F30" s="36"/>
      <c r="G30" s="175" t="s">
        <v>244</v>
      </c>
    </row>
    <row r="31" spans="1:7" x14ac:dyDescent="0.35">
      <c r="A31" s="35">
        <v>423109</v>
      </c>
      <c r="B31" s="174">
        <v>16218</v>
      </c>
      <c r="C31" s="174">
        <v>40974</v>
      </c>
      <c r="D31" s="36">
        <v>79000</v>
      </c>
      <c r="E31" s="174"/>
      <c r="F31" s="36"/>
      <c r="G31" s="175" t="s">
        <v>244</v>
      </c>
    </row>
    <row r="32" spans="1:7" x14ac:dyDescent="0.35">
      <c r="A32" s="35">
        <v>426223</v>
      </c>
      <c r="B32" s="174">
        <v>26191</v>
      </c>
      <c r="C32" s="174">
        <v>27116</v>
      </c>
      <c r="D32" s="36">
        <v>83000</v>
      </c>
      <c r="E32" s="174"/>
      <c r="F32" s="36"/>
      <c r="G32" s="175" t="s">
        <v>244</v>
      </c>
    </row>
    <row r="33" spans="1:7" x14ac:dyDescent="0.35">
      <c r="A33" s="35">
        <v>430276</v>
      </c>
      <c r="B33" s="174">
        <v>29324</v>
      </c>
      <c r="C33" s="174">
        <v>31271</v>
      </c>
      <c r="D33" s="36">
        <v>100000</v>
      </c>
      <c r="E33" s="174"/>
      <c r="F33" s="36"/>
      <c r="G33" s="175" t="s">
        <v>244</v>
      </c>
    </row>
    <row r="34" spans="1:7" x14ac:dyDescent="0.35">
      <c r="A34" s="35">
        <v>430534</v>
      </c>
      <c r="B34" s="174">
        <v>16018</v>
      </c>
      <c r="C34" s="174">
        <v>1</v>
      </c>
      <c r="D34" s="36">
        <v>110000</v>
      </c>
      <c r="E34" s="174"/>
      <c r="F34" s="36"/>
      <c r="G34" s="175" t="s">
        <v>244</v>
      </c>
    </row>
    <row r="35" spans="1:7" x14ac:dyDescent="0.35">
      <c r="A35" s="35">
        <v>443913</v>
      </c>
      <c r="B35" s="174">
        <v>16639</v>
      </c>
      <c r="C35" s="174">
        <v>32076</v>
      </c>
      <c r="D35" s="36">
        <v>200000</v>
      </c>
      <c r="E35" s="174"/>
      <c r="F35" s="36"/>
      <c r="G35" s="175" t="s">
        <v>244</v>
      </c>
    </row>
    <row r="36" spans="1:7" x14ac:dyDescent="0.35">
      <c r="A36" s="35">
        <v>446641</v>
      </c>
      <c r="B36" s="174">
        <v>24017</v>
      </c>
      <c r="C36" s="174">
        <v>35209</v>
      </c>
      <c r="D36" s="36">
        <v>86000</v>
      </c>
      <c r="E36" s="174"/>
      <c r="F36" s="36"/>
      <c r="G36" s="175" t="s">
        <v>244</v>
      </c>
    </row>
    <row r="37" spans="1:7" x14ac:dyDescent="0.35">
      <c r="A37" s="35">
        <v>462488</v>
      </c>
      <c r="B37" s="174">
        <v>22481</v>
      </c>
      <c r="C37" s="174">
        <v>38401</v>
      </c>
      <c r="D37" s="36">
        <v>86000</v>
      </c>
      <c r="E37" s="174"/>
      <c r="F37" s="36"/>
      <c r="G37" s="175" t="s">
        <v>244</v>
      </c>
    </row>
    <row r="38" spans="1:7" x14ac:dyDescent="0.35">
      <c r="A38" s="35">
        <v>472297</v>
      </c>
      <c r="B38" s="174">
        <v>33987</v>
      </c>
      <c r="C38" s="174">
        <v>38375</v>
      </c>
      <c r="D38" s="36">
        <v>86000</v>
      </c>
      <c r="E38" s="174"/>
      <c r="F38" s="36"/>
      <c r="G38" s="175" t="s">
        <v>244</v>
      </c>
    </row>
    <row r="39" spans="1:7" x14ac:dyDescent="0.35">
      <c r="A39" s="35">
        <v>489909</v>
      </c>
      <c r="B39" s="174">
        <v>24490</v>
      </c>
      <c r="C39" s="174">
        <v>1</v>
      </c>
      <c r="D39" s="36">
        <v>86000</v>
      </c>
      <c r="E39" s="174"/>
      <c r="F39" s="36"/>
      <c r="G39" s="175" t="s">
        <v>244</v>
      </c>
    </row>
    <row r="40" spans="1:7" x14ac:dyDescent="0.35">
      <c r="A40" s="35">
        <v>489933</v>
      </c>
      <c r="B40" s="174">
        <v>22158</v>
      </c>
      <c r="C40" s="174">
        <v>36329</v>
      </c>
      <c r="D40" s="36">
        <v>86000</v>
      </c>
      <c r="E40" s="174"/>
      <c r="F40" s="36"/>
      <c r="G40" s="175" t="s">
        <v>244</v>
      </c>
    </row>
    <row r="41" spans="1:7" x14ac:dyDescent="0.35">
      <c r="A41" s="35">
        <v>537613</v>
      </c>
      <c r="B41" s="174">
        <v>30229</v>
      </c>
      <c r="C41" s="174">
        <v>35267</v>
      </c>
      <c r="D41" s="36">
        <v>86000</v>
      </c>
      <c r="E41" s="174"/>
      <c r="F41" s="36"/>
      <c r="G41" s="175" t="s">
        <v>244</v>
      </c>
    </row>
    <row r="42" spans="1:7" x14ac:dyDescent="0.35">
      <c r="A42" s="35">
        <v>538228</v>
      </c>
      <c r="B42" s="174">
        <v>15818</v>
      </c>
      <c r="C42" s="174">
        <v>45281</v>
      </c>
      <c r="D42" s="36">
        <v>86000</v>
      </c>
      <c r="E42" s="174"/>
      <c r="F42" s="36"/>
      <c r="G42" s="175" t="s">
        <v>244</v>
      </c>
    </row>
    <row r="43" spans="1:7" x14ac:dyDescent="0.35">
      <c r="A43" s="35">
        <v>545776</v>
      </c>
      <c r="B43" s="174">
        <v>24090</v>
      </c>
      <c r="C43" s="174">
        <v>35762</v>
      </c>
      <c r="D43" s="36">
        <v>86000</v>
      </c>
      <c r="E43" s="174"/>
      <c r="F43" s="36"/>
      <c r="G43" s="175" t="s">
        <v>244</v>
      </c>
    </row>
    <row r="44" spans="1:7" x14ac:dyDescent="0.35">
      <c r="A44" s="35">
        <v>123486</v>
      </c>
      <c r="B44" s="174">
        <v>19725</v>
      </c>
      <c r="C44" s="174">
        <v>41474</v>
      </c>
      <c r="D44" s="36"/>
      <c r="E44" s="174">
        <v>43466</v>
      </c>
      <c r="F44" s="36">
        <v>8990</v>
      </c>
      <c r="G44" s="175" t="s">
        <v>250</v>
      </c>
    </row>
    <row r="45" spans="1:7" x14ac:dyDescent="0.35">
      <c r="A45" s="35">
        <v>123485</v>
      </c>
      <c r="B45" s="174">
        <v>16254</v>
      </c>
      <c r="C45" s="174">
        <v>40073</v>
      </c>
      <c r="D45" s="36"/>
      <c r="E45" s="174">
        <v>39995</v>
      </c>
      <c r="F45" s="36">
        <v>18047</v>
      </c>
      <c r="G45" s="175" t="s">
        <v>44</v>
      </c>
    </row>
    <row r="46" spans="1:7" x14ac:dyDescent="0.35">
      <c r="A46" s="35">
        <v>123484</v>
      </c>
      <c r="B46" s="174">
        <v>18203</v>
      </c>
      <c r="C46" s="174">
        <v>40339</v>
      </c>
      <c r="D46" s="36"/>
      <c r="E46" s="174">
        <v>41944</v>
      </c>
      <c r="F46" s="36">
        <v>9625</v>
      </c>
      <c r="G46" s="175" t="s">
        <v>44</v>
      </c>
    </row>
    <row r="47" spans="1:7" x14ac:dyDescent="0.35">
      <c r="A47" s="35">
        <v>123472</v>
      </c>
      <c r="B47" s="174">
        <v>19725</v>
      </c>
      <c r="C47" s="174">
        <v>40774</v>
      </c>
      <c r="D47" s="36"/>
      <c r="E47" s="174">
        <v>43466</v>
      </c>
      <c r="F47" s="36">
        <v>5840</v>
      </c>
      <c r="G47" s="175" t="s">
        <v>250</v>
      </c>
    </row>
    <row r="48" spans="1:7" x14ac:dyDescent="0.35">
      <c r="A48" s="35">
        <v>123466</v>
      </c>
      <c r="B48" s="174">
        <v>22098</v>
      </c>
      <c r="C48" s="174"/>
      <c r="D48" s="36"/>
      <c r="E48" s="174">
        <v>45839</v>
      </c>
      <c r="F48" s="36">
        <v>15804</v>
      </c>
      <c r="G48" s="175" t="s">
        <v>250</v>
      </c>
    </row>
    <row r="49" spans="1:7" x14ac:dyDescent="0.35">
      <c r="A49" s="35">
        <v>123465</v>
      </c>
      <c r="B49" s="174">
        <v>16803</v>
      </c>
      <c r="C49" s="174"/>
      <c r="D49" s="36"/>
      <c r="E49" s="174">
        <v>40544</v>
      </c>
      <c r="F49" s="36">
        <v>10349</v>
      </c>
      <c r="G49" s="175" t="s">
        <v>44</v>
      </c>
    </row>
    <row r="50" spans="1:7" x14ac:dyDescent="0.35">
      <c r="A50" s="35">
        <v>579277</v>
      </c>
      <c r="B50" s="174">
        <v>22084</v>
      </c>
      <c r="C50" s="174"/>
      <c r="D50" s="36">
        <v>85000</v>
      </c>
      <c r="E50" s="174"/>
      <c r="F50" s="36"/>
      <c r="G50" s="175" t="s">
        <v>244</v>
      </c>
    </row>
    <row r="51" spans="1:7" x14ac:dyDescent="0.35">
      <c r="A51" s="35">
        <v>565414</v>
      </c>
      <c r="B51" s="174">
        <v>21758</v>
      </c>
      <c r="C51" s="174"/>
      <c r="D51" s="36">
        <v>110000</v>
      </c>
      <c r="E51" s="174"/>
      <c r="F51" s="36"/>
      <c r="G51" s="175" t="s">
        <v>244</v>
      </c>
    </row>
    <row r="52" spans="1:7" x14ac:dyDescent="0.35">
      <c r="A52" s="35">
        <v>570202</v>
      </c>
      <c r="B52" s="174">
        <v>16239</v>
      </c>
      <c r="C52" s="174"/>
      <c r="D52" s="36"/>
      <c r="E52" s="174"/>
      <c r="F52" s="36"/>
      <c r="G52" s="175"/>
    </row>
    <row r="53" spans="1:7" x14ac:dyDescent="0.35">
      <c r="A53" s="35">
        <v>578408</v>
      </c>
      <c r="B53" s="174">
        <v>17459</v>
      </c>
      <c r="C53" s="174"/>
      <c r="D53" s="36"/>
      <c r="E53" s="174"/>
      <c r="F53" s="36"/>
      <c r="G53" s="175"/>
    </row>
    <row r="54" spans="1:7" x14ac:dyDescent="0.35">
      <c r="A54" s="35">
        <v>579268</v>
      </c>
      <c r="B54" s="174">
        <v>22081</v>
      </c>
      <c r="C54" s="174"/>
      <c r="D54" s="36">
        <v>83000</v>
      </c>
      <c r="E54" s="174"/>
      <c r="F54" s="36"/>
      <c r="G54" s="175" t="s">
        <v>244</v>
      </c>
    </row>
    <row r="55" spans="1:7" x14ac:dyDescent="0.35">
      <c r="A55" s="35">
        <v>579271</v>
      </c>
      <c r="B55" s="174">
        <v>22069</v>
      </c>
      <c r="C55" s="174"/>
      <c r="D55" s="36"/>
      <c r="E55" s="174"/>
      <c r="F55" s="36"/>
      <c r="G55" s="175"/>
    </row>
    <row r="56" spans="1:7" x14ac:dyDescent="0.35">
      <c r="A56" s="35">
        <v>579274</v>
      </c>
      <c r="B56" s="174">
        <v>20256</v>
      </c>
      <c r="C56" s="174"/>
      <c r="D56" s="36">
        <v>200000</v>
      </c>
      <c r="E56" s="174"/>
      <c r="F56" s="36"/>
      <c r="G56" s="175" t="s">
        <v>244</v>
      </c>
    </row>
    <row r="57" spans="1:7" x14ac:dyDescent="0.35">
      <c r="A57" s="35">
        <v>313615</v>
      </c>
      <c r="B57" s="174">
        <v>34187</v>
      </c>
      <c r="C57" s="174"/>
      <c r="D57" s="36">
        <v>87000</v>
      </c>
      <c r="E57" s="174"/>
      <c r="F57" s="36"/>
      <c r="G57" s="175" t="s">
        <v>244</v>
      </c>
    </row>
    <row r="58" spans="1:7" x14ac:dyDescent="0.35">
      <c r="A58" s="35">
        <v>320387</v>
      </c>
      <c r="B58" s="174">
        <v>25791</v>
      </c>
      <c r="C58" s="174">
        <v>35220</v>
      </c>
      <c r="D58" s="36">
        <v>76000</v>
      </c>
      <c r="E58" s="174"/>
      <c r="F58" s="36"/>
      <c r="G58" s="175" t="s">
        <v>244</v>
      </c>
    </row>
    <row r="59" spans="1:7" x14ac:dyDescent="0.35">
      <c r="A59" s="35">
        <v>340436</v>
      </c>
      <c r="B59" s="174">
        <v>27791</v>
      </c>
      <c r="C59" s="174">
        <v>36129</v>
      </c>
      <c r="D59" s="36">
        <v>75000</v>
      </c>
      <c r="E59" s="174"/>
      <c r="F59" s="36"/>
      <c r="G59" s="175" t="s">
        <v>244</v>
      </c>
    </row>
    <row r="60" spans="1:7" x14ac:dyDescent="0.35">
      <c r="A60" s="35">
        <v>345767</v>
      </c>
      <c r="B60" s="174">
        <v>24217</v>
      </c>
      <c r="C60" s="174"/>
      <c r="D60" s="36">
        <v>80000</v>
      </c>
      <c r="E60" s="174"/>
      <c r="F60" s="36"/>
      <c r="G60" s="175" t="s">
        <v>244</v>
      </c>
    </row>
    <row r="61" spans="1:7" x14ac:dyDescent="0.35">
      <c r="A61" s="35">
        <v>430534</v>
      </c>
      <c r="B61" s="174">
        <v>16018</v>
      </c>
      <c r="C61" s="174">
        <v>33970</v>
      </c>
      <c r="D61" s="36">
        <v>110000</v>
      </c>
      <c r="E61" s="174"/>
      <c r="F61" s="36"/>
      <c r="G61" s="176" t="s">
        <v>244</v>
      </c>
    </row>
    <row r="62" spans="1:7" x14ac:dyDescent="0.35">
      <c r="A62" s="35">
        <v>443913</v>
      </c>
      <c r="B62" s="174">
        <v>16639</v>
      </c>
      <c r="C62" s="174">
        <v>32076</v>
      </c>
      <c r="D62" s="36">
        <v>200000</v>
      </c>
      <c r="E62" s="174"/>
      <c r="F62" s="36"/>
      <c r="G62" s="175" t="s">
        <v>244</v>
      </c>
    </row>
    <row r="63" spans="1:7" x14ac:dyDescent="0.35">
      <c r="A63" s="35">
        <v>187427</v>
      </c>
      <c r="B63" s="174">
        <v>21170</v>
      </c>
      <c r="C63" s="174">
        <v>37975</v>
      </c>
      <c r="D63" s="36">
        <v>98000</v>
      </c>
      <c r="E63" s="174"/>
      <c r="F63" s="36"/>
      <c r="G63" s="175" t="s">
        <v>244</v>
      </c>
    </row>
    <row r="64" spans="1:7" x14ac:dyDescent="0.35">
      <c r="A64" s="35">
        <v>189508</v>
      </c>
      <c r="B64" s="174">
        <v>30229</v>
      </c>
      <c r="C64" s="174">
        <v>34716</v>
      </c>
      <c r="D64" s="36">
        <v>97000</v>
      </c>
      <c r="E64" s="174"/>
      <c r="F64" s="36"/>
      <c r="G64" s="175" t="s">
        <v>244</v>
      </c>
    </row>
    <row r="65" spans="1:7" x14ac:dyDescent="0.35">
      <c r="A65" s="35">
        <v>123466</v>
      </c>
      <c r="B65" s="174">
        <v>22098</v>
      </c>
      <c r="C65" s="174"/>
      <c r="D65" s="36"/>
      <c r="E65" s="174">
        <v>42339</v>
      </c>
      <c r="F65" s="36">
        <v>8047</v>
      </c>
      <c r="G65" s="175" t="s">
        <v>44</v>
      </c>
    </row>
    <row r="66" spans="1:7" x14ac:dyDescent="0.35">
      <c r="A66" s="35">
        <v>123484</v>
      </c>
      <c r="B66" s="174">
        <v>18203</v>
      </c>
      <c r="C66" s="174">
        <v>40339</v>
      </c>
      <c r="D66" s="36"/>
      <c r="E66" s="174">
        <v>41944</v>
      </c>
      <c r="F66" s="36">
        <v>9625</v>
      </c>
      <c r="G66" s="175" t="s">
        <v>44</v>
      </c>
    </row>
    <row r="67" spans="1:7" x14ac:dyDescent="0.35">
      <c r="A67" s="35">
        <v>206418</v>
      </c>
      <c r="B67" s="174">
        <v>20874</v>
      </c>
      <c r="C67" s="174">
        <v>40497</v>
      </c>
      <c r="D67" s="36">
        <v>120000</v>
      </c>
      <c r="E67" s="174"/>
      <c r="F67" s="36"/>
      <c r="G67" s="175" t="s">
        <v>244</v>
      </c>
    </row>
    <row r="68" spans="1:7" x14ac:dyDescent="0.35">
      <c r="A68" s="35">
        <v>579414</v>
      </c>
      <c r="B68" s="174">
        <v>32874</v>
      </c>
      <c r="C68" s="174">
        <v>41974</v>
      </c>
      <c r="D68" s="36">
        <v>110000</v>
      </c>
      <c r="E68" s="174"/>
      <c r="F68" s="36"/>
      <c r="G68" s="175" t="s">
        <v>244</v>
      </c>
    </row>
    <row r="69" spans="1:7" x14ac:dyDescent="0.35">
      <c r="A69" s="35">
        <v>446641</v>
      </c>
      <c r="B69" s="174">
        <v>24017</v>
      </c>
      <c r="C69" s="174">
        <v>35209</v>
      </c>
      <c r="D69" s="36">
        <v>86000</v>
      </c>
      <c r="E69" s="174">
        <v>11263</v>
      </c>
      <c r="F69" s="36">
        <v>4500</v>
      </c>
      <c r="G69" s="176" t="s">
        <v>250</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2">
    <pageSetUpPr fitToPage="1"/>
  </sheetPr>
  <dimension ref="B1:H25"/>
  <sheetViews>
    <sheetView workbookViewId="0">
      <selection activeCell="C27" sqref="C27"/>
    </sheetView>
  </sheetViews>
  <sheetFormatPr defaultColWidth="8.81640625" defaultRowHeight="12.5" x14ac:dyDescent="0.25"/>
  <cols>
    <col min="1" max="1" width="2.7265625" style="9" customWidth="1"/>
    <col min="2" max="2" width="10" style="9" customWidth="1"/>
    <col min="3" max="3" width="18.36328125" style="9" customWidth="1"/>
    <col min="4" max="4" width="8.81640625" style="9"/>
    <col min="5" max="5" width="42.1796875" style="9" customWidth="1"/>
    <col min="6" max="6" width="3.81640625" style="9" customWidth="1"/>
    <col min="7" max="7" width="46.26953125" style="9" customWidth="1"/>
    <col min="8" max="8" width="14.36328125" style="9" customWidth="1"/>
    <col min="9" max="16384" width="8.81640625" style="9"/>
  </cols>
  <sheetData>
    <row r="1" spans="2:8" ht="13" thickBot="1" x14ac:dyDescent="0.3"/>
    <row r="2" spans="2:8" ht="16" thickBot="1" x14ac:dyDescent="0.4">
      <c r="B2" s="205" t="s">
        <v>709</v>
      </c>
      <c r="C2" s="206"/>
      <c r="D2" s="206"/>
      <c r="E2" s="207"/>
      <c r="G2" s="205" t="s">
        <v>708</v>
      </c>
      <c r="H2" s="207"/>
    </row>
    <row r="3" spans="2:8" ht="15.5" x14ac:dyDescent="0.35">
      <c r="B3" s="89" t="s">
        <v>681</v>
      </c>
      <c r="C3" s="89" t="s">
        <v>31</v>
      </c>
      <c r="D3" s="88" t="s">
        <v>682</v>
      </c>
      <c r="E3" s="87"/>
      <c r="G3" s="94" t="s">
        <v>682</v>
      </c>
      <c r="H3" s="93" t="s">
        <v>681</v>
      </c>
    </row>
    <row r="4" spans="2:8" ht="15.5" x14ac:dyDescent="0.35">
      <c r="B4" s="81">
        <v>1</v>
      </c>
      <c r="C4" s="91" t="s">
        <v>707</v>
      </c>
      <c r="D4" s="79" t="s">
        <v>706</v>
      </c>
      <c r="E4" s="79"/>
      <c r="F4" s="20"/>
      <c r="G4" s="84" t="s">
        <v>705</v>
      </c>
      <c r="H4" s="82">
        <v>1</v>
      </c>
    </row>
    <row r="5" spans="2:8" ht="15.5" x14ac:dyDescent="0.35">
      <c r="B5" s="81">
        <v>2</v>
      </c>
      <c r="C5" s="91" t="s">
        <v>704</v>
      </c>
      <c r="D5" s="79" t="s">
        <v>703</v>
      </c>
      <c r="E5" s="79"/>
      <c r="G5" s="84" t="s">
        <v>702</v>
      </c>
      <c r="H5" s="82">
        <v>2</v>
      </c>
    </row>
    <row r="6" spans="2:8" ht="15.5" x14ac:dyDescent="0.35">
      <c r="B6" s="81">
        <v>3</v>
      </c>
      <c r="C6" s="91" t="s">
        <v>701</v>
      </c>
      <c r="D6" s="79" t="s">
        <v>700</v>
      </c>
      <c r="E6" s="79"/>
      <c r="G6" s="84" t="s">
        <v>699</v>
      </c>
      <c r="H6" s="82">
        <v>3</v>
      </c>
    </row>
    <row r="7" spans="2:8" ht="15.5" x14ac:dyDescent="0.35">
      <c r="B7" s="81">
        <v>4</v>
      </c>
      <c r="C7" s="91" t="s">
        <v>698</v>
      </c>
      <c r="D7" s="79" t="s">
        <v>697</v>
      </c>
      <c r="E7" s="79"/>
      <c r="G7" s="78" t="s">
        <v>658</v>
      </c>
      <c r="H7" s="77">
        <v>4</v>
      </c>
    </row>
    <row r="8" spans="2:8" ht="15.5" x14ac:dyDescent="0.35">
      <c r="B8" s="81">
        <v>5</v>
      </c>
      <c r="C8" s="91" t="s">
        <v>696</v>
      </c>
      <c r="D8" s="79" t="s">
        <v>695</v>
      </c>
      <c r="E8" s="79"/>
    </row>
    <row r="9" spans="2:8" ht="15.5" x14ac:dyDescent="0.35">
      <c r="B9" s="81">
        <v>6</v>
      </c>
      <c r="C9" s="91" t="s">
        <v>694</v>
      </c>
      <c r="D9" s="79" t="s">
        <v>693</v>
      </c>
      <c r="E9" s="79"/>
    </row>
    <row r="10" spans="2:8" ht="15.5" x14ac:dyDescent="0.35">
      <c r="B10" s="81">
        <v>7</v>
      </c>
      <c r="C10" s="91" t="s">
        <v>692</v>
      </c>
      <c r="D10" s="79" t="s">
        <v>691</v>
      </c>
      <c r="E10" s="79"/>
      <c r="G10" s="92"/>
    </row>
    <row r="11" spans="2:8" ht="15.5" x14ac:dyDescent="0.35">
      <c r="B11" s="81">
        <v>8</v>
      </c>
      <c r="C11" s="91" t="s">
        <v>690</v>
      </c>
      <c r="D11" s="79" t="s">
        <v>689</v>
      </c>
      <c r="E11" s="79"/>
      <c r="G11" s="92"/>
    </row>
    <row r="12" spans="2:8" ht="15.5" x14ac:dyDescent="0.35">
      <c r="B12" s="81">
        <v>9</v>
      </c>
      <c r="C12" s="91" t="s">
        <v>688</v>
      </c>
      <c r="D12" s="79" t="s">
        <v>687</v>
      </c>
      <c r="E12" s="79"/>
    </row>
    <row r="13" spans="2:8" ht="15.5" x14ac:dyDescent="0.35">
      <c r="B13" s="81">
        <v>10</v>
      </c>
      <c r="C13" s="91" t="s">
        <v>686</v>
      </c>
      <c r="D13" s="79" t="s">
        <v>685</v>
      </c>
      <c r="E13" s="79"/>
    </row>
    <row r="14" spans="2:8" ht="16" thickBot="1" x14ac:dyDescent="0.4">
      <c r="B14" s="90"/>
      <c r="C14" s="90"/>
      <c r="D14" s="90"/>
      <c r="E14" s="90"/>
    </row>
    <row r="15" spans="2:8" ht="16" thickBot="1" x14ac:dyDescent="0.4">
      <c r="B15" s="205" t="s">
        <v>684</v>
      </c>
      <c r="C15" s="206"/>
      <c r="D15" s="206"/>
      <c r="E15" s="207"/>
      <c r="G15" s="205" t="s">
        <v>683</v>
      </c>
      <c r="H15" s="207"/>
    </row>
    <row r="16" spans="2:8" ht="15.5" x14ac:dyDescent="0.35">
      <c r="B16" s="89" t="s">
        <v>681</v>
      </c>
      <c r="C16" s="89" t="s">
        <v>31</v>
      </c>
      <c r="D16" s="88" t="s">
        <v>682</v>
      </c>
      <c r="E16" s="87"/>
      <c r="G16" s="86" t="s">
        <v>682</v>
      </c>
      <c r="H16" s="85" t="s">
        <v>681</v>
      </c>
    </row>
    <row r="17" spans="2:8" ht="15.5" x14ac:dyDescent="0.35">
      <c r="B17" s="81">
        <v>10</v>
      </c>
      <c r="C17" s="80" t="s">
        <v>680</v>
      </c>
      <c r="D17" s="79" t="s">
        <v>679</v>
      </c>
      <c r="E17" s="79"/>
      <c r="G17" s="84" t="s">
        <v>678</v>
      </c>
      <c r="H17" s="82">
        <v>1</v>
      </c>
    </row>
    <row r="18" spans="2:8" ht="15.5" x14ac:dyDescent="0.35">
      <c r="B18" s="81">
        <v>11</v>
      </c>
      <c r="C18" s="80" t="s">
        <v>662</v>
      </c>
      <c r="D18" s="79" t="s">
        <v>677</v>
      </c>
      <c r="E18" s="79"/>
      <c r="G18" s="84" t="s">
        <v>676</v>
      </c>
      <c r="H18" s="82">
        <v>2</v>
      </c>
    </row>
    <row r="19" spans="2:8" ht="15.5" x14ac:dyDescent="0.35">
      <c r="B19" s="81">
        <v>12</v>
      </c>
      <c r="C19" s="80" t="s">
        <v>662</v>
      </c>
      <c r="D19" s="79" t="s">
        <v>675</v>
      </c>
      <c r="E19" s="79"/>
      <c r="G19" s="84" t="s">
        <v>674</v>
      </c>
      <c r="H19" s="82">
        <v>3</v>
      </c>
    </row>
    <row r="20" spans="2:8" ht="15.5" x14ac:dyDescent="0.35">
      <c r="B20" s="81">
        <v>13</v>
      </c>
      <c r="C20" s="80" t="s">
        <v>673</v>
      </c>
      <c r="D20" s="79" t="s">
        <v>672</v>
      </c>
      <c r="E20" s="79"/>
      <c r="G20" s="84" t="s">
        <v>671</v>
      </c>
      <c r="H20" s="82">
        <v>4</v>
      </c>
    </row>
    <row r="21" spans="2:8" ht="15.5" x14ac:dyDescent="0.35">
      <c r="B21" s="81">
        <v>14</v>
      </c>
      <c r="C21" s="80" t="s">
        <v>670</v>
      </c>
      <c r="D21" s="79" t="s">
        <v>669</v>
      </c>
      <c r="E21" s="79"/>
      <c r="G21" s="84" t="s">
        <v>668</v>
      </c>
      <c r="H21" s="82">
        <v>5</v>
      </c>
    </row>
    <row r="22" spans="2:8" ht="15.5" x14ac:dyDescent="0.35">
      <c r="B22" s="81">
        <v>15</v>
      </c>
      <c r="C22" s="80" t="s">
        <v>665</v>
      </c>
      <c r="D22" s="79" t="s">
        <v>667</v>
      </c>
      <c r="E22" s="79"/>
      <c r="G22" s="84" t="s">
        <v>666</v>
      </c>
      <c r="H22" s="82">
        <v>6</v>
      </c>
    </row>
    <row r="23" spans="2:8" ht="15.5" x14ac:dyDescent="0.35">
      <c r="B23" s="81">
        <v>16</v>
      </c>
      <c r="C23" s="80" t="s">
        <v>665</v>
      </c>
      <c r="D23" s="79" t="s">
        <v>664</v>
      </c>
      <c r="E23" s="79"/>
      <c r="G23" s="83" t="s">
        <v>663</v>
      </c>
      <c r="H23" s="82">
        <v>7</v>
      </c>
    </row>
    <row r="24" spans="2:8" ht="15.5" x14ac:dyDescent="0.35">
      <c r="B24" s="81">
        <v>17</v>
      </c>
      <c r="C24" s="80" t="s">
        <v>662</v>
      </c>
      <c r="D24" s="79" t="s">
        <v>661</v>
      </c>
      <c r="E24" s="79"/>
      <c r="G24" s="83" t="s">
        <v>660</v>
      </c>
      <c r="H24" s="82">
        <v>8</v>
      </c>
    </row>
    <row r="25" spans="2:8" ht="15.5" x14ac:dyDescent="0.35">
      <c r="B25" s="81">
        <v>20</v>
      </c>
      <c r="C25" s="80" t="s">
        <v>659</v>
      </c>
      <c r="D25" s="79" t="str">
        <f>C25</f>
        <v>Other Method</v>
      </c>
      <c r="E25" s="79"/>
      <c r="G25" s="78" t="s">
        <v>658</v>
      </c>
      <c r="H25" s="77">
        <v>9</v>
      </c>
    </row>
  </sheetData>
  <mergeCells count="4">
    <mergeCell ref="B2:E2"/>
    <mergeCell ref="B15:E15"/>
    <mergeCell ref="G2:H2"/>
    <mergeCell ref="G15:H15"/>
  </mergeCells>
  <printOptions horizontalCentered="1"/>
  <pageMargins left="0.75" right="0.75" top="1" bottom="1" header="0.5" footer="0.5"/>
  <pageSetup scale="82" orientation="landscape" r:id="rId1"/>
  <headerFooter alignWithMargins="0">
    <oddFooter>&amp;L&amp;F&amp;R&amp;A</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1"/>
  <dimension ref="A1:C105"/>
  <sheetViews>
    <sheetView workbookViewId="0">
      <selection activeCell="F9" sqref="F9"/>
    </sheetView>
  </sheetViews>
  <sheetFormatPr defaultRowHeight="12.5" x14ac:dyDescent="0.25"/>
  <sheetData>
    <row r="1" spans="1:3" x14ac:dyDescent="0.25">
      <c r="A1" t="s">
        <v>0</v>
      </c>
    </row>
    <row r="2" spans="1:3" x14ac:dyDescent="0.25">
      <c r="A2" t="s">
        <v>1</v>
      </c>
      <c r="B2" t="s">
        <v>2</v>
      </c>
      <c r="C2" t="s">
        <v>3</v>
      </c>
    </row>
    <row r="3" spans="1:3" x14ac:dyDescent="0.25">
      <c r="A3">
        <v>18</v>
      </c>
      <c r="B3">
        <v>3.6699999999999998E-4</v>
      </c>
      <c r="C3">
        <v>3.9399999999999998E-4</v>
      </c>
    </row>
    <row r="4" spans="1:3" x14ac:dyDescent="0.25">
      <c r="A4">
        <f>A3+1</f>
        <v>19</v>
      </c>
      <c r="B4">
        <v>3.8200000000000002E-4</v>
      </c>
      <c r="C4">
        <v>4.1100000000000002E-4</v>
      </c>
    </row>
    <row r="5" spans="1:3" x14ac:dyDescent="0.25">
      <c r="A5">
        <f t="shared" ref="A5:A68" si="0">A4+1</f>
        <v>20</v>
      </c>
      <c r="B5">
        <v>3.9599999999999998E-4</v>
      </c>
      <c r="C5">
        <v>4.2499999999999998E-4</v>
      </c>
    </row>
    <row r="6" spans="1:3" x14ac:dyDescent="0.25">
      <c r="A6">
        <f t="shared" si="0"/>
        <v>21</v>
      </c>
      <c r="B6">
        <v>4.08E-4</v>
      </c>
      <c r="C6">
        <v>4.3899999999999999E-4</v>
      </c>
    </row>
    <row r="7" spans="1:3" x14ac:dyDescent="0.25">
      <c r="A7">
        <f t="shared" si="0"/>
        <v>22</v>
      </c>
      <c r="B7">
        <v>4.2299999999999998E-4</v>
      </c>
      <c r="C7">
        <v>4.55E-4</v>
      </c>
    </row>
    <row r="8" spans="1:3" x14ac:dyDescent="0.25">
      <c r="A8">
        <f t="shared" si="0"/>
        <v>23</v>
      </c>
      <c r="B8">
        <v>4.4099999999999999E-4</v>
      </c>
      <c r="C8">
        <v>4.73E-4</v>
      </c>
    </row>
    <row r="9" spans="1:3" x14ac:dyDescent="0.25">
      <c r="A9">
        <f t="shared" si="0"/>
        <v>24</v>
      </c>
      <c r="B9">
        <v>4.5800000000000002E-4</v>
      </c>
      <c r="C9">
        <v>4.9200000000000003E-4</v>
      </c>
    </row>
    <row r="10" spans="1:3" x14ac:dyDescent="0.25">
      <c r="A10">
        <f t="shared" si="0"/>
        <v>25</v>
      </c>
      <c r="B10">
        <v>4.7600000000000002E-4</v>
      </c>
      <c r="C10">
        <v>5.1199999999999998E-4</v>
      </c>
    </row>
    <row r="11" spans="1:3" x14ac:dyDescent="0.25">
      <c r="A11">
        <f t="shared" si="0"/>
        <v>26</v>
      </c>
      <c r="B11">
        <v>4.95E-4</v>
      </c>
      <c r="C11">
        <v>5.3300000000000005E-4</v>
      </c>
    </row>
    <row r="12" spans="1:3" x14ac:dyDescent="0.25">
      <c r="A12">
        <f t="shared" si="0"/>
        <v>27</v>
      </c>
      <c r="B12">
        <v>5.1500000000000005E-4</v>
      </c>
      <c r="C12">
        <v>5.53E-4</v>
      </c>
    </row>
    <row r="13" spans="1:3" x14ac:dyDescent="0.25">
      <c r="A13">
        <f t="shared" si="0"/>
        <v>28</v>
      </c>
      <c r="B13">
        <v>5.3399999999999997E-4</v>
      </c>
      <c r="C13">
        <v>5.7499999999999999E-4</v>
      </c>
    </row>
    <row r="14" spans="1:3" x14ac:dyDescent="0.25">
      <c r="A14">
        <f t="shared" si="0"/>
        <v>29</v>
      </c>
      <c r="B14">
        <v>5.5500000000000005E-4</v>
      </c>
      <c r="C14">
        <v>5.9699999999999998E-4</v>
      </c>
    </row>
    <row r="15" spans="1:3" x14ac:dyDescent="0.25">
      <c r="A15">
        <f t="shared" si="0"/>
        <v>30</v>
      </c>
      <c r="B15">
        <v>5.7600000000000001E-4</v>
      </c>
      <c r="C15">
        <v>6.2E-4</v>
      </c>
    </row>
    <row r="16" spans="1:3" x14ac:dyDescent="0.25">
      <c r="A16">
        <f t="shared" si="0"/>
        <v>31</v>
      </c>
      <c r="B16">
        <v>5.9699999999999998E-4</v>
      </c>
      <c r="C16">
        <v>6.4199999999999999E-4</v>
      </c>
    </row>
    <row r="17" spans="1:3" x14ac:dyDescent="0.25">
      <c r="A17">
        <f t="shared" si="0"/>
        <v>32</v>
      </c>
      <c r="B17">
        <v>6.1799999999999995E-4</v>
      </c>
      <c r="C17">
        <v>6.6500000000000001E-4</v>
      </c>
    </row>
    <row r="18" spans="1:3" x14ac:dyDescent="0.25">
      <c r="A18">
        <f t="shared" si="0"/>
        <v>33</v>
      </c>
      <c r="B18">
        <v>6.3500000000000004E-4</v>
      </c>
      <c r="C18">
        <v>6.8300000000000001E-4</v>
      </c>
    </row>
    <row r="19" spans="1:3" x14ac:dyDescent="0.25">
      <c r="A19">
        <f t="shared" si="0"/>
        <v>34</v>
      </c>
      <c r="B19">
        <v>6.4899999999999995E-4</v>
      </c>
      <c r="C19">
        <v>6.9800000000000005E-4</v>
      </c>
    </row>
    <row r="20" spans="1:3" x14ac:dyDescent="0.25">
      <c r="A20">
        <f t="shared" si="0"/>
        <v>35</v>
      </c>
      <c r="B20">
        <v>6.6500000000000001E-4</v>
      </c>
      <c r="C20">
        <v>7.1500000000000003E-4</v>
      </c>
    </row>
    <row r="21" spans="1:3" x14ac:dyDescent="0.25">
      <c r="A21">
        <f t="shared" si="0"/>
        <v>36</v>
      </c>
      <c r="B21">
        <v>6.87E-4</v>
      </c>
      <c r="C21">
        <v>7.3899999999999997E-4</v>
      </c>
    </row>
    <row r="22" spans="1:3" x14ac:dyDescent="0.25">
      <c r="A22">
        <f t="shared" si="0"/>
        <v>37</v>
      </c>
      <c r="B22">
        <v>7.2099999999999996E-4</v>
      </c>
      <c r="C22">
        <v>7.76E-4</v>
      </c>
    </row>
    <row r="23" spans="1:3" x14ac:dyDescent="0.25">
      <c r="A23">
        <f t="shared" si="0"/>
        <v>38</v>
      </c>
      <c r="B23">
        <v>7.6900000000000004E-4</v>
      </c>
      <c r="C23">
        <v>8.2700000000000004E-4</v>
      </c>
    </row>
    <row r="24" spans="1:3" x14ac:dyDescent="0.25">
      <c r="A24">
        <f t="shared" si="0"/>
        <v>39</v>
      </c>
      <c r="B24">
        <v>8.2600000000000002E-4</v>
      </c>
      <c r="C24">
        <v>8.8800000000000001E-4</v>
      </c>
    </row>
    <row r="25" spans="1:3" x14ac:dyDescent="0.25">
      <c r="A25">
        <f t="shared" si="0"/>
        <v>40</v>
      </c>
      <c r="B25">
        <v>8.9099999999999997E-4</v>
      </c>
      <c r="C25">
        <v>9.5799999999999998E-4</v>
      </c>
    </row>
    <row r="26" spans="1:3" x14ac:dyDescent="0.25">
      <c r="A26">
        <f t="shared" si="0"/>
        <v>41</v>
      </c>
      <c r="B26">
        <v>9.6199999999999996E-4</v>
      </c>
      <c r="C26">
        <v>1.0349999999999999E-3</v>
      </c>
    </row>
    <row r="27" spans="1:3" x14ac:dyDescent="0.25">
      <c r="A27">
        <f t="shared" si="0"/>
        <v>42</v>
      </c>
      <c r="B27">
        <v>1.039E-3</v>
      </c>
      <c r="C27">
        <v>1.1169999999999999E-3</v>
      </c>
    </row>
    <row r="28" spans="1:3" x14ac:dyDescent="0.25">
      <c r="A28">
        <f t="shared" si="0"/>
        <v>43</v>
      </c>
      <c r="B28">
        <v>1.1150000000000001E-3</v>
      </c>
      <c r="C28">
        <v>1.199E-3</v>
      </c>
    </row>
    <row r="29" spans="1:3" x14ac:dyDescent="0.25">
      <c r="A29">
        <f t="shared" si="0"/>
        <v>44</v>
      </c>
      <c r="B29">
        <v>1.191E-3</v>
      </c>
      <c r="C29">
        <v>1.2800000000000001E-3</v>
      </c>
    </row>
    <row r="30" spans="1:3" x14ac:dyDescent="0.25">
      <c r="A30">
        <f t="shared" si="0"/>
        <v>45</v>
      </c>
      <c r="B30">
        <v>1.276E-3</v>
      </c>
      <c r="C30">
        <v>1.372E-3</v>
      </c>
    </row>
    <row r="31" spans="1:3" x14ac:dyDescent="0.25">
      <c r="A31">
        <f t="shared" si="0"/>
        <v>46</v>
      </c>
      <c r="B31">
        <v>1.3780000000000001E-3</v>
      </c>
      <c r="C31">
        <v>1.482E-3</v>
      </c>
    </row>
    <row r="32" spans="1:3" x14ac:dyDescent="0.25">
      <c r="A32">
        <f t="shared" si="0"/>
        <v>47</v>
      </c>
      <c r="B32">
        <v>1.506E-3</v>
      </c>
      <c r="C32">
        <v>1.619E-3</v>
      </c>
    </row>
    <row r="33" spans="1:3" x14ac:dyDescent="0.25">
      <c r="A33">
        <f t="shared" si="0"/>
        <v>48</v>
      </c>
      <c r="B33">
        <v>1.6540000000000001E-3</v>
      </c>
      <c r="C33">
        <v>1.779E-3</v>
      </c>
    </row>
    <row r="34" spans="1:3" x14ac:dyDescent="0.25">
      <c r="A34">
        <f t="shared" si="0"/>
        <v>49</v>
      </c>
      <c r="B34">
        <v>1.818E-3</v>
      </c>
      <c r="C34">
        <v>1.9550000000000001E-3</v>
      </c>
    </row>
    <row r="35" spans="1:3" x14ac:dyDescent="0.25">
      <c r="A35">
        <f t="shared" si="0"/>
        <v>50</v>
      </c>
      <c r="B35">
        <v>2.0040000000000001E-3</v>
      </c>
      <c r="C35">
        <v>2.1549999999999998E-3</v>
      </c>
    </row>
    <row r="36" spans="1:3" x14ac:dyDescent="0.25">
      <c r="A36">
        <f t="shared" si="0"/>
        <v>51</v>
      </c>
      <c r="B36">
        <v>2.2200000000000002E-3</v>
      </c>
      <c r="C36">
        <v>2.3869999999999998E-3</v>
      </c>
    </row>
    <row r="37" spans="1:3" x14ac:dyDescent="0.25">
      <c r="A37">
        <f t="shared" si="0"/>
        <v>52</v>
      </c>
      <c r="B37">
        <v>2.4740000000000001E-3</v>
      </c>
      <c r="C37">
        <v>2.66E-3</v>
      </c>
    </row>
    <row r="38" spans="1:3" x14ac:dyDescent="0.25">
      <c r="A38">
        <f t="shared" si="0"/>
        <v>53</v>
      </c>
      <c r="B38">
        <v>2.7460000000000002E-3</v>
      </c>
      <c r="C38">
        <v>2.9529999999999999E-3</v>
      </c>
    </row>
    <row r="39" spans="1:3" x14ac:dyDescent="0.25">
      <c r="A39">
        <f t="shared" si="0"/>
        <v>54</v>
      </c>
      <c r="B39">
        <v>3.032E-3</v>
      </c>
      <c r="C39">
        <v>3.2599999999999999E-3</v>
      </c>
    </row>
    <row r="40" spans="1:3" x14ac:dyDescent="0.25">
      <c r="A40">
        <f t="shared" si="0"/>
        <v>55</v>
      </c>
      <c r="B40">
        <v>3.3600000000000001E-3</v>
      </c>
      <c r="C40">
        <v>3.6120000000000002E-3</v>
      </c>
    </row>
    <row r="41" spans="1:3" x14ac:dyDescent="0.25">
      <c r="A41">
        <f t="shared" si="0"/>
        <v>56</v>
      </c>
      <c r="B41">
        <v>3.7559999999999998E-3</v>
      </c>
      <c r="C41">
        <v>4.0390000000000001E-3</v>
      </c>
    </row>
    <row r="42" spans="1:3" x14ac:dyDescent="0.25">
      <c r="A42">
        <f t="shared" si="0"/>
        <v>57</v>
      </c>
      <c r="B42">
        <v>4.2500000000000003E-3</v>
      </c>
      <c r="C42">
        <v>4.5700000000000003E-3</v>
      </c>
    </row>
    <row r="43" spans="1:3" x14ac:dyDescent="0.25">
      <c r="A43">
        <f t="shared" si="0"/>
        <v>58</v>
      </c>
      <c r="B43">
        <v>4.8300000000000001E-3</v>
      </c>
      <c r="C43">
        <v>5.1929999999999997E-3</v>
      </c>
    </row>
    <row r="44" spans="1:3" x14ac:dyDescent="0.25">
      <c r="A44">
        <f t="shared" si="0"/>
        <v>59</v>
      </c>
      <c r="B44">
        <v>5.4770000000000001E-3</v>
      </c>
      <c r="C44">
        <v>5.8890000000000001E-3</v>
      </c>
    </row>
    <row r="45" spans="1:3" x14ac:dyDescent="0.25">
      <c r="A45">
        <f t="shared" si="0"/>
        <v>60</v>
      </c>
      <c r="B45">
        <v>6.208E-3</v>
      </c>
      <c r="C45">
        <v>6.6750000000000004E-3</v>
      </c>
    </row>
    <row r="46" spans="1:3" x14ac:dyDescent="0.25">
      <c r="A46">
        <f t="shared" si="0"/>
        <v>61</v>
      </c>
      <c r="B46">
        <v>7.0400000000000003E-3</v>
      </c>
      <c r="C46">
        <v>7.5700000000000003E-3</v>
      </c>
    </row>
    <row r="47" spans="1:3" x14ac:dyDescent="0.25">
      <c r="A47">
        <f t="shared" si="0"/>
        <v>62</v>
      </c>
      <c r="B47">
        <v>7.9900000000000006E-3</v>
      </c>
      <c r="C47">
        <v>8.5909999999999997E-3</v>
      </c>
    </row>
    <row r="48" spans="1:3" x14ac:dyDescent="0.25">
      <c r="A48">
        <f t="shared" si="0"/>
        <v>63</v>
      </c>
      <c r="B48">
        <v>9.0740000000000005E-3</v>
      </c>
      <c r="C48">
        <v>9.757E-3</v>
      </c>
    </row>
    <row r="49" spans="1:3" x14ac:dyDescent="0.25">
      <c r="A49">
        <f t="shared" si="0"/>
        <v>64</v>
      </c>
      <c r="B49">
        <v>1.0281E-2</v>
      </c>
      <c r="C49">
        <v>1.1054E-2</v>
      </c>
    </row>
    <row r="50" spans="1:3" x14ac:dyDescent="0.25">
      <c r="A50">
        <f t="shared" si="0"/>
        <v>65</v>
      </c>
      <c r="B50">
        <v>1.1586000000000001E-2</v>
      </c>
      <c r="C50">
        <v>1.2458E-2</v>
      </c>
    </row>
    <row r="51" spans="1:3" x14ac:dyDescent="0.25">
      <c r="A51">
        <f t="shared" si="0"/>
        <v>66</v>
      </c>
      <c r="B51">
        <v>1.2966999999999999E-2</v>
      </c>
      <c r="C51">
        <v>1.3943000000000001E-2</v>
      </c>
    </row>
    <row r="52" spans="1:3" x14ac:dyDescent="0.25">
      <c r="A52">
        <f t="shared" si="0"/>
        <v>67</v>
      </c>
      <c r="B52">
        <v>1.4399E-2</v>
      </c>
      <c r="C52">
        <v>1.5483E-2</v>
      </c>
    </row>
    <row r="53" spans="1:3" x14ac:dyDescent="0.25">
      <c r="A53">
        <f t="shared" si="0"/>
        <v>68</v>
      </c>
      <c r="B53">
        <v>1.5810999999999999E-2</v>
      </c>
      <c r="C53">
        <v>1.7000999999999999E-2</v>
      </c>
    </row>
    <row r="54" spans="1:3" x14ac:dyDescent="0.25">
      <c r="A54">
        <f t="shared" si="0"/>
        <v>69</v>
      </c>
      <c r="B54">
        <v>1.7219000000000002E-2</v>
      </c>
      <c r="C54">
        <v>1.8515E-2</v>
      </c>
    </row>
    <row r="55" spans="1:3" x14ac:dyDescent="0.25">
      <c r="A55">
        <f t="shared" si="0"/>
        <v>70</v>
      </c>
      <c r="B55">
        <v>1.873E-2</v>
      </c>
      <c r="C55">
        <v>2.0140000000000002E-2</v>
      </c>
    </row>
    <row r="56" spans="1:3" x14ac:dyDescent="0.25">
      <c r="A56">
        <f t="shared" si="0"/>
        <v>71</v>
      </c>
      <c r="B56">
        <v>2.0452000000000001E-2</v>
      </c>
      <c r="C56">
        <v>2.1992000000000001E-2</v>
      </c>
    </row>
    <row r="57" spans="1:3" x14ac:dyDescent="0.25">
      <c r="A57">
        <f t="shared" si="0"/>
        <v>72</v>
      </c>
      <c r="B57">
        <v>2.2494E-2</v>
      </c>
      <c r="C57">
        <v>2.4187E-2</v>
      </c>
    </row>
    <row r="58" spans="1:3" x14ac:dyDescent="0.25">
      <c r="A58">
        <f t="shared" si="0"/>
        <v>73</v>
      </c>
      <c r="B58">
        <v>2.4773E-2</v>
      </c>
      <c r="C58">
        <v>2.6637000000000001E-2</v>
      </c>
    </row>
    <row r="59" spans="1:3" x14ac:dyDescent="0.25">
      <c r="A59">
        <f t="shared" si="0"/>
        <v>74</v>
      </c>
      <c r="B59">
        <v>2.7216000000000001E-2</v>
      </c>
      <c r="C59">
        <v>2.9264999999999999E-2</v>
      </c>
    </row>
    <row r="60" spans="1:3" x14ac:dyDescent="0.25">
      <c r="A60">
        <f t="shared" si="0"/>
        <v>75</v>
      </c>
      <c r="B60">
        <v>2.9949E-2</v>
      </c>
      <c r="C60">
        <v>3.2203000000000002E-2</v>
      </c>
    </row>
    <row r="61" spans="1:3" x14ac:dyDescent="0.25">
      <c r="A61">
        <f t="shared" si="0"/>
        <v>76</v>
      </c>
      <c r="B61">
        <v>3.3092000000000003E-2</v>
      </c>
      <c r="C61">
        <v>3.5582000000000003E-2</v>
      </c>
    </row>
    <row r="62" spans="1:3" x14ac:dyDescent="0.25">
      <c r="A62">
        <f t="shared" si="0"/>
        <v>77</v>
      </c>
      <c r="B62">
        <v>3.6769000000000003E-2</v>
      </c>
      <c r="C62">
        <v>3.9536000000000002E-2</v>
      </c>
    </row>
    <row r="63" spans="1:3" x14ac:dyDescent="0.25">
      <c r="A63">
        <f t="shared" si="0"/>
        <v>78</v>
      </c>
      <c r="B63">
        <v>4.0968999999999998E-2</v>
      </c>
      <c r="C63">
        <v>4.4053000000000002E-2</v>
      </c>
    </row>
    <row r="64" spans="1:3" x14ac:dyDescent="0.25">
      <c r="A64">
        <f t="shared" si="0"/>
        <v>79</v>
      </c>
      <c r="B64">
        <v>4.5612E-2</v>
      </c>
      <c r="C64">
        <v>4.9044999999999998E-2</v>
      </c>
    </row>
    <row r="65" spans="1:3" x14ac:dyDescent="0.25">
      <c r="A65">
        <f t="shared" si="0"/>
        <v>80</v>
      </c>
      <c r="B65">
        <v>5.0712E-2</v>
      </c>
      <c r="C65">
        <v>5.4529000000000001E-2</v>
      </c>
    </row>
    <row r="66" spans="1:3" x14ac:dyDescent="0.25">
      <c r="A66">
        <f t="shared" si="0"/>
        <v>81</v>
      </c>
      <c r="B66">
        <v>5.6284000000000001E-2</v>
      </c>
      <c r="C66">
        <v>6.0519999999999997E-2</v>
      </c>
    </row>
    <row r="67" spans="1:3" x14ac:dyDescent="0.25">
      <c r="A67">
        <f t="shared" si="0"/>
        <v>82</v>
      </c>
      <c r="B67">
        <v>6.2343000000000003E-2</v>
      </c>
      <c r="C67">
        <v>6.7034999999999997E-2</v>
      </c>
    </row>
    <row r="68" spans="1:3" x14ac:dyDescent="0.25">
      <c r="A68">
        <f t="shared" si="0"/>
        <v>83</v>
      </c>
      <c r="B68">
        <v>6.8683999999999995E-2</v>
      </c>
      <c r="C68">
        <v>7.3854000000000003E-2</v>
      </c>
    </row>
    <row r="69" spans="1:3" x14ac:dyDescent="0.25">
      <c r="A69">
        <f t="shared" ref="A69:A103" si="1">A68+1</f>
        <v>84</v>
      </c>
      <c r="B69">
        <v>7.5296000000000002E-2</v>
      </c>
      <c r="C69">
        <v>8.0963999999999994E-2</v>
      </c>
    </row>
    <row r="70" spans="1:3" x14ac:dyDescent="0.25">
      <c r="A70">
        <f t="shared" si="1"/>
        <v>85</v>
      </c>
      <c r="B70">
        <v>8.2489000000000007E-2</v>
      </c>
      <c r="C70">
        <v>8.8697999999999999E-2</v>
      </c>
    </row>
    <row r="71" spans="1:3" x14ac:dyDescent="0.25">
      <c r="A71">
        <f t="shared" si="1"/>
        <v>86</v>
      </c>
      <c r="B71">
        <v>9.0569999999999998E-2</v>
      </c>
      <c r="C71">
        <v>9.7387000000000001E-2</v>
      </c>
    </row>
    <row r="72" spans="1:3" x14ac:dyDescent="0.25">
      <c r="A72">
        <f t="shared" si="1"/>
        <v>87</v>
      </c>
      <c r="B72">
        <v>9.9847000000000005E-2</v>
      </c>
      <c r="C72">
        <v>0.107363</v>
      </c>
    </row>
    <row r="73" spans="1:3" x14ac:dyDescent="0.25">
      <c r="A73">
        <f t="shared" si="1"/>
        <v>88</v>
      </c>
      <c r="B73">
        <v>0.1104</v>
      </c>
      <c r="C73">
        <v>0.11871</v>
      </c>
    </row>
    <row r="74" spans="1:3" x14ac:dyDescent="0.25">
      <c r="A74">
        <f t="shared" si="1"/>
        <v>89</v>
      </c>
      <c r="B74">
        <v>0.12202300000000001</v>
      </c>
      <c r="C74">
        <v>0.13120799999999999</v>
      </c>
    </row>
    <row r="75" spans="1:3" x14ac:dyDescent="0.25">
      <c r="A75">
        <f t="shared" si="1"/>
        <v>90</v>
      </c>
      <c r="B75">
        <v>0.134598</v>
      </c>
      <c r="C75">
        <v>0.144729</v>
      </c>
    </row>
    <row r="76" spans="1:3" x14ac:dyDescent="0.25">
      <c r="A76">
        <f t="shared" si="1"/>
        <v>91</v>
      </c>
      <c r="B76">
        <v>0.148006</v>
      </c>
      <c r="C76">
        <v>0.15914600000000001</v>
      </c>
    </row>
    <row r="77" spans="1:3" x14ac:dyDescent="0.25">
      <c r="A77">
        <f t="shared" si="1"/>
        <v>92</v>
      </c>
      <c r="B77">
        <v>0.16212699999999999</v>
      </c>
      <c r="C77">
        <v>0.17433100000000001</v>
      </c>
    </row>
    <row r="78" spans="1:3" x14ac:dyDescent="0.25">
      <c r="A78">
        <f t="shared" si="1"/>
        <v>93</v>
      </c>
      <c r="B78">
        <v>0.17716199999999999</v>
      </c>
      <c r="C78">
        <v>0.190497</v>
      </c>
    </row>
    <row r="79" spans="1:3" x14ac:dyDescent="0.25">
      <c r="A79">
        <f t="shared" si="1"/>
        <v>94</v>
      </c>
      <c r="B79">
        <v>0.193189</v>
      </c>
      <c r="C79">
        <v>0.20773</v>
      </c>
    </row>
    <row r="80" spans="1:3" x14ac:dyDescent="0.25">
      <c r="A80">
        <f t="shared" si="1"/>
        <v>95</v>
      </c>
      <c r="B80">
        <v>0.20991000000000001</v>
      </c>
      <c r="C80">
        <v>0.22570899999999999</v>
      </c>
    </row>
    <row r="81" spans="1:3" x14ac:dyDescent="0.25">
      <c r="A81">
        <f t="shared" si="1"/>
        <v>96</v>
      </c>
      <c r="B81">
        <v>0.227024</v>
      </c>
      <c r="C81">
        <v>0.244112</v>
      </c>
    </row>
    <row r="82" spans="1:3" x14ac:dyDescent="0.25">
      <c r="A82">
        <f t="shared" si="1"/>
        <v>97</v>
      </c>
      <c r="B82">
        <v>0.24423500000000001</v>
      </c>
      <c r="C82">
        <v>0.26261800000000002</v>
      </c>
    </row>
    <row r="83" spans="1:3" x14ac:dyDescent="0.25">
      <c r="A83">
        <f t="shared" si="1"/>
        <v>98</v>
      </c>
      <c r="B83">
        <v>0.26149499999999998</v>
      </c>
      <c r="C83">
        <v>0.28117799999999998</v>
      </c>
    </row>
    <row r="84" spans="1:3" x14ac:dyDescent="0.25">
      <c r="A84">
        <f t="shared" si="1"/>
        <v>99</v>
      </c>
      <c r="B84">
        <v>0.279005</v>
      </c>
      <c r="C84">
        <v>0.30000599999999999</v>
      </c>
    </row>
    <row r="85" spans="1:3" x14ac:dyDescent="0.25">
      <c r="A85">
        <f t="shared" si="1"/>
        <v>100</v>
      </c>
      <c r="B85">
        <v>0.29683300000000001</v>
      </c>
      <c r="C85">
        <v>0.31917499999999999</v>
      </c>
    </row>
    <row r="86" spans="1:3" x14ac:dyDescent="0.25">
      <c r="A86">
        <f t="shared" si="1"/>
        <v>101</v>
      </c>
      <c r="B86">
        <v>0.31504500000000002</v>
      </c>
      <c r="C86">
        <v>0.338758</v>
      </c>
    </row>
    <row r="87" spans="1:3" x14ac:dyDescent="0.25">
      <c r="A87">
        <f t="shared" si="1"/>
        <v>102</v>
      </c>
      <c r="B87">
        <v>0.33371200000000001</v>
      </c>
      <c r="C87">
        <v>0.35882999999999998</v>
      </c>
    </row>
    <row r="88" spans="1:3" x14ac:dyDescent="0.25">
      <c r="A88">
        <f t="shared" si="1"/>
        <v>103</v>
      </c>
      <c r="B88">
        <v>0.353524</v>
      </c>
      <c r="C88">
        <v>0.38073499999999999</v>
      </c>
    </row>
    <row r="89" spans="1:3" x14ac:dyDescent="0.25">
      <c r="A89">
        <f t="shared" si="1"/>
        <v>104</v>
      </c>
      <c r="B89">
        <v>0.37443599999999999</v>
      </c>
      <c r="C89">
        <v>0.40442600000000001</v>
      </c>
    </row>
    <row r="90" spans="1:3" x14ac:dyDescent="0.25">
      <c r="A90">
        <f t="shared" si="1"/>
        <v>105</v>
      </c>
      <c r="B90">
        <v>0.39541100000000001</v>
      </c>
      <c r="C90">
        <v>0.42788300000000001</v>
      </c>
    </row>
    <row r="91" spans="1:3" x14ac:dyDescent="0.25">
      <c r="A91">
        <f t="shared" si="1"/>
        <v>106</v>
      </c>
      <c r="B91">
        <v>0.415408</v>
      </c>
      <c r="C91">
        <v>0.44908500000000001</v>
      </c>
    </row>
    <row r="92" spans="1:3" x14ac:dyDescent="0.25">
      <c r="A92">
        <f t="shared" si="1"/>
        <v>107</v>
      </c>
      <c r="B92">
        <v>0.43339100000000003</v>
      </c>
      <c r="C92">
        <v>0.46601199999999998</v>
      </c>
    </row>
    <row r="93" spans="1:3" x14ac:dyDescent="0.25">
      <c r="A93">
        <f t="shared" si="1"/>
        <v>108</v>
      </c>
      <c r="B93">
        <v>0.45095600000000002</v>
      </c>
      <c r="C93">
        <v>0.47858200000000001</v>
      </c>
    </row>
    <row r="94" spans="1:3" x14ac:dyDescent="0.25">
      <c r="A94">
        <f t="shared" si="1"/>
        <v>109</v>
      </c>
      <c r="B94">
        <v>0.46881</v>
      </c>
      <c r="C94">
        <v>0.48814000000000002</v>
      </c>
    </row>
    <row r="95" spans="1:3" x14ac:dyDescent="0.25">
      <c r="A95">
        <f t="shared" si="1"/>
        <v>110</v>
      </c>
      <c r="B95">
        <v>0.48453499999999999</v>
      </c>
      <c r="C95">
        <v>1</v>
      </c>
    </row>
    <row r="96" spans="1:3" x14ac:dyDescent="0.25">
      <c r="A96">
        <f t="shared" si="1"/>
        <v>111</v>
      </c>
      <c r="B96">
        <v>0.49573299999999998</v>
      </c>
      <c r="C96">
        <v>1</v>
      </c>
    </row>
    <row r="97" spans="1:3" x14ac:dyDescent="0.25">
      <c r="A97">
        <f t="shared" si="1"/>
        <v>112</v>
      </c>
      <c r="B97">
        <v>0.5</v>
      </c>
      <c r="C97">
        <v>1</v>
      </c>
    </row>
    <row r="98" spans="1:3" x14ac:dyDescent="0.25">
      <c r="A98">
        <f t="shared" si="1"/>
        <v>113</v>
      </c>
      <c r="B98">
        <v>0.5</v>
      </c>
      <c r="C98">
        <v>1</v>
      </c>
    </row>
    <row r="99" spans="1:3" x14ac:dyDescent="0.25">
      <c r="A99">
        <f t="shared" si="1"/>
        <v>114</v>
      </c>
      <c r="B99">
        <v>0.5</v>
      </c>
      <c r="C99">
        <v>1</v>
      </c>
    </row>
    <row r="100" spans="1:3" x14ac:dyDescent="0.25">
      <c r="A100">
        <f t="shared" si="1"/>
        <v>115</v>
      </c>
      <c r="B100">
        <v>0.5</v>
      </c>
      <c r="C100">
        <v>1</v>
      </c>
    </row>
    <row r="101" spans="1:3" x14ac:dyDescent="0.25">
      <c r="A101">
        <f t="shared" si="1"/>
        <v>116</v>
      </c>
      <c r="B101">
        <v>0.5</v>
      </c>
      <c r="C101">
        <v>1</v>
      </c>
    </row>
    <row r="102" spans="1:3" x14ac:dyDescent="0.25">
      <c r="A102">
        <f t="shared" si="1"/>
        <v>117</v>
      </c>
      <c r="B102">
        <v>0.5</v>
      </c>
      <c r="C102">
        <v>1</v>
      </c>
    </row>
    <row r="103" spans="1:3" x14ac:dyDescent="0.25">
      <c r="A103">
        <f t="shared" si="1"/>
        <v>118</v>
      </c>
      <c r="B103">
        <v>0.5</v>
      </c>
      <c r="C103">
        <v>1</v>
      </c>
    </row>
    <row r="104" spans="1:3" x14ac:dyDescent="0.25">
      <c r="A104">
        <f>A103+1</f>
        <v>119</v>
      </c>
      <c r="B104">
        <v>0.5</v>
      </c>
      <c r="C104">
        <v>1</v>
      </c>
    </row>
    <row r="105" spans="1:3" x14ac:dyDescent="0.25">
      <c r="A105">
        <f>A104+1</f>
        <v>120</v>
      </c>
      <c r="B105">
        <v>1</v>
      </c>
      <c r="C105">
        <v>1</v>
      </c>
    </row>
  </sheetData>
  <phoneticPr fontId="0" type="noConversion"/>
  <pageMargins left="0.75" right="0.75" top="1" bottom="1" header="0.5" footer="0.5"/>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2"/>
  <dimension ref="A1:P120"/>
  <sheetViews>
    <sheetView workbookViewId="0">
      <selection activeCell="E35" sqref="E35"/>
    </sheetView>
  </sheetViews>
  <sheetFormatPr defaultRowHeight="12.5" x14ac:dyDescent="0.25"/>
  <sheetData>
    <row r="1" spans="1:16" x14ac:dyDescent="0.25">
      <c r="B1" t="s">
        <v>4</v>
      </c>
    </row>
    <row r="2" spans="1:16" x14ac:dyDescent="0.25">
      <c r="B2">
        <v>1</v>
      </c>
      <c r="C2">
        <v>2</v>
      </c>
      <c r="D2">
        <v>3</v>
      </c>
      <c r="E2">
        <v>4</v>
      </c>
      <c r="F2">
        <v>5</v>
      </c>
      <c r="G2">
        <v>6</v>
      </c>
      <c r="H2">
        <v>7</v>
      </c>
      <c r="I2">
        <v>8</v>
      </c>
      <c r="J2">
        <v>9</v>
      </c>
      <c r="K2">
        <v>10</v>
      </c>
      <c r="L2">
        <v>11</v>
      </c>
      <c r="M2">
        <v>12</v>
      </c>
      <c r="N2">
        <v>13</v>
      </c>
      <c r="O2">
        <v>14</v>
      </c>
      <c r="P2">
        <v>15</v>
      </c>
    </row>
    <row r="3" spans="1:16" x14ac:dyDescent="0.25">
      <c r="A3" t="s">
        <v>5</v>
      </c>
      <c r="B3" t="s">
        <v>6</v>
      </c>
      <c r="D3" t="s">
        <v>7</v>
      </c>
      <c r="F3" t="s">
        <v>8</v>
      </c>
      <c r="H3" t="s">
        <v>9</v>
      </c>
      <c r="I3" t="s">
        <v>10</v>
      </c>
      <c r="J3" t="s">
        <v>11</v>
      </c>
      <c r="L3" t="s">
        <v>12</v>
      </c>
      <c r="M3" t="s">
        <v>13</v>
      </c>
    </row>
    <row r="4" spans="1:16" x14ac:dyDescent="0.25">
      <c r="A4" t="s">
        <v>14</v>
      </c>
      <c r="B4" t="s">
        <v>15</v>
      </c>
      <c r="C4" t="s">
        <v>16</v>
      </c>
      <c r="D4" t="s">
        <v>15</v>
      </c>
      <c r="E4" t="s">
        <v>16</v>
      </c>
      <c r="F4" t="s">
        <v>15</v>
      </c>
      <c r="G4" t="s">
        <v>16</v>
      </c>
      <c r="H4" t="s">
        <v>15</v>
      </c>
      <c r="I4" t="s">
        <v>15</v>
      </c>
      <c r="J4" t="s">
        <v>15</v>
      </c>
      <c r="K4" t="s">
        <v>16</v>
      </c>
      <c r="L4" t="s">
        <v>15</v>
      </c>
      <c r="M4" t="s">
        <v>15</v>
      </c>
      <c r="N4" t="s">
        <v>16</v>
      </c>
    </row>
    <row r="5" spans="1:16" x14ac:dyDescent="0.25">
      <c r="A5">
        <v>5</v>
      </c>
      <c r="B5">
        <v>5.5900000000000004E-4</v>
      </c>
      <c r="C5">
        <v>3.3500000000000001E-4</v>
      </c>
      <c r="D5">
        <v>4.5600000000000003E-4</v>
      </c>
      <c r="E5">
        <v>2.34E-4</v>
      </c>
      <c r="F5">
        <v>3.4200000000000002E-4</v>
      </c>
      <c r="G5">
        <v>1.7100000000000001E-4</v>
      </c>
      <c r="H5">
        <v>0</v>
      </c>
      <c r="I5">
        <v>2.5700000000000001E-4</v>
      </c>
      <c r="J5">
        <v>2.5500000000000002E-4</v>
      </c>
      <c r="K5">
        <v>1.8799999999999999E-4</v>
      </c>
      <c r="L5">
        <v>1.8799999999999999E-4</v>
      </c>
      <c r="M5">
        <v>2.3699999999999999E-4</v>
      </c>
      <c r="N5">
        <v>1.75E-4</v>
      </c>
    </row>
    <row r="6" spans="1:16" x14ac:dyDescent="0.25">
      <c r="A6">
        <v>6</v>
      </c>
      <c r="B6">
        <v>5.1900000000000004E-4</v>
      </c>
      <c r="C6">
        <v>2.7500000000000002E-4</v>
      </c>
      <c r="D6">
        <v>4.2400000000000001E-4</v>
      </c>
      <c r="E6">
        <v>1.93E-4</v>
      </c>
      <c r="F6">
        <v>3.1799999999999998E-4</v>
      </c>
      <c r="G6">
        <v>1.3999999999999999E-4</v>
      </c>
      <c r="H6">
        <v>0</v>
      </c>
      <c r="I6">
        <v>2.2900000000000001E-4</v>
      </c>
      <c r="J6">
        <v>2.4399999999999999E-4</v>
      </c>
      <c r="K6">
        <v>1.76E-4</v>
      </c>
      <c r="L6">
        <v>1.7899999999999999E-4</v>
      </c>
      <c r="M6">
        <v>2.2699999999999999E-4</v>
      </c>
      <c r="N6">
        <v>1.63E-4</v>
      </c>
    </row>
    <row r="7" spans="1:16" x14ac:dyDescent="0.25">
      <c r="A7">
        <v>7</v>
      </c>
      <c r="B7">
        <v>4.9399999999999997E-4</v>
      </c>
      <c r="C7">
        <v>2.31E-4</v>
      </c>
      <c r="D7">
        <v>4.0299999999999998E-4</v>
      </c>
      <c r="E7">
        <v>1.6200000000000001E-4</v>
      </c>
      <c r="F7">
        <v>3.0200000000000002E-4</v>
      </c>
      <c r="G7">
        <v>1.18E-4</v>
      </c>
      <c r="H7">
        <v>0</v>
      </c>
      <c r="I7">
        <v>2.1000000000000001E-4</v>
      </c>
      <c r="J7">
        <v>2.34E-4</v>
      </c>
      <c r="K7">
        <v>1.65E-4</v>
      </c>
      <c r="L7">
        <v>1.7000000000000001E-4</v>
      </c>
      <c r="M7">
        <v>2.1699999999999999E-4</v>
      </c>
      <c r="N7">
        <v>1.5300000000000001E-4</v>
      </c>
    </row>
    <row r="8" spans="1:16" x14ac:dyDescent="0.25">
      <c r="A8">
        <v>8</v>
      </c>
      <c r="B8">
        <v>4.8099999999999998E-4</v>
      </c>
      <c r="C8">
        <v>2.04E-4</v>
      </c>
      <c r="D8">
        <v>3.9199999999999999E-4</v>
      </c>
      <c r="E8">
        <v>1.4300000000000001E-4</v>
      </c>
      <c r="F8">
        <v>2.9399999999999999E-4</v>
      </c>
      <c r="G8">
        <v>1.0399999999999999E-4</v>
      </c>
      <c r="H8">
        <v>0</v>
      </c>
      <c r="I8">
        <v>1.9900000000000001E-4</v>
      </c>
      <c r="J8">
        <v>2.1599999999999999E-4</v>
      </c>
      <c r="K8">
        <v>1.47E-4</v>
      </c>
      <c r="L8">
        <v>1.54E-4</v>
      </c>
      <c r="M8">
        <v>2.0100000000000001E-4</v>
      </c>
      <c r="N8">
        <v>1.37E-4</v>
      </c>
    </row>
    <row r="9" spans="1:16" x14ac:dyDescent="0.25">
      <c r="A9">
        <v>9</v>
      </c>
      <c r="B9">
        <v>4.7600000000000002E-4</v>
      </c>
      <c r="C9">
        <v>1.9100000000000001E-4</v>
      </c>
      <c r="D9">
        <v>3.8900000000000002E-4</v>
      </c>
      <c r="E9">
        <v>1.34E-4</v>
      </c>
      <c r="F9">
        <v>2.92E-4</v>
      </c>
      <c r="G9">
        <v>9.7E-5</v>
      </c>
      <c r="H9">
        <v>0</v>
      </c>
      <c r="I9">
        <v>1.95E-4</v>
      </c>
      <c r="J9">
        <v>2.0900000000000001E-4</v>
      </c>
      <c r="K9">
        <v>1.3999999999999999E-4</v>
      </c>
      <c r="L9">
        <v>1.4799999999999999E-4</v>
      </c>
      <c r="M9">
        <v>1.94E-4</v>
      </c>
      <c r="N9">
        <v>1.2999999999999999E-4</v>
      </c>
    </row>
    <row r="10" spans="1:16" x14ac:dyDescent="0.25">
      <c r="A10">
        <v>10</v>
      </c>
      <c r="B10">
        <v>4.7699999999999999E-4</v>
      </c>
      <c r="C10">
        <v>1.8900000000000001E-4</v>
      </c>
      <c r="D10">
        <v>3.8999999999999999E-4</v>
      </c>
      <c r="E10">
        <v>1.3200000000000001E-4</v>
      </c>
      <c r="F10">
        <v>2.9300000000000002E-4</v>
      </c>
      <c r="G10">
        <v>9.6000000000000002E-5</v>
      </c>
      <c r="H10">
        <v>0</v>
      </c>
      <c r="I10">
        <v>1.95E-4</v>
      </c>
      <c r="J10">
        <v>2.12E-4</v>
      </c>
      <c r="K10">
        <v>1.4100000000000001E-4</v>
      </c>
      <c r="L10">
        <v>1.4999999999999999E-4</v>
      </c>
      <c r="M10">
        <v>1.9699999999999999E-4</v>
      </c>
      <c r="N10">
        <v>1.3100000000000001E-4</v>
      </c>
    </row>
    <row r="11" spans="1:16" x14ac:dyDescent="0.25">
      <c r="A11">
        <v>11</v>
      </c>
      <c r="B11">
        <v>4.86E-4</v>
      </c>
      <c r="C11">
        <v>2.05E-4</v>
      </c>
      <c r="D11">
        <v>3.97E-4</v>
      </c>
      <c r="E11">
        <v>1.4300000000000001E-4</v>
      </c>
      <c r="F11">
        <v>2.9799999999999998E-4</v>
      </c>
      <c r="G11">
        <v>1.0399999999999999E-4</v>
      </c>
      <c r="H11">
        <v>0</v>
      </c>
      <c r="I11">
        <v>2.0100000000000001E-4</v>
      </c>
      <c r="J11">
        <v>2.23E-4</v>
      </c>
      <c r="K11">
        <v>1.4799999999999999E-4</v>
      </c>
      <c r="L11">
        <v>1.5799999999999999E-4</v>
      </c>
      <c r="M11">
        <v>2.0799999999999999E-4</v>
      </c>
      <c r="N11">
        <v>1.3799999999999999E-4</v>
      </c>
    </row>
    <row r="12" spans="1:16" x14ac:dyDescent="0.25">
      <c r="A12">
        <v>12</v>
      </c>
      <c r="B12">
        <v>4.9600000000000002E-4</v>
      </c>
      <c r="C12">
        <v>2.22E-4</v>
      </c>
      <c r="D12">
        <v>4.0499999999999998E-4</v>
      </c>
      <c r="E12">
        <v>1.55E-4</v>
      </c>
      <c r="F12">
        <v>3.0400000000000002E-4</v>
      </c>
      <c r="G12">
        <v>1.13E-4</v>
      </c>
      <c r="H12">
        <v>0</v>
      </c>
      <c r="I12">
        <v>2.0900000000000001E-4</v>
      </c>
      <c r="J12">
        <v>2.43E-4</v>
      </c>
      <c r="K12">
        <v>1.5899999999999999E-4</v>
      </c>
      <c r="L12">
        <v>1.7100000000000001E-4</v>
      </c>
      <c r="M12">
        <v>2.2599999999999999E-4</v>
      </c>
      <c r="N12">
        <v>1.4799999999999999E-4</v>
      </c>
    </row>
    <row r="13" spans="1:16" x14ac:dyDescent="0.25">
      <c r="A13">
        <v>13</v>
      </c>
      <c r="B13">
        <v>5.0600000000000005E-4</v>
      </c>
      <c r="C13">
        <v>2.3900000000000001E-4</v>
      </c>
      <c r="D13">
        <v>4.1300000000000001E-4</v>
      </c>
      <c r="E13">
        <v>1.6699999999999999E-4</v>
      </c>
      <c r="F13">
        <v>3.1E-4</v>
      </c>
      <c r="G13">
        <v>1.21E-4</v>
      </c>
      <c r="H13">
        <v>0</v>
      </c>
      <c r="I13">
        <v>2.1599999999999999E-4</v>
      </c>
      <c r="J13">
        <v>2.7500000000000002E-4</v>
      </c>
      <c r="K13">
        <v>1.7699999999999999E-4</v>
      </c>
      <c r="L13">
        <v>1.92E-4</v>
      </c>
      <c r="M13">
        <v>2.5500000000000002E-4</v>
      </c>
      <c r="N13">
        <v>1.64E-4</v>
      </c>
    </row>
    <row r="14" spans="1:16" x14ac:dyDescent="0.25">
      <c r="A14">
        <v>14</v>
      </c>
      <c r="B14">
        <v>5.1699999999999999E-4</v>
      </c>
      <c r="C14">
        <v>2.5700000000000001E-4</v>
      </c>
      <c r="D14">
        <v>4.2200000000000001E-4</v>
      </c>
      <c r="E14">
        <v>1.8000000000000001E-4</v>
      </c>
      <c r="F14">
        <v>3.1700000000000001E-4</v>
      </c>
      <c r="G14">
        <v>1.3100000000000001E-4</v>
      </c>
      <c r="H14">
        <v>0</v>
      </c>
      <c r="I14">
        <v>2.24E-4</v>
      </c>
      <c r="J14">
        <v>3.2000000000000003E-4</v>
      </c>
      <c r="K14">
        <v>2.03E-4</v>
      </c>
      <c r="L14">
        <v>2.2499999999999999E-4</v>
      </c>
      <c r="M14">
        <v>2.9700000000000001E-4</v>
      </c>
      <c r="N14">
        <v>1.8900000000000001E-4</v>
      </c>
    </row>
    <row r="15" spans="1:16" x14ac:dyDescent="0.25">
      <c r="A15">
        <v>15</v>
      </c>
      <c r="B15">
        <v>5.2999999999999998E-4</v>
      </c>
      <c r="C15">
        <v>2.7500000000000002E-4</v>
      </c>
      <c r="D15">
        <v>4.3300000000000001E-4</v>
      </c>
      <c r="E15">
        <v>1.93E-4</v>
      </c>
      <c r="F15">
        <v>3.2499999999999999E-4</v>
      </c>
      <c r="G15">
        <v>1.3999999999999999E-4</v>
      </c>
      <c r="H15">
        <v>1.4369999999999999E-3</v>
      </c>
      <c r="I15">
        <v>2.33E-4</v>
      </c>
      <c r="J15">
        <v>3.7100000000000002E-4</v>
      </c>
      <c r="K15">
        <v>2.33E-4</v>
      </c>
      <c r="L15">
        <v>2.6200000000000003E-4</v>
      </c>
      <c r="M15">
        <v>3.4499999999999998E-4</v>
      </c>
      <c r="N15">
        <v>2.1599999999999999E-4</v>
      </c>
    </row>
    <row r="16" spans="1:16" x14ac:dyDescent="0.25">
      <c r="A16">
        <v>16</v>
      </c>
      <c r="B16">
        <v>5.44E-4</v>
      </c>
      <c r="C16">
        <v>2.92E-4</v>
      </c>
      <c r="D16">
        <v>4.44E-4</v>
      </c>
      <c r="E16">
        <v>2.05E-4</v>
      </c>
      <c r="F16">
        <v>3.3300000000000002E-4</v>
      </c>
      <c r="G16">
        <v>1.4899999999999999E-4</v>
      </c>
      <c r="H16">
        <v>1.4139999999999999E-3</v>
      </c>
      <c r="I16">
        <v>2.41E-4</v>
      </c>
      <c r="J16">
        <v>4.2099999999999999E-4</v>
      </c>
      <c r="K16">
        <v>2.61E-4</v>
      </c>
      <c r="L16">
        <v>2.9599999999999998E-4</v>
      </c>
      <c r="M16">
        <v>3.9100000000000002E-4</v>
      </c>
      <c r="N16">
        <v>2.42E-4</v>
      </c>
    </row>
    <row r="17" spans="1:14" x14ac:dyDescent="0.25">
      <c r="A17">
        <v>17</v>
      </c>
      <c r="B17">
        <v>5.5999999999999995E-4</v>
      </c>
      <c r="C17">
        <v>3.1100000000000002E-4</v>
      </c>
      <c r="D17">
        <v>4.57E-4</v>
      </c>
      <c r="E17">
        <v>2.1800000000000001E-4</v>
      </c>
      <c r="F17">
        <v>3.4299999999999999E-4</v>
      </c>
      <c r="G17">
        <v>1.5899999999999999E-4</v>
      </c>
      <c r="H17">
        <v>1.3849999999999999E-3</v>
      </c>
      <c r="I17">
        <v>2.5099999999999998E-4</v>
      </c>
      <c r="J17">
        <v>4.6299999999999998E-4</v>
      </c>
      <c r="K17">
        <v>2.81E-4</v>
      </c>
      <c r="L17">
        <v>3.2400000000000001E-4</v>
      </c>
      <c r="M17">
        <v>4.2999999999999999E-4</v>
      </c>
      <c r="N17">
        <v>2.6200000000000003E-4</v>
      </c>
    </row>
    <row r="18" spans="1:14" x14ac:dyDescent="0.25">
      <c r="A18">
        <v>18</v>
      </c>
      <c r="B18">
        <v>5.7700000000000004E-4</v>
      </c>
      <c r="C18">
        <v>3.3E-4</v>
      </c>
      <c r="D18">
        <v>4.7100000000000001E-4</v>
      </c>
      <c r="E18">
        <v>2.31E-4</v>
      </c>
      <c r="F18">
        <v>3.5300000000000002E-4</v>
      </c>
      <c r="G18">
        <v>1.6799999999999999E-4</v>
      </c>
      <c r="H18">
        <v>1.351E-3</v>
      </c>
      <c r="I18">
        <v>2.61E-4</v>
      </c>
      <c r="J18">
        <v>4.95E-4</v>
      </c>
      <c r="K18">
        <v>2.9300000000000002E-4</v>
      </c>
      <c r="L18">
        <v>3.4299999999999999E-4</v>
      </c>
      <c r="M18">
        <v>4.6000000000000001E-4</v>
      </c>
      <c r="N18">
        <v>2.7300000000000002E-4</v>
      </c>
    </row>
    <row r="19" spans="1:14" x14ac:dyDescent="0.25">
      <c r="A19">
        <v>19</v>
      </c>
      <c r="B19">
        <v>5.9500000000000004E-4</v>
      </c>
      <c r="C19">
        <v>3.5E-4</v>
      </c>
      <c r="D19">
        <v>4.86E-4</v>
      </c>
      <c r="E19">
        <v>2.4499999999999999E-4</v>
      </c>
      <c r="F19">
        <v>3.6499999999999998E-4</v>
      </c>
      <c r="G19">
        <v>1.7899999999999999E-4</v>
      </c>
      <c r="H19">
        <v>1.3110000000000001E-3</v>
      </c>
      <c r="I19">
        <v>2.72E-4</v>
      </c>
      <c r="J19">
        <v>5.2099999999999998E-4</v>
      </c>
      <c r="K19">
        <v>3.01E-4</v>
      </c>
      <c r="L19">
        <v>3.57E-4</v>
      </c>
      <c r="M19">
        <v>4.84E-4</v>
      </c>
      <c r="N19">
        <v>2.7999999999999998E-4</v>
      </c>
    </row>
    <row r="20" spans="1:14" x14ac:dyDescent="0.25">
      <c r="A20">
        <v>20</v>
      </c>
      <c r="B20">
        <v>6.1600000000000001E-4</v>
      </c>
      <c r="C20">
        <v>3.7100000000000002E-4</v>
      </c>
      <c r="D20">
        <v>5.0299999999999997E-4</v>
      </c>
      <c r="E20">
        <v>2.5999999999999998E-4</v>
      </c>
      <c r="F20">
        <v>3.77E-4</v>
      </c>
      <c r="G20">
        <v>1.8900000000000001E-4</v>
      </c>
      <c r="H20">
        <v>1.2669999999999999E-3</v>
      </c>
      <c r="I20">
        <v>2.8299999999999999E-4</v>
      </c>
      <c r="J20">
        <v>5.4500000000000002E-4</v>
      </c>
      <c r="K20">
        <v>3.0499999999999999E-4</v>
      </c>
      <c r="L20">
        <v>3.68E-4</v>
      </c>
      <c r="M20">
        <v>5.0699999999999996E-4</v>
      </c>
      <c r="N20">
        <v>2.8400000000000002E-4</v>
      </c>
    </row>
    <row r="21" spans="1:14" x14ac:dyDescent="0.25">
      <c r="A21">
        <v>21</v>
      </c>
      <c r="B21">
        <v>6.4000000000000005E-4</v>
      </c>
      <c r="C21">
        <v>3.9300000000000001E-4</v>
      </c>
      <c r="D21">
        <v>5.22E-4</v>
      </c>
      <c r="E21">
        <v>2.7500000000000002E-4</v>
      </c>
      <c r="F21">
        <v>3.9199999999999999E-4</v>
      </c>
      <c r="G21">
        <v>2.0100000000000001E-4</v>
      </c>
      <c r="H21">
        <v>1.219E-3</v>
      </c>
      <c r="I21">
        <v>2.9700000000000001E-4</v>
      </c>
      <c r="J21">
        <v>5.6999999999999998E-4</v>
      </c>
      <c r="K21">
        <v>3.0800000000000001E-4</v>
      </c>
      <c r="L21">
        <v>3.8099999999999999E-4</v>
      </c>
      <c r="M21">
        <v>5.2999999999999998E-4</v>
      </c>
      <c r="N21">
        <v>2.8600000000000001E-4</v>
      </c>
    </row>
    <row r="22" spans="1:14" x14ac:dyDescent="0.25">
      <c r="A22">
        <v>22</v>
      </c>
      <c r="B22">
        <v>6.6600000000000003E-4</v>
      </c>
      <c r="C22">
        <v>4.1599999999999997E-4</v>
      </c>
      <c r="D22">
        <v>5.44E-4</v>
      </c>
      <c r="E22">
        <v>2.92E-4</v>
      </c>
      <c r="F22">
        <v>4.08E-4</v>
      </c>
      <c r="G22">
        <v>2.12E-4</v>
      </c>
      <c r="H22">
        <v>1.1670000000000001E-3</v>
      </c>
      <c r="I22">
        <v>3.1E-4</v>
      </c>
      <c r="J22">
        <v>5.9800000000000001E-4</v>
      </c>
      <c r="K22">
        <v>3.1100000000000002E-4</v>
      </c>
      <c r="L22">
        <v>3.9599999999999998E-4</v>
      </c>
      <c r="M22">
        <v>5.5599999999999996E-4</v>
      </c>
      <c r="N22">
        <v>2.8899999999999998E-4</v>
      </c>
    </row>
    <row r="23" spans="1:14" x14ac:dyDescent="0.25">
      <c r="A23">
        <v>23</v>
      </c>
      <c r="B23">
        <v>6.9300000000000004E-4</v>
      </c>
      <c r="C23">
        <v>4.4000000000000002E-4</v>
      </c>
      <c r="D23">
        <v>5.6599999999999999E-4</v>
      </c>
      <c r="E23">
        <v>3.0899999999999998E-4</v>
      </c>
      <c r="F23">
        <v>4.2400000000000001E-4</v>
      </c>
      <c r="G23">
        <v>2.2499999999999999E-4</v>
      </c>
      <c r="H23">
        <v>1.1490000000000001E-3</v>
      </c>
      <c r="I23">
        <v>3.2499999999999999E-4</v>
      </c>
      <c r="J23">
        <v>6.3299999999999999E-4</v>
      </c>
      <c r="K23">
        <v>3.1300000000000002E-4</v>
      </c>
      <c r="L23">
        <v>4.1800000000000002E-4</v>
      </c>
      <c r="M23">
        <v>5.8900000000000001E-4</v>
      </c>
      <c r="N23">
        <v>2.92E-4</v>
      </c>
    </row>
    <row r="24" spans="1:14" x14ac:dyDescent="0.25">
      <c r="A24">
        <v>24</v>
      </c>
      <c r="B24">
        <v>7.2400000000000003E-4</v>
      </c>
      <c r="C24">
        <v>4.6700000000000002E-4</v>
      </c>
      <c r="D24">
        <v>5.9100000000000005E-4</v>
      </c>
      <c r="E24">
        <v>3.2699999999999998E-4</v>
      </c>
      <c r="F24">
        <v>4.44E-4</v>
      </c>
      <c r="G24">
        <v>2.3800000000000001E-4</v>
      </c>
      <c r="H24">
        <v>1.129E-3</v>
      </c>
      <c r="I24">
        <v>3.4099999999999999E-4</v>
      </c>
      <c r="J24">
        <v>6.7100000000000005E-4</v>
      </c>
      <c r="K24">
        <v>3.1300000000000002E-4</v>
      </c>
      <c r="L24">
        <v>4.4099999999999999E-4</v>
      </c>
      <c r="M24">
        <v>6.2399999999999999E-4</v>
      </c>
      <c r="N24">
        <v>2.9100000000000003E-4</v>
      </c>
    </row>
    <row r="25" spans="1:14" x14ac:dyDescent="0.25">
      <c r="A25">
        <v>25</v>
      </c>
      <c r="B25">
        <v>7.5799999999999999E-4</v>
      </c>
      <c r="C25">
        <v>4.95E-4</v>
      </c>
      <c r="D25">
        <v>6.1899999999999998E-4</v>
      </c>
      <c r="E25">
        <v>3.4699999999999998E-4</v>
      </c>
      <c r="F25">
        <v>4.64E-4</v>
      </c>
      <c r="G25">
        <v>2.5300000000000002E-4</v>
      </c>
      <c r="H25">
        <v>1.1069999999999999E-3</v>
      </c>
      <c r="I25">
        <v>3.59E-4</v>
      </c>
      <c r="J25">
        <v>7.1100000000000004E-4</v>
      </c>
      <c r="K25">
        <v>3.1300000000000002E-4</v>
      </c>
      <c r="L25">
        <v>4.6799999999999999E-4</v>
      </c>
      <c r="M25">
        <v>6.6100000000000002E-4</v>
      </c>
      <c r="N25">
        <v>2.9100000000000003E-4</v>
      </c>
    </row>
    <row r="26" spans="1:14" x14ac:dyDescent="0.25">
      <c r="A26">
        <v>26</v>
      </c>
      <c r="B26">
        <v>7.9600000000000005E-4</v>
      </c>
      <c r="C26">
        <v>5.2400000000000005E-4</v>
      </c>
      <c r="D26">
        <v>6.4999999999999997E-4</v>
      </c>
      <c r="E26">
        <v>3.68E-4</v>
      </c>
      <c r="F26">
        <v>4.8799999999999999E-4</v>
      </c>
      <c r="G26">
        <v>2.6800000000000001E-4</v>
      </c>
      <c r="H26">
        <v>1.083E-3</v>
      </c>
      <c r="I26">
        <v>3.7800000000000003E-4</v>
      </c>
      <c r="J26">
        <v>7.4899999999999999E-4</v>
      </c>
      <c r="K26">
        <v>3.1599999999999998E-4</v>
      </c>
      <c r="L26">
        <v>5.0000000000000001E-4</v>
      </c>
      <c r="M26">
        <v>6.96E-4</v>
      </c>
      <c r="N26">
        <v>2.9399999999999999E-4</v>
      </c>
    </row>
    <row r="27" spans="1:14" x14ac:dyDescent="0.25">
      <c r="A27">
        <v>27</v>
      </c>
      <c r="B27">
        <v>8.3799999999999999E-4</v>
      </c>
      <c r="C27">
        <v>5.5599999999999996E-4</v>
      </c>
      <c r="D27">
        <v>6.8400000000000004E-4</v>
      </c>
      <c r="E27">
        <v>3.8999999999999999E-4</v>
      </c>
      <c r="F27">
        <v>5.13E-4</v>
      </c>
      <c r="G27">
        <v>2.8299999999999999E-4</v>
      </c>
      <c r="H27">
        <v>1.0579999999999999E-3</v>
      </c>
      <c r="I27">
        <v>3.9800000000000002E-4</v>
      </c>
      <c r="J27">
        <v>7.8200000000000003E-4</v>
      </c>
      <c r="K27">
        <v>3.2400000000000001E-4</v>
      </c>
      <c r="L27">
        <v>5.2300000000000003E-4</v>
      </c>
      <c r="M27">
        <v>7.27E-4</v>
      </c>
      <c r="N27">
        <v>3.0200000000000002E-4</v>
      </c>
    </row>
    <row r="28" spans="1:14" x14ac:dyDescent="0.25">
      <c r="A28">
        <v>28</v>
      </c>
      <c r="B28">
        <v>8.8500000000000004E-4</v>
      </c>
      <c r="C28">
        <v>5.9100000000000005E-4</v>
      </c>
      <c r="D28">
        <v>7.2199999999999999E-4</v>
      </c>
      <c r="E28">
        <v>4.1399999999999998E-4</v>
      </c>
      <c r="F28">
        <v>5.4199999999999995E-4</v>
      </c>
      <c r="G28">
        <v>3.01E-4</v>
      </c>
      <c r="H28">
        <v>1.083E-3</v>
      </c>
      <c r="I28">
        <v>4.2200000000000001E-4</v>
      </c>
      <c r="J28">
        <v>8.1099999999999998E-4</v>
      </c>
      <c r="K28">
        <v>3.3799999999999998E-4</v>
      </c>
      <c r="L28">
        <v>5.4299999999999997E-4</v>
      </c>
      <c r="M28">
        <v>7.54E-4</v>
      </c>
      <c r="N28">
        <v>3.1399999999999999E-4</v>
      </c>
    </row>
    <row r="29" spans="1:14" x14ac:dyDescent="0.25">
      <c r="A29">
        <v>29</v>
      </c>
      <c r="B29">
        <v>9.3499999999999996E-4</v>
      </c>
      <c r="C29">
        <v>6.2799999999999998E-4</v>
      </c>
      <c r="D29">
        <v>7.6300000000000001E-4</v>
      </c>
      <c r="E29">
        <v>4.4000000000000002E-4</v>
      </c>
      <c r="F29">
        <v>5.7200000000000003E-4</v>
      </c>
      <c r="G29">
        <v>3.2000000000000003E-4</v>
      </c>
      <c r="H29">
        <v>1.111E-3</v>
      </c>
      <c r="I29">
        <v>4.46E-4</v>
      </c>
      <c r="J29">
        <v>8.3799999999999999E-4</v>
      </c>
      <c r="K29">
        <v>3.5599999999999998E-4</v>
      </c>
      <c r="L29">
        <v>5.6400000000000005E-4</v>
      </c>
      <c r="M29">
        <v>7.7899999999999996E-4</v>
      </c>
      <c r="N29">
        <v>3.3100000000000002E-4</v>
      </c>
    </row>
    <row r="30" spans="1:14" x14ac:dyDescent="0.25">
      <c r="A30">
        <v>30</v>
      </c>
      <c r="B30">
        <v>9.9099999999999991E-4</v>
      </c>
      <c r="C30">
        <v>6.69E-4</v>
      </c>
      <c r="D30">
        <v>8.0900000000000004E-4</v>
      </c>
      <c r="E30">
        <v>4.6900000000000002E-4</v>
      </c>
      <c r="F30">
        <v>6.0700000000000001E-4</v>
      </c>
      <c r="G30">
        <v>3.4200000000000002E-4</v>
      </c>
      <c r="H30">
        <v>1.1410000000000001E-3</v>
      </c>
      <c r="I30">
        <v>4.75E-4</v>
      </c>
      <c r="J30">
        <v>8.6200000000000003E-4</v>
      </c>
      <c r="K30">
        <v>3.77E-4</v>
      </c>
      <c r="L30">
        <v>5.8799999999999998E-4</v>
      </c>
      <c r="M30">
        <v>8.0099999999999995E-4</v>
      </c>
      <c r="N30">
        <v>3.5100000000000002E-4</v>
      </c>
    </row>
    <row r="31" spans="1:14" x14ac:dyDescent="0.25">
      <c r="A31">
        <v>31</v>
      </c>
      <c r="B31">
        <v>1.054E-3</v>
      </c>
      <c r="C31">
        <v>7.1199999999999996E-4</v>
      </c>
      <c r="D31">
        <v>8.5999999999999998E-4</v>
      </c>
      <c r="E31">
        <v>4.9899999999999999E-4</v>
      </c>
      <c r="F31">
        <v>6.4499999999999996E-4</v>
      </c>
      <c r="G31">
        <v>3.6400000000000001E-4</v>
      </c>
      <c r="H31">
        <v>1.173E-3</v>
      </c>
      <c r="I31">
        <v>5.0500000000000002E-4</v>
      </c>
      <c r="J31">
        <v>8.83E-4</v>
      </c>
      <c r="K31">
        <v>4.0099999999999999E-4</v>
      </c>
      <c r="L31">
        <v>6.1200000000000002E-4</v>
      </c>
      <c r="M31">
        <v>8.2100000000000001E-4</v>
      </c>
      <c r="N31">
        <v>3.7300000000000001E-4</v>
      </c>
    </row>
    <row r="32" spans="1:14" x14ac:dyDescent="0.25">
      <c r="A32">
        <v>32</v>
      </c>
      <c r="B32">
        <v>1.122E-3</v>
      </c>
      <c r="C32">
        <v>7.6000000000000004E-4</v>
      </c>
      <c r="D32">
        <v>9.1600000000000004E-4</v>
      </c>
      <c r="E32">
        <v>5.3300000000000005E-4</v>
      </c>
      <c r="F32">
        <v>6.87E-4</v>
      </c>
      <c r="G32">
        <v>3.88E-4</v>
      </c>
      <c r="H32">
        <v>1.2080000000000001E-3</v>
      </c>
      <c r="I32">
        <v>5.3799999999999996E-4</v>
      </c>
      <c r="J32">
        <v>9.0200000000000002E-4</v>
      </c>
      <c r="K32">
        <v>4.2700000000000002E-4</v>
      </c>
      <c r="L32">
        <v>6.3299999999999999E-4</v>
      </c>
      <c r="M32">
        <v>8.3900000000000001E-4</v>
      </c>
      <c r="N32">
        <v>3.97E-4</v>
      </c>
    </row>
    <row r="33" spans="1:14" x14ac:dyDescent="0.25">
      <c r="A33">
        <v>33</v>
      </c>
      <c r="B33">
        <v>1.1980000000000001E-3</v>
      </c>
      <c r="C33">
        <v>8.12E-4</v>
      </c>
      <c r="D33">
        <v>9.7799999999999992E-4</v>
      </c>
      <c r="E33">
        <v>5.6899999999999995E-4</v>
      </c>
      <c r="F33">
        <v>7.3399999999999995E-4</v>
      </c>
      <c r="G33">
        <v>4.1399999999999998E-4</v>
      </c>
      <c r="H33">
        <v>1.297E-3</v>
      </c>
      <c r="I33">
        <v>5.7399999999999997E-4</v>
      </c>
      <c r="J33">
        <v>9.1200000000000005E-4</v>
      </c>
      <c r="K33">
        <v>4.5399999999999998E-4</v>
      </c>
      <c r="L33">
        <v>6.4899999999999995E-4</v>
      </c>
      <c r="M33">
        <v>8.4800000000000001E-4</v>
      </c>
      <c r="N33">
        <v>4.2200000000000001E-4</v>
      </c>
    </row>
    <row r="34" spans="1:14" x14ac:dyDescent="0.25">
      <c r="A34">
        <v>34</v>
      </c>
      <c r="B34">
        <v>1.281E-3</v>
      </c>
      <c r="C34">
        <v>8.6799999999999996E-4</v>
      </c>
      <c r="D34">
        <v>1.0460000000000001E-3</v>
      </c>
      <c r="E34">
        <v>6.0800000000000003E-4</v>
      </c>
      <c r="F34">
        <v>7.85E-4</v>
      </c>
      <c r="G34">
        <v>4.4299999999999998E-4</v>
      </c>
      <c r="H34">
        <v>1.3979999999999999E-3</v>
      </c>
      <c r="I34">
        <v>6.1399999999999996E-4</v>
      </c>
      <c r="J34">
        <v>9.1299999999999997E-4</v>
      </c>
      <c r="K34">
        <v>4.8200000000000001E-4</v>
      </c>
      <c r="L34">
        <v>6.6100000000000002E-4</v>
      </c>
      <c r="M34">
        <v>8.4900000000000004E-4</v>
      </c>
      <c r="N34">
        <v>4.4900000000000002E-4</v>
      </c>
    </row>
    <row r="35" spans="1:14" x14ac:dyDescent="0.25">
      <c r="A35">
        <v>35</v>
      </c>
      <c r="B35">
        <v>1.374E-3</v>
      </c>
      <c r="C35">
        <v>9.3000000000000005E-4</v>
      </c>
      <c r="D35">
        <v>1.122E-3</v>
      </c>
      <c r="E35">
        <v>6.5099999999999999E-4</v>
      </c>
      <c r="F35">
        <v>8.5999999999999998E-4</v>
      </c>
      <c r="G35">
        <v>4.7600000000000002E-4</v>
      </c>
      <c r="H35">
        <v>1.513E-3</v>
      </c>
      <c r="I35">
        <v>6.6799999999999997E-4</v>
      </c>
      <c r="J35">
        <v>9.1500000000000001E-4</v>
      </c>
      <c r="K35">
        <v>5.1400000000000003E-4</v>
      </c>
      <c r="L35">
        <v>6.7500000000000004E-4</v>
      </c>
      <c r="M35">
        <v>8.5099999999999998E-4</v>
      </c>
      <c r="N35">
        <v>4.7800000000000002E-4</v>
      </c>
    </row>
    <row r="36" spans="1:14" x14ac:dyDescent="0.25">
      <c r="A36">
        <v>36</v>
      </c>
      <c r="B36">
        <v>1.475E-3</v>
      </c>
      <c r="C36">
        <v>9.9700000000000006E-4</v>
      </c>
      <c r="D36">
        <v>1.204E-3</v>
      </c>
      <c r="E36">
        <v>6.9800000000000005E-4</v>
      </c>
      <c r="F36">
        <v>9.0700000000000004E-4</v>
      </c>
      <c r="G36">
        <v>5.0199999999999995E-4</v>
      </c>
      <c r="H36">
        <v>1.6429999999999999E-3</v>
      </c>
      <c r="I36">
        <v>7.0500000000000001E-4</v>
      </c>
      <c r="J36">
        <v>9.2699999999999998E-4</v>
      </c>
      <c r="K36">
        <v>5.5000000000000003E-4</v>
      </c>
      <c r="L36">
        <v>6.9499999999999998E-4</v>
      </c>
      <c r="M36">
        <v>8.6200000000000003E-4</v>
      </c>
      <c r="N36">
        <v>5.1199999999999998E-4</v>
      </c>
    </row>
    <row r="37" spans="1:14" x14ac:dyDescent="0.25">
      <c r="A37">
        <v>37</v>
      </c>
      <c r="B37">
        <v>1.5870000000000001E-3</v>
      </c>
      <c r="C37">
        <v>1.0709999999999999E-3</v>
      </c>
      <c r="D37">
        <v>1.2949999999999999E-3</v>
      </c>
      <c r="E37">
        <v>7.5000000000000002E-4</v>
      </c>
      <c r="F37">
        <v>9.6599999999999995E-4</v>
      </c>
      <c r="G37">
        <v>5.3499999999999999E-4</v>
      </c>
      <c r="H37">
        <v>1.792E-3</v>
      </c>
      <c r="I37">
        <v>7.5100000000000004E-4</v>
      </c>
      <c r="J37">
        <v>9.5799999999999998E-4</v>
      </c>
      <c r="K37">
        <v>5.9299999999999999E-4</v>
      </c>
      <c r="L37">
        <v>7.27E-4</v>
      </c>
      <c r="M37">
        <v>8.9099999999999997E-4</v>
      </c>
      <c r="N37">
        <v>5.5099999999999995E-4</v>
      </c>
    </row>
    <row r="38" spans="1:14" x14ac:dyDescent="0.25">
      <c r="A38">
        <v>38</v>
      </c>
      <c r="B38">
        <v>1.7110000000000001E-3</v>
      </c>
      <c r="C38">
        <v>1.152E-3</v>
      </c>
      <c r="D38">
        <v>1.397E-3</v>
      </c>
      <c r="E38">
        <v>8.0699999999999999E-4</v>
      </c>
      <c r="F38">
        <v>1.039E-3</v>
      </c>
      <c r="G38">
        <v>5.7300000000000005E-4</v>
      </c>
      <c r="H38">
        <v>1.9480000000000001E-3</v>
      </c>
      <c r="I38">
        <v>8.0599999999999997E-4</v>
      </c>
      <c r="J38">
        <v>1.01E-3</v>
      </c>
      <c r="K38">
        <v>6.4300000000000002E-4</v>
      </c>
      <c r="L38">
        <v>7.6800000000000002E-4</v>
      </c>
      <c r="M38">
        <v>9.3899999999999995E-4</v>
      </c>
      <c r="N38">
        <v>5.9800000000000001E-4</v>
      </c>
    </row>
    <row r="39" spans="1:14" x14ac:dyDescent="0.25">
      <c r="A39">
        <v>39</v>
      </c>
      <c r="B39">
        <v>1.8489999999999999E-3</v>
      </c>
      <c r="C39">
        <v>1.24E-3</v>
      </c>
      <c r="D39">
        <v>1.5089999999999999E-3</v>
      </c>
      <c r="E39">
        <v>8.6899999999999998E-4</v>
      </c>
      <c r="F39">
        <v>1.1280000000000001E-3</v>
      </c>
      <c r="G39">
        <v>6.1700000000000004E-4</v>
      </c>
      <c r="H39">
        <v>2.1250000000000002E-3</v>
      </c>
      <c r="I39">
        <v>8.7299999999999997E-4</v>
      </c>
      <c r="J39">
        <v>1.075E-3</v>
      </c>
      <c r="K39">
        <v>7.0100000000000002E-4</v>
      </c>
      <c r="L39">
        <v>8.1899999999999996E-4</v>
      </c>
      <c r="M39">
        <v>9.990000000000001E-4</v>
      </c>
      <c r="N39">
        <v>6.5200000000000002E-4</v>
      </c>
    </row>
    <row r="40" spans="1:14" x14ac:dyDescent="0.25">
      <c r="A40">
        <v>40</v>
      </c>
      <c r="B40">
        <v>2E-3</v>
      </c>
      <c r="C40">
        <v>1.338E-3</v>
      </c>
      <c r="D40">
        <v>1.6329999999999999E-3</v>
      </c>
      <c r="E40">
        <v>9.3800000000000003E-4</v>
      </c>
      <c r="F40">
        <v>1.238E-3</v>
      </c>
      <c r="G40">
        <v>6.6500000000000001E-4</v>
      </c>
      <c r="H40">
        <v>2.3270000000000001E-3</v>
      </c>
      <c r="I40">
        <v>9.5200000000000005E-4</v>
      </c>
      <c r="J40">
        <v>1.1529999999999999E-3</v>
      </c>
      <c r="K40">
        <v>7.6300000000000001E-4</v>
      </c>
      <c r="L40">
        <v>8.7900000000000001E-4</v>
      </c>
      <c r="M40">
        <v>1.072E-3</v>
      </c>
      <c r="N40">
        <v>7.0899999999999999E-4</v>
      </c>
    </row>
    <row r="41" spans="1:14" x14ac:dyDescent="0.25">
      <c r="A41">
        <v>41</v>
      </c>
      <c r="B41">
        <v>2.1919999999999999E-3</v>
      </c>
      <c r="C41">
        <v>1.446E-3</v>
      </c>
      <c r="D41">
        <v>1.789E-3</v>
      </c>
      <c r="E41">
        <v>1.013E-3</v>
      </c>
      <c r="F41">
        <v>1.3699999999999999E-3</v>
      </c>
      <c r="G41">
        <v>7.1599999999999995E-4</v>
      </c>
      <c r="H41">
        <v>2.5560000000000001E-3</v>
      </c>
      <c r="I41">
        <v>1.0430000000000001E-3</v>
      </c>
      <c r="J41">
        <v>1.243E-3</v>
      </c>
      <c r="K41">
        <v>8.2600000000000002E-4</v>
      </c>
      <c r="L41">
        <v>9.4399999999999996E-4</v>
      </c>
      <c r="M41">
        <v>1.1559999999999999E-3</v>
      </c>
      <c r="N41">
        <v>7.6800000000000002E-4</v>
      </c>
    </row>
    <row r="42" spans="1:14" x14ac:dyDescent="0.25">
      <c r="A42">
        <v>42</v>
      </c>
      <c r="B42">
        <v>2.4499999999999999E-3</v>
      </c>
      <c r="C42">
        <v>1.5629999999999999E-3</v>
      </c>
      <c r="D42">
        <v>2E-3</v>
      </c>
      <c r="E42">
        <v>1.0939999999999999E-3</v>
      </c>
      <c r="F42">
        <v>1.5269999999999999E-3</v>
      </c>
      <c r="G42">
        <v>7.7499999999999997E-4</v>
      </c>
      <c r="H42">
        <v>2.8180000000000002E-3</v>
      </c>
      <c r="I42">
        <v>1.1509999999999999E-3</v>
      </c>
      <c r="J42">
        <v>1.346E-3</v>
      </c>
      <c r="K42">
        <v>8.8800000000000001E-4</v>
      </c>
      <c r="L42">
        <v>1.0139999999999999E-3</v>
      </c>
      <c r="M42">
        <v>1.2520000000000001E-3</v>
      </c>
      <c r="N42">
        <v>8.25E-4</v>
      </c>
    </row>
    <row r="43" spans="1:14" x14ac:dyDescent="0.25">
      <c r="A43">
        <v>43</v>
      </c>
      <c r="B43">
        <v>2.7690000000000002E-3</v>
      </c>
      <c r="C43">
        <v>1.694E-3</v>
      </c>
      <c r="D43">
        <v>2.2599999999999999E-3</v>
      </c>
      <c r="E43">
        <v>1.186E-3</v>
      </c>
      <c r="F43">
        <v>1.7149999999999999E-3</v>
      </c>
      <c r="G43">
        <v>8.4099999999999995E-4</v>
      </c>
      <c r="H43">
        <v>3.0950000000000001E-3</v>
      </c>
      <c r="I43">
        <v>1.2780000000000001E-3</v>
      </c>
      <c r="J43">
        <v>1.454E-3</v>
      </c>
      <c r="K43">
        <v>9.4300000000000004E-4</v>
      </c>
      <c r="L43">
        <v>1.083E-3</v>
      </c>
      <c r="M43">
        <v>1.3519999999999999E-3</v>
      </c>
      <c r="N43">
        <v>8.7699999999999996E-4</v>
      </c>
    </row>
    <row r="44" spans="1:14" x14ac:dyDescent="0.25">
      <c r="A44">
        <v>44</v>
      </c>
      <c r="B44">
        <v>3.1470000000000001E-3</v>
      </c>
      <c r="C44">
        <v>1.836E-3</v>
      </c>
      <c r="D44">
        <v>2.5690000000000001E-3</v>
      </c>
      <c r="E44">
        <v>1.286E-3</v>
      </c>
      <c r="F44">
        <v>1.9319999999999999E-3</v>
      </c>
      <c r="G44">
        <v>9.19E-4</v>
      </c>
      <c r="H44">
        <v>3.4099999999999998E-3</v>
      </c>
      <c r="I44">
        <v>1.426E-3</v>
      </c>
      <c r="J44">
        <v>1.5679999999999999E-3</v>
      </c>
      <c r="K44">
        <v>9.9200000000000004E-4</v>
      </c>
      <c r="L44">
        <v>1.1509999999999999E-3</v>
      </c>
      <c r="M44">
        <v>1.4580000000000001E-3</v>
      </c>
      <c r="N44">
        <v>9.2299999999999999E-4</v>
      </c>
    </row>
    <row r="45" spans="1:14" x14ac:dyDescent="0.25">
      <c r="A45">
        <v>45</v>
      </c>
      <c r="B45">
        <v>3.5799999999999998E-3</v>
      </c>
      <c r="C45">
        <v>1.9940000000000001E-3</v>
      </c>
      <c r="D45">
        <v>2.9220000000000001E-3</v>
      </c>
      <c r="E45">
        <v>1.397E-3</v>
      </c>
      <c r="F45">
        <v>2.183E-3</v>
      </c>
      <c r="G45">
        <v>1.01E-3</v>
      </c>
      <c r="H45">
        <v>3.7690000000000002E-3</v>
      </c>
      <c r="I45">
        <v>1.5969999999999999E-3</v>
      </c>
      <c r="J45">
        <v>1.6969999999999999E-3</v>
      </c>
      <c r="K45">
        <v>1.0460000000000001E-3</v>
      </c>
      <c r="L45">
        <v>1.224E-3</v>
      </c>
      <c r="M45">
        <v>1.578E-3</v>
      </c>
      <c r="N45">
        <v>9.7300000000000002E-4</v>
      </c>
    </row>
    <row r="46" spans="1:14" x14ac:dyDescent="0.25">
      <c r="A46">
        <v>46</v>
      </c>
      <c r="B46">
        <v>4.065E-3</v>
      </c>
      <c r="C46">
        <v>2.1689999999999999E-3</v>
      </c>
      <c r="D46">
        <v>3.3180000000000002E-3</v>
      </c>
      <c r="E46">
        <v>1.519E-3</v>
      </c>
      <c r="F46">
        <v>2.4710000000000001E-3</v>
      </c>
      <c r="G46">
        <v>1.1169999999999999E-3</v>
      </c>
      <c r="H46">
        <v>4.1799999999999997E-3</v>
      </c>
      <c r="I46">
        <v>1.794E-3</v>
      </c>
      <c r="J46">
        <v>1.8519999999999999E-3</v>
      </c>
      <c r="K46">
        <v>1.111E-3</v>
      </c>
      <c r="L46">
        <v>1.312E-3</v>
      </c>
      <c r="M46">
        <v>1.722E-3</v>
      </c>
      <c r="N46">
        <v>1.0330000000000001E-3</v>
      </c>
    </row>
    <row r="47" spans="1:14" x14ac:dyDescent="0.25">
      <c r="A47">
        <v>47</v>
      </c>
      <c r="B47">
        <v>4.5989999999999998E-3</v>
      </c>
      <c r="C47">
        <v>2.3609999999999998E-3</v>
      </c>
      <c r="D47">
        <v>3.754E-3</v>
      </c>
      <c r="E47">
        <v>1.6540000000000001E-3</v>
      </c>
      <c r="F47">
        <v>2.7899999999999999E-3</v>
      </c>
      <c r="G47">
        <v>1.237E-3</v>
      </c>
      <c r="H47">
        <v>4.6350000000000002E-3</v>
      </c>
      <c r="I47">
        <v>2.0140000000000002E-3</v>
      </c>
      <c r="J47">
        <v>2.042E-3</v>
      </c>
      <c r="K47">
        <v>1.196E-3</v>
      </c>
      <c r="L47">
        <v>1.4220000000000001E-3</v>
      </c>
      <c r="M47">
        <v>1.8990000000000001E-3</v>
      </c>
      <c r="N47">
        <v>1.1119999999999999E-3</v>
      </c>
    </row>
    <row r="48" spans="1:14" x14ac:dyDescent="0.25">
      <c r="A48">
        <v>48</v>
      </c>
      <c r="B48">
        <v>5.1799999999999997E-3</v>
      </c>
      <c r="C48">
        <v>2.5730000000000002E-3</v>
      </c>
      <c r="D48">
        <v>4.228E-3</v>
      </c>
      <c r="E48">
        <v>1.802E-3</v>
      </c>
      <c r="F48">
        <v>3.1380000000000002E-3</v>
      </c>
      <c r="G48">
        <v>1.366E-3</v>
      </c>
      <c r="H48">
        <v>5.1029999999999999E-3</v>
      </c>
      <c r="I48">
        <v>2.2520000000000001E-3</v>
      </c>
      <c r="J48">
        <v>2.2599999999999999E-3</v>
      </c>
      <c r="K48">
        <v>1.297E-3</v>
      </c>
      <c r="L48">
        <v>1.554E-3</v>
      </c>
      <c r="M48">
        <v>2.1020000000000001E-3</v>
      </c>
      <c r="N48">
        <v>1.206E-3</v>
      </c>
    </row>
    <row r="49" spans="1:14" x14ac:dyDescent="0.25">
      <c r="A49">
        <v>49</v>
      </c>
      <c r="B49">
        <v>5.8069999999999997E-3</v>
      </c>
      <c r="C49">
        <v>2.8089999999999999E-3</v>
      </c>
      <c r="D49">
        <v>4.7400000000000003E-3</v>
      </c>
      <c r="E49">
        <v>1.967E-3</v>
      </c>
      <c r="F49">
        <v>3.5130000000000001E-3</v>
      </c>
      <c r="G49">
        <v>1.505E-3</v>
      </c>
      <c r="H49">
        <v>5.6160000000000003E-3</v>
      </c>
      <c r="I49">
        <v>2.5089999999999999E-3</v>
      </c>
      <c r="J49">
        <v>2.5010000000000002E-3</v>
      </c>
      <c r="K49">
        <v>1.408E-3</v>
      </c>
      <c r="L49">
        <v>1.699E-3</v>
      </c>
      <c r="M49">
        <v>2.3259999999999999E-3</v>
      </c>
      <c r="N49">
        <v>1.31E-3</v>
      </c>
    </row>
    <row r="50" spans="1:14" x14ac:dyDescent="0.25">
      <c r="A50">
        <v>50</v>
      </c>
      <c r="B50">
        <v>6.4749999999999999E-3</v>
      </c>
      <c r="C50">
        <v>3.0699999999999998E-3</v>
      </c>
      <c r="D50">
        <v>5.2849999999999998E-3</v>
      </c>
      <c r="E50">
        <v>2.1510000000000001E-3</v>
      </c>
      <c r="F50">
        <v>3.9090000000000001E-3</v>
      </c>
      <c r="G50">
        <v>1.647E-3</v>
      </c>
      <c r="H50">
        <v>6.1960000000000001E-3</v>
      </c>
      <c r="I50">
        <v>2.7780000000000001E-3</v>
      </c>
      <c r="J50">
        <v>2.7729999999999999E-3</v>
      </c>
      <c r="K50">
        <v>1.536E-3</v>
      </c>
      <c r="L50">
        <v>1.869E-3</v>
      </c>
      <c r="M50">
        <v>2.5790000000000001E-3</v>
      </c>
      <c r="N50">
        <v>1.428E-3</v>
      </c>
    </row>
    <row r="51" spans="1:14" x14ac:dyDescent="0.25">
      <c r="A51">
        <v>51</v>
      </c>
      <c r="B51">
        <v>7.1869999999999998E-3</v>
      </c>
      <c r="C51">
        <v>3.3189999999999999E-3</v>
      </c>
      <c r="D51">
        <v>5.8669999999999998E-3</v>
      </c>
      <c r="E51">
        <v>2.3240000000000001E-3</v>
      </c>
      <c r="F51">
        <v>4.3239999999999997E-3</v>
      </c>
      <c r="G51">
        <v>1.7930000000000001E-3</v>
      </c>
      <c r="H51">
        <v>6.8529999999999997E-3</v>
      </c>
      <c r="I51">
        <v>3.0590000000000001E-3</v>
      </c>
      <c r="J51">
        <v>3.088E-3</v>
      </c>
      <c r="K51">
        <v>1.686E-3</v>
      </c>
      <c r="L51">
        <v>2.065E-3</v>
      </c>
      <c r="M51">
        <v>2.872E-3</v>
      </c>
      <c r="N51">
        <v>1.5679999999999999E-3</v>
      </c>
    </row>
    <row r="52" spans="1:14" x14ac:dyDescent="0.25">
      <c r="A52">
        <v>52</v>
      </c>
      <c r="B52">
        <v>7.9380000000000006E-3</v>
      </c>
      <c r="C52">
        <v>3.5969999999999999E-3</v>
      </c>
      <c r="D52">
        <v>6.4799999999999996E-3</v>
      </c>
      <c r="E52">
        <v>2.5200000000000001E-3</v>
      </c>
      <c r="F52">
        <v>4.7549999999999997E-3</v>
      </c>
      <c r="G52">
        <v>1.9480000000000001E-3</v>
      </c>
      <c r="H52">
        <v>7.5430000000000002E-3</v>
      </c>
      <c r="I52">
        <v>3.3519999999999999E-3</v>
      </c>
      <c r="J52">
        <v>3.4550000000000002E-3</v>
      </c>
      <c r="K52">
        <v>1.864E-3</v>
      </c>
      <c r="L52">
        <v>2.3019999999999998E-3</v>
      </c>
      <c r="M52">
        <v>3.2130000000000001E-3</v>
      </c>
      <c r="N52">
        <v>1.7340000000000001E-3</v>
      </c>
    </row>
    <row r="53" spans="1:14" x14ac:dyDescent="0.25">
      <c r="A53">
        <v>53</v>
      </c>
      <c r="B53">
        <v>8.7309999999999992E-3</v>
      </c>
      <c r="C53">
        <v>3.908E-3</v>
      </c>
      <c r="D53">
        <v>7.1269999999999997E-3</v>
      </c>
      <c r="E53">
        <v>2.738E-3</v>
      </c>
      <c r="F53">
        <v>5.1999999999999998E-3</v>
      </c>
      <c r="G53">
        <v>2.1189999999999998E-3</v>
      </c>
      <c r="H53">
        <v>8.2780000000000006E-3</v>
      </c>
      <c r="I53">
        <v>3.6589999999999999E-3</v>
      </c>
      <c r="J53">
        <v>3.8539999999999998E-3</v>
      </c>
      <c r="K53">
        <v>2.0509999999999999E-3</v>
      </c>
      <c r="L53">
        <v>2.5709999999999999E-3</v>
      </c>
      <c r="M53">
        <v>3.5839999999999999E-3</v>
      </c>
      <c r="N53">
        <v>1.9070000000000001E-3</v>
      </c>
    </row>
    <row r="54" spans="1:14" x14ac:dyDescent="0.25">
      <c r="A54">
        <v>54</v>
      </c>
      <c r="B54">
        <v>9.5630000000000003E-3</v>
      </c>
      <c r="C54">
        <v>4.2570000000000004E-3</v>
      </c>
      <c r="D54">
        <v>7.8059999999999996E-3</v>
      </c>
      <c r="E54">
        <v>2.9819999999999998E-3</v>
      </c>
      <c r="F54">
        <v>5.6600000000000001E-3</v>
      </c>
      <c r="G54">
        <v>2.3149999999999998E-3</v>
      </c>
      <c r="H54">
        <v>9.0329999999999994E-3</v>
      </c>
      <c r="I54">
        <v>3.9880000000000002E-3</v>
      </c>
      <c r="J54">
        <v>4.2779999999999997E-3</v>
      </c>
      <c r="K54">
        <v>2.2409999999999999E-3</v>
      </c>
      <c r="L54">
        <v>2.8540000000000002E-3</v>
      </c>
      <c r="M54">
        <v>3.9789999999999999E-3</v>
      </c>
      <c r="N54">
        <v>2.0839999999999999E-3</v>
      </c>
    </row>
    <row r="55" spans="1:14" x14ac:dyDescent="0.25">
      <c r="A55">
        <v>55</v>
      </c>
      <c r="B55">
        <v>1.0436000000000001E-2</v>
      </c>
      <c r="C55">
        <v>4.6480000000000002E-3</v>
      </c>
      <c r="D55">
        <v>8.5190000000000005E-3</v>
      </c>
      <c r="E55">
        <v>3.2560000000000002E-3</v>
      </c>
      <c r="F55">
        <v>6.1310000000000002E-3</v>
      </c>
      <c r="G55">
        <v>2.5409999999999999E-3</v>
      </c>
      <c r="H55">
        <v>9.8750000000000001E-3</v>
      </c>
      <c r="I55">
        <v>4.3359999999999996E-3</v>
      </c>
      <c r="J55">
        <v>4.7580000000000001E-3</v>
      </c>
      <c r="K55">
        <v>2.4659999999999999E-3</v>
      </c>
      <c r="L55">
        <v>3.1970000000000002E-3</v>
      </c>
      <c r="M55">
        <v>4.4250000000000001E-3</v>
      </c>
      <c r="N55">
        <v>2.294E-3</v>
      </c>
    </row>
    <row r="56" spans="1:14" x14ac:dyDescent="0.25">
      <c r="A56">
        <v>56</v>
      </c>
      <c r="B56">
        <v>1.1346E-2</v>
      </c>
      <c r="C56">
        <v>5.1019999999999998E-3</v>
      </c>
      <c r="D56">
        <v>9.2619999999999994E-3</v>
      </c>
      <c r="E56">
        <v>3.5739999999999999E-3</v>
      </c>
      <c r="F56">
        <v>6.6179999999999998E-3</v>
      </c>
      <c r="G56">
        <v>2.8029999999999999E-3</v>
      </c>
      <c r="H56">
        <v>1.0814000000000001E-2</v>
      </c>
      <c r="I56">
        <v>4.7109999999999999E-3</v>
      </c>
      <c r="J56">
        <v>5.3220000000000003E-3</v>
      </c>
      <c r="K56">
        <v>2.7550000000000001E-3</v>
      </c>
      <c r="L56">
        <v>3.614E-3</v>
      </c>
      <c r="M56">
        <v>4.9490000000000003E-3</v>
      </c>
      <c r="N56">
        <v>2.5630000000000002E-3</v>
      </c>
    </row>
    <row r="57" spans="1:14" x14ac:dyDescent="0.25">
      <c r="A57">
        <v>57</v>
      </c>
      <c r="B57">
        <v>1.2298E-2</v>
      </c>
      <c r="C57">
        <v>5.6369999999999996E-3</v>
      </c>
      <c r="D57">
        <v>1.0038999999999999E-2</v>
      </c>
      <c r="E57">
        <v>3.9480000000000001E-3</v>
      </c>
      <c r="F57">
        <v>7.1390000000000004E-3</v>
      </c>
      <c r="G57">
        <v>3.1029999999999999E-3</v>
      </c>
      <c r="H57">
        <v>1.1863E-2</v>
      </c>
      <c r="I57">
        <v>5.1209999999999997E-3</v>
      </c>
      <c r="J57">
        <v>6.0010000000000003E-3</v>
      </c>
      <c r="K57">
        <v>3.1389999999999999E-3</v>
      </c>
      <c r="L57">
        <v>4.1240000000000001E-3</v>
      </c>
      <c r="M57">
        <v>5.581E-3</v>
      </c>
      <c r="N57">
        <v>2.9190000000000002E-3</v>
      </c>
    </row>
    <row r="58" spans="1:14" x14ac:dyDescent="0.25">
      <c r="A58">
        <v>58</v>
      </c>
      <c r="B58">
        <v>1.3302E-2</v>
      </c>
      <c r="C58">
        <v>6.2649999999999997E-3</v>
      </c>
      <c r="D58">
        <v>1.0888999999999999E-2</v>
      </c>
      <c r="E58">
        <v>4.3880000000000004E-3</v>
      </c>
      <c r="F58">
        <v>7.7190000000000002E-3</v>
      </c>
      <c r="G58">
        <v>3.4420000000000002E-3</v>
      </c>
      <c r="H58">
        <v>1.2952E-2</v>
      </c>
      <c r="I58">
        <v>5.581E-3</v>
      </c>
      <c r="J58">
        <v>6.7739999999999996E-3</v>
      </c>
      <c r="K58">
        <v>3.6120000000000002E-3</v>
      </c>
      <c r="L58">
        <v>4.712E-3</v>
      </c>
      <c r="M58">
        <v>6.3E-3</v>
      </c>
      <c r="N58">
        <v>3.359E-3</v>
      </c>
    </row>
    <row r="59" spans="1:14" x14ac:dyDescent="0.25">
      <c r="A59">
        <v>59</v>
      </c>
      <c r="B59">
        <v>1.4378999999999999E-2</v>
      </c>
      <c r="C59">
        <v>6.9969999999999997E-3</v>
      </c>
      <c r="D59">
        <v>1.1924000000000001E-2</v>
      </c>
      <c r="E59">
        <v>4.901E-3</v>
      </c>
      <c r="F59">
        <v>8.3840000000000008E-3</v>
      </c>
      <c r="G59">
        <v>3.8210000000000002E-3</v>
      </c>
      <c r="H59">
        <v>1.4161999999999999E-2</v>
      </c>
      <c r="I59">
        <v>6.1029999999999999E-3</v>
      </c>
      <c r="J59">
        <v>7.6229999999999996E-3</v>
      </c>
      <c r="K59">
        <v>4.1539999999999997E-3</v>
      </c>
      <c r="L59">
        <v>5.3449999999999999E-3</v>
      </c>
      <c r="M59">
        <v>7.0899999999999999E-3</v>
      </c>
      <c r="N59">
        <v>3.8630000000000001E-3</v>
      </c>
    </row>
    <row r="60" spans="1:14" x14ac:dyDescent="0.25">
      <c r="A60">
        <v>60</v>
      </c>
      <c r="B60">
        <v>1.5554999999999999E-2</v>
      </c>
      <c r="C60">
        <v>7.8370000000000002E-3</v>
      </c>
      <c r="D60">
        <v>1.3119E-2</v>
      </c>
      <c r="E60">
        <v>5.489E-3</v>
      </c>
      <c r="F60">
        <v>9.1579999999999995E-3</v>
      </c>
      <c r="G60">
        <v>4.241E-3</v>
      </c>
      <c r="H60">
        <v>1.5509E-2</v>
      </c>
      <c r="I60">
        <v>6.7000000000000002E-3</v>
      </c>
      <c r="J60">
        <v>8.5760000000000003E-3</v>
      </c>
      <c r="K60">
        <v>4.7730000000000003E-3</v>
      </c>
      <c r="L60">
        <v>6.0619999999999997E-3</v>
      </c>
      <c r="M60">
        <v>7.9760000000000005E-3</v>
      </c>
      <c r="N60">
        <v>4.4390000000000002E-3</v>
      </c>
    </row>
    <row r="61" spans="1:14" x14ac:dyDescent="0.25">
      <c r="A61">
        <v>61</v>
      </c>
      <c r="B61">
        <v>1.6865999999999999E-2</v>
      </c>
      <c r="C61">
        <v>8.7880000000000007E-3</v>
      </c>
      <c r="D61">
        <v>1.444E-2</v>
      </c>
      <c r="E61">
        <v>6.156E-3</v>
      </c>
      <c r="F61">
        <v>1.0064E-2</v>
      </c>
      <c r="G61">
        <v>4.7019999999999996E-3</v>
      </c>
      <c r="H61">
        <v>1.7010000000000001E-2</v>
      </c>
      <c r="I61">
        <v>7.3829999999999998E-3</v>
      </c>
      <c r="J61">
        <v>9.6629999999999997E-3</v>
      </c>
      <c r="K61">
        <v>5.476E-3</v>
      </c>
      <c r="L61">
        <v>6.9119999999999997E-3</v>
      </c>
      <c r="M61">
        <v>8.9859999999999992E-3</v>
      </c>
      <c r="N61">
        <v>5.0930000000000003E-3</v>
      </c>
    </row>
    <row r="62" spans="1:14" x14ac:dyDescent="0.25">
      <c r="A62">
        <v>62</v>
      </c>
      <c r="B62">
        <v>1.8353000000000001E-2</v>
      </c>
      <c r="C62">
        <v>9.8480000000000009E-3</v>
      </c>
      <c r="D62">
        <v>1.5862999999999999E-2</v>
      </c>
      <c r="E62">
        <v>6.8979999999999996E-3</v>
      </c>
      <c r="F62">
        <v>1.1133000000000001E-2</v>
      </c>
      <c r="G62">
        <v>5.2100000000000002E-3</v>
      </c>
      <c r="H62">
        <v>1.8685E-2</v>
      </c>
      <c r="I62">
        <v>8.1720000000000004E-3</v>
      </c>
      <c r="J62">
        <v>1.0911000000000001E-2</v>
      </c>
      <c r="K62">
        <v>6.2709999999999997E-3</v>
      </c>
      <c r="L62">
        <v>7.8460000000000005E-3</v>
      </c>
      <c r="M62">
        <v>1.0147E-2</v>
      </c>
      <c r="N62">
        <v>5.8320000000000004E-3</v>
      </c>
    </row>
    <row r="63" spans="1:14" x14ac:dyDescent="0.25">
      <c r="A63">
        <v>63</v>
      </c>
      <c r="B63">
        <v>2.0067999999999999E-2</v>
      </c>
      <c r="C63">
        <v>1.1010000000000001E-2</v>
      </c>
      <c r="D63">
        <v>1.7413000000000001E-2</v>
      </c>
      <c r="E63">
        <v>7.7120000000000001E-3</v>
      </c>
      <c r="F63">
        <v>1.2390999999999999E-2</v>
      </c>
      <c r="G63">
        <v>5.7689999999999998E-3</v>
      </c>
      <c r="H63">
        <v>2.0517000000000001E-2</v>
      </c>
      <c r="I63">
        <v>9.0799999999999995E-3</v>
      </c>
      <c r="J63">
        <v>1.2335E-2</v>
      </c>
      <c r="K63">
        <v>7.1789999999999996E-3</v>
      </c>
      <c r="L63">
        <v>8.9580000000000007E-3</v>
      </c>
      <c r="M63">
        <v>1.1471E-2</v>
      </c>
      <c r="N63">
        <v>6.6769999999999998E-3</v>
      </c>
    </row>
    <row r="64" spans="1:14" x14ac:dyDescent="0.25">
      <c r="A64">
        <v>64</v>
      </c>
      <c r="B64">
        <v>2.2067E-2</v>
      </c>
      <c r="C64">
        <v>1.2264000000000001E-2</v>
      </c>
      <c r="D64">
        <v>1.9185000000000001E-2</v>
      </c>
      <c r="E64">
        <v>8.6079999999999993E-3</v>
      </c>
      <c r="F64">
        <v>1.3868E-2</v>
      </c>
      <c r="G64">
        <v>6.3850000000000001E-3</v>
      </c>
      <c r="H64">
        <v>2.2561999999999999E-2</v>
      </c>
      <c r="I64">
        <v>1.0127000000000001E-2</v>
      </c>
      <c r="J64">
        <v>1.3913999999999999E-2</v>
      </c>
      <c r="K64">
        <v>8.1939999999999999E-3</v>
      </c>
      <c r="L64">
        <v>1.0151E-2</v>
      </c>
      <c r="M64">
        <v>1.294E-2</v>
      </c>
      <c r="N64">
        <v>7.6210000000000002E-3</v>
      </c>
    </row>
    <row r="65" spans="1:14" x14ac:dyDescent="0.25">
      <c r="A65">
        <v>65</v>
      </c>
      <c r="B65">
        <v>2.4417999999999999E-2</v>
      </c>
      <c r="C65">
        <v>1.3597E-2</v>
      </c>
      <c r="D65">
        <v>2.1260000000000001E-2</v>
      </c>
      <c r="E65">
        <v>9.5630000000000003E-3</v>
      </c>
      <c r="F65">
        <v>1.5592E-2</v>
      </c>
      <c r="G65">
        <v>7.064E-3</v>
      </c>
      <c r="H65">
        <v>2.4847000000000001E-2</v>
      </c>
      <c r="I65">
        <v>1.1328E-2</v>
      </c>
      <c r="J65">
        <v>1.5629000000000001E-2</v>
      </c>
      <c r="K65">
        <v>9.2860000000000009E-3</v>
      </c>
      <c r="L65">
        <v>1.1441E-2</v>
      </c>
      <c r="M65">
        <v>1.4534999999999999E-2</v>
      </c>
      <c r="N65">
        <v>8.6359999999999996E-3</v>
      </c>
    </row>
    <row r="66" spans="1:14" x14ac:dyDescent="0.25">
      <c r="A66">
        <v>66</v>
      </c>
      <c r="B66">
        <v>2.7192999999999998E-2</v>
      </c>
      <c r="C66">
        <v>1.4991000000000001E-2</v>
      </c>
      <c r="D66">
        <v>2.3643000000000001E-2</v>
      </c>
      <c r="E66">
        <v>1.0565E-2</v>
      </c>
      <c r="F66">
        <v>1.7579000000000001E-2</v>
      </c>
      <c r="G66">
        <v>7.8169999999999993E-3</v>
      </c>
      <c r="H66">
        <v>2.7231999999999999E-2</v>
      </c>
      <c r="I66">
        <v>1.2697999999999999E-2</v>
      </c>
      <c r="J66">
        <v>1.7461999999999998E-2</v>
      </c>
      <c r="K66">
        <v>1.0423E-2</v>
      </c>
      <c r="L66">
        <v>1.2869999999999999E-2</v>
      </c>
      <c r="M66">
        <v>1.6239E-2</v>
      </c>
      <c r="N66">
        <v>9.6939999999999995E-3</v>
      </c>
    </row>
    <row r="67" spans="1:14" x14ac:dyDescent="0.25">
      <c r="A67">
        <v>67</v>
      </c>
      <c r="B67">
        <v>3.0112E-2</v>
      </c>
      <c r="C67">
        <v>1.6456999999999999E-2</v>
      </c>
      <c r="D67">
        <v>2.6315999999999999E-2</v>
      </c>
      <c r="E67">
        <v>1.1620999999999999E-2</v>
      </c>
      <c r="F67">
        <v>1.9803999999999999E-2</v>
      </c>
      <c r="G67">
        <v>8.6809999999999995E-3</v>
      </c>
      <c r="H67">
        <v>2.9634000000000001E-2</v>
      </c>
      <c r="I67">
        <v>1.4241999999999999E-2</v>
      </c>
      <c r="J67">
        <v>1.9390999999999999E-2</v>
      </c>
      <c r="K67">
        <v>1.1573999999999999E-2</v>
      </c>
      <c r="L67">
        <v>1.4291E-2</v>
      </c>
      <c r="M67">
        <v>1.8034000000000001E-2</v>
      </c>
      <c r="N67">
        <v>1.0763999999999999E-2</v>
      </c>
    </row>
    <row r="68" spans="1:14" x14ac:dyDescent="0.25">
      <c r="A68">
        <v>68</v>
      </c>
      <c r="B68">
        <v>3.2986000000000001E-2</v>
      </c>
      <c r="C68">
        <v>1.8197999999999999E-2</v>
      </c>
      <c r="D68">
        <v>2.9187999999999999E-2</v>
      </c>
      <c r="E68">
        <v>1.2877E-2</v>
      </c>
      <c r="F68">
        <v>2.2228999999999999E-2</v>
      </c>
      <c r="G68">
        <v>9.7020000000000006E-3</v>
      </c>
      <c r="H68">
        <v>3.2072999999999997E-2</v>
      </c>
      <c r="I68">
        <v>1.5966000000000001E-2</v>
      </c>
      <c r="J68">
        <v>2.1354000000000001E-2</v>
      </c>
      <c r="K68">
        <v>1.2648E-2</v>
      </c>
      <c r="L68">
        <v>1.5613999999999999E-2</v>
      </c>
      <c r="M68">
        <v>1.9859000000000002E-2</v>
      </c>
      <c r="N68">
        <v>1.1762999999999999E-2</v>
      </c>
    </row>
    <row r="69" spans="1:14" x14ac:dyDescent="0.25">
      <c r="A69">
        <v>69</v>
      </c>
      <c r="B69">
        <v>3.5943000000000003E-2</v>
      </c>
      <c r="C69">
        <v>2.0354000000000001E-2</v>
      </c>
      <c r="D69">
        <v>3.2434999999999999E-2</v>
      </c>
      <c r="E69">
        <v>1.4461E-2</v>
      </c>
      <c r="F69">
        <v>2.4816999999999999E-2</v>
      </c>
      <c r="G69">
        <v>1.0921E-2</v>
      </c>
      <c r="H69">
        <v>3.4743000000000003E-2</v>
      </c>
      <c r="I69">
        <v>1.7868999999999999E-2</v>
      </c>
      <c r="J69">
        <v>2.3363999999999999E-2</v>
      </c>
      <c r="K69">
        <v>1.3665E-2</v>
      </c>
      <c r="L69">
        <v>1.7000000000000001E-2</v>
      </c>
      <c r="M69">
        <v>2.1728999999999998E-2</v>
      </c>
      <c r="N69">
        <v>1.2709E-2</v>
      </c>
    </row>
    <row r="70" spans="1:14" x14ac:dyDescent="0.25">
      <c r="A70">
        <v>70</v>
      </c>
      <c r="B70">
        <v>3.9302999999999998E-2</v>
      </c>
      <c r="C70">
        <v>2.3098E-2</v>
      </c>
      <c r="D70">
        <v>3.6105999999999999E-2</v>
      </c>
      <c r="E70">
        <v>1.6476999999999999E-2</v>
      </c>
      <c r="F70">
        <v>2.7529999999999999E-2</v>
      </c>
      <c r="G70">
        <v>1.2385E-2</v>
      </c>
      <c r="H70">
        <v>3.7666999999999999E-2</v>
      </c>
      <c r="I70">
        <v>1.9958E-2</v>
      </c>
      <c r="J70">
        <v>2.5516E-2</v>
      </c>
      <c r="K70">
        <v>1.4763E-2</v>
      </c>
      <c r="L70">
        <v>1.8395999999999999E-2</v>
      </c>
      <c r="M70">
        <v>2.3730000000000001E-2</v>
      </c>
      <c r="N70">
        <v>1.3729999999999999E-2</v>
      </c>
    </row>
    <row r="71" spans="1:14" x14ac:dyDescent="0.25">
      <c r="A71">
        <v>71</v>
      </c>
      <c r="B71">
        <v>4.3182999999999999E-2</v>
      </c>
      <c r="C71">
        <v>2.6526999999999998E-2</v>
      </c>
      <c r="D71">
        <v>4.0008000000000002E-2</v>
      </c>
      <c r="E71">
        <v>1.9E-2</v>
      </c>
      <c r="F71">
        <v>3.0353999999999999E-2</v>
      </c>
      <c r="G71">
        <v>1.4128E-2</v>
      </c>
      <c r="H71">
        <v>4.0870999999999998E-2</v>
      </c>
      <c r="I71">
        <v>2.2241E-2</v>
      </c>
      <c r="J71">
        <v>2.7904999999999999E-2</v>
      </c>
      <c r="K71">
        <v>1.6079E-2</v>
      </c>
      <c r="L71">
        <v>2.0025000000000001E-2</v>
      </c>
      <c r="M71">
        <v>2.5950999999999998E-2</v>
      </c>
      <c r="N71">
        <v>1.4952999999999999E-2</v>
      </c>
    </row>
    <row r="72" spans="1:14" x14ac:dyDescent="0.25">
      <c r="A72">
        <v>72</v>
      </c>
      <c r="B72">
        <v>4.7475999999999997E-2</v>
      </c>
      <c r="C72">
        <v>3.0467999999999999E-2</v>
      </c>
      <c r="D72">
        <v>4.3826999999999998E-2</v>
      </c>
      <c r="E72">
        <v>2.1911E-2</v>
      </c>
      <c r="F72">
        <v>3.3369999999999997E-2</v>
      </c>
      <c r="G72">
        <v>1.6159E-2</v>
      </c>
      <c r="H72">
        <v>4.4504000000000002E-2</v>
      </c>
      <c r="I72">
        <v>2.4764999999999999E-2</v>
      </c>
      <c r="J72">
        <v>3.0624999999999999E-2</v>
      </c>
      <c r="K72">
        <v>1.7748E-2</v>
      </c>
      <c r="L72">
        <v>2.2026E-2</v>
      </c>
      <c r="M72">
        <v>2.8480999999999999E-2</v>
      </c>
      <c r="N72">
        <v>1.6506E-2</v>
      </c>
    </row>
    <row r="73" spans="1:14" x14ac:dyDescent="0.25">
      <c r="A73">
        <v>73</v>
      </c>
      <c r="B73">
        <v>5.2083999999999998E-2</v>
      </c>
      <c r="C73">
        <v>3.4778999999999997E-2</v>
      </c>
      <c r="D73">
        <v>4.7489000000000003E-2</v>
      </c>
      <c r="E73">
        <v>2.5111999999999999E-2</v>
      </c>
      <c r="F73">
        <v>3.6679999999999997E-2</v>
      </c>
      <c r="G73">
        <v>1.8481000000000001E-2</v>
      </c>
      <c r="H73">
        <v>4.8503999999999999E-2</v>
      </c>
      <c r="I73">
        <v>2.7581000000000001E-2</v>
      </c>
      <c r="J73">
        <v>3.3549000000000002E-2</v>
      </c>
      <c r="K73">
        <v>1.9723999999999998E-2</v>
      </c>
      <c r="L73">
        <v>2.4187E-2</v>
      </c>
      <c r="M73">
        <v>3.1201E-2</v>
      </c>
      <c r="N73">
        <v>1.8343999999999999E-2</v>
      </c>
    </row>
    <row r="74" spans="1:14" x14ac:dyDescent="0.25">
      <c r="A74">
        <v>74</v>
      </c>
      <c r="B74">
        <v>5.7077000000000003E-2</v>
      </c>
      <c r="C74">
        <v>3.9412999999999997E-2</v>
      </c>
      <c r="D74">
        <v>5.1221000000000003E-2</v>
      </c>
      <c r="E74">
        <v>2.8632000000000001E-2</v>
      </c>
      <c r="F74">
        <v>4.0388E-2</v>
      </c>
      <c r="G74">
        <v>2.1090999999999999E-2</v>
      </c>
      <c r="H74">
        <v>5.2913000000000002E-2</v>
      </c>
      <c r="I74">
        <v>3.074E-2</v>
      </c>
      <c r="J74">
        <v>3.6614000000000001E-2</v>
      </c>
      <c r="K74">
        <v>2.1915E-2</v>
      </c>
      <c r="L74">
        <v>2.6581E-2</v>
      </c>
      <c r="M74">
        <v>3.4050999999999998E-2</v>
      </c>
      <c r="N74">
        <v>2.0381E-2</v>
      </c>
    </row>
    <row r="75" spans="1:14" x14ac:dyDescent="0.25">
      <c r="A75">
        <v>75</v>
      </c>
      <c r="B75">
        <v>6.2427000000000003E-2</v>
      </c>
      <c r="C75">
        <v>4.4309000000000001E-2</v>
      </c>
      <c r="D75">
        <v>5.5293000000000002E-2</v>
      </c>
      <c r="E75">
        <v>3.2384999999999997E-2</v>
      </c>
      <c r="F75">
        <v>4.4596999999999998E-2</v>
      </c>
      <c r="G75">
        <v>2.3991999999999999E-2</v>
      </c>
      <c r="H75">
        <v>5.7775E-2</v>
      </c>
      <c r="I75">
        <v>3.4294999999999999E-2</v>
      </c>
      <c r="J75">
        <v>4.0011999999999999E-2</v>
      </c>
      <c r="K75">
        <v>2.4393000000000001E-2</v>
      </c>
      <c r="L75">
        <v>2.9309999999999999E-2</v>
      </c>
      <c r="M75">
        <v>3.7211000000000001E-2</v>
      </c>
      <c r="N75">
        <v>2.2686000000000001E-2</v>
      </c>
    </row>
    <row r="76" spans="1:14" x14ac:dyDescent="0.25">
      <c r="A76">
        <v>76</v>
      </c>
      <c r="B76">
        <v>6.8347000000000005E-2</v>
      </c>
      <c r="C76">
        <v>4.9512E-2</v>
      </c>
      <c r="D76">
        <v>6.0068000000000003E-2</v>
      </c>
      <c r="E76">
        <v>3.6408000000000003E-2</v>
      </c>
      <c r="F76">
        <v>4.9388000000000001E-2</v>
      </c>
      <c r="G76">
        <v>2.7184E-2</v>
      </c>
      <c r="H76">
        <v>6.3142000000000004E-2</v>
      </c>
      <c r="I76">
        <v>3.8286000000000001E-2</v>
      </c>
      <c r="J76">
        <v>4.3933E-2</v>
      </c>
      <c r="K76">
        <v>2.7231000000000002E-2</v>
      </c>
      <c r="L76">
        <v>3.2391999999999997E-2</v>
      </c>
      <c r="M76">
        <v>4.0857999999999998E-2</v>
      </c>
      <c r="N76">
        <v>2.5325E-2</v>
      </c>
    </row>
    <row r="77" spans="1:14" x14ac:dyDescent="0.25">
      <c r="A77">
        <v>77</v>
      </c>
      <c r="B77">
        <v>7.5132000000000004E-2</v>
      </c>
      <c r="C77">
        <v>5.5107999999999997E-2</v>
      </c>
      <c r="D77">
        <v>6.5923999999999996E-2</v>
      </c>
      <c r="E77">
        <v>4.0769E-2</v>
      </c>
      <c r="F77">
        <v>5.4758000000000001E-2</v>
      </c>
      <c r="G77">
        <v>3.0672000000000001E-2</v>
      </c>
      <c r="H77">
        <v>6.8627999999999995E-2</v>
      </c>
      <c r="I77">
        <v>4.2715000000000003E-2</v>
      </c>
      <c r="J77">
        <v>4.8570000000000002E-2</v>
      </c>
      <c r="K77">
        <v>3.0501E-2</v>
      </c>
      <c r="L77">
        <v>3.6288000000000001E-2</v>
      </c>
      <c r="M77">
        <v>4.5171000000000003E-2</v>
      </c>
      <c r="N77">
        <v>2.8365999999999999E-2</v>
      </c>
    </row>
    <row r="78" spans="1:14" x14ac:dyDescent="0.25">
      <c r="A78">
        <v>78</v>
      </c>
      <c r="B78">
        <v>8.2686999999999997E-2</v>
      </c>
      <c r="C78">
        <v>6.1093000000000001E-2</v>
      </c>
      <c r="D78">
        <v>7.2595000000000007E-2</v>
      </c>
      <c r="E78">
        <v>4.5471999999999999E-2</v>
      </c>
      <c r="F78">
        <v>6.0678000000000003E-2</v>
      </c>
      <c r="G78">
        <v>3.4458999999999997E-2</v>
      </c>
      <c r="H78">
        <v>7.4648000000000006E-2</v>
      </c>
      <c r="I78">
        <v>4.7569E-2</v>
      </c>
      <c r="J78">
        <v>5.3990999999999997E-2</v>
      </c>
      <c r="K78">
        <v>3.4114999999999999E-2</v>
      </c>
      <c r="L78">
        <v>4.0635999999999999E-2</v>
      </c>
      <c r="M78">
        <v>5.0210999999999999E-2</v>
      </c>
      <c r="N78">
        <v>3.1726999999999998E-2</v>
      </c>
    </row>
    <row r="79" spans="1:14" x14ac:dyDescent="0.25">
      <c r="A79">
        <v>79</v>
      </c>
      <c r="B79">
        <v>9.0945999999999999E-2</v>
      </c>
      <c r="C79">
        <v>6.7459000000000005E-2</v>
      </c>
      <c r="D79">
        <v>7.9691999999999999E-2</v>
      </c>
      <c r="E79">
        <v>5.0616000000000001E-2</v>
      </c>
      <c r="F79">
        <v>6.7125000000000004E-2</v>
      </c>
      <c r="G79">
        <v>3.8549E-2</v>
      </c>
      <c r="H79">
        <v>8.1255999999999995E-2</v>
      </c>
      <c r="I79">
        <v>5.2837000000000002E-2</v>
      </c>
      <c r="J79">
        <v>6.0066000000000001E-2</v>
      </c>
      <c r="K79">
        <v>3.8024000000000002E-2</v>
      </c>
      <c r="L79">
        <v>4.5463000000000003E-2</v>
      </c>
      <c r="M79">
        <v>5.5861000000000001E-2</v>
      </c>
      <c r="N79">
        <v>3.5361999999999998E-2</v>
      </c>
    </row>
    <row r="80" spans="1:14" x14ac:dyDescent="0.25">
      <c r="A80">
        <v>80</v>
      </c>
      <c r="B80">
        <v>9.9679000000000004E-2</v>
      </c>
      <c r="C80">
        <v>7.4146000000000004E-2</v>
      </c>
      <c r="D80">
        <v>8.7430999999999995E-2</v>
      </c>
      <c r="E80">
        <v>5.6085000000000003E-2</v>
      </c>
      <c r="F80">
        <v>7.4069999999999997E-2</v>
      </c>
      <c r="G80">
        <v>4.2944999999999997E-2</v>
      </c>
      <c r="H80">
        <v>8.8517999999999999E-2</v>
      </c>
      <c r="I80">
        <v>5.8507999999999998E-2</v>
      </c>
      <c r="J80">
        <v>6.6696000000000005E-2</v>
      </c>
      <c r="K80">
        <v>4.2361000000000003E-2</v>
      </c>
      <c r="L80">
        <v>5.0795E-2</v>
      </c>
      <c r="M80">
        <v>6.2026999999999999E-2</v>
      </c>
      <c r="N80">
        <v>3.9396E-2</v>
      </c>
    </row>
    <row r="81" spans="1:14" x14ac:dyDescent="0.25">
      <c r="A81">
        <v>81</v>
      </c>
      <c r="B81">
        <v>0.108706</v>
      </c>
      <c r="C81">
        <v>8.1114000000000006E-2</v>
      </c>
      <c r="D81">
        <v>9.5445000000000002E-2</v>
      </c>
      <c r="E81">
        <v>6.1852999999999998E-2</v>
      </c>
      <c r="F81">
        <v>8.1484000000000001E-2</v>
      </c>
      <c r="G81">
        <v>4.7655000000000003E-2</v>
      </c>
      <c r="H81">
        <v>9.6217999999999998E-2</v>
      </c>
      <c r="I81">
        <v>6.4570000000000002E-2</v>
      </c>
      <c r="J81">
        <v>7.3779999999999998E-2</v>
      </c>
      <c r="K81">
        <v>4.7260000000000003E-2</v>
      </c>
      <c r="L81">
        <v>5.6654999999999997E-2</v>
      </c>
      <c r="M81">
        <v>6.8614999999999995E-2</v>
      </c>
      <c r="N81">
        <v>4.3951999999999998E-2</v>
      </c>
    </row>
    <row r="82" spans="1:14" x14ac:dyDescent="0.25">
      <c r="A82">
        <v>82</v>
      </c>
      <c r="B82">
        <v>0.117979</v>
      </c>
      <c r="C82">
        <v>8.8373999999999994E-2</v>
      </c>
      <c r="D82">
        <v>0.10369100000000001</v>
      </c>
      <c r="E82">
        <v>6.7935999999999996E-2</v>
      </c>
      <c r="F82">
        <v>8.9319999999999997E-2</v>
      </c>
      <c r="G82">
        <v>5.2691000000000002E-2</v>
      </c>
      <c r="H82">
        <v>0.10431</v>
      </c>
      <c r="I82">
        <v>7.1006E-2</v>
      </c>
      <c r="J82">
        <v>8.1216999999999998E-2</v>
      </c>
      <c r="K82">
        <v>5.2852999999999997E-2</v>
      </c>
      <c r="L82">
        <v>6.3063999999999995E-2</v>
      </c>
      <c r="M82">
        <v>7.5532000000000002E-2</v>
      </c>
      <c r="N82">
        <v>4.9153000000000002E-2</v>
      </c>
    </row>
    <row r="83" spans="1:14" x14ac:dyDescent="0.25">
      <c r="A83">
        <v>83</v>
      </c>
      <c r="B83">
        <v>0.12743699999999999</v>
      </c>
      <c r="C83">
        <v>9.5943000000000001E-2</v>
      </c>
      <c r="D83">
        <v>0.112303</v>
      </c>
      <c r="E83">
        <v>7.4351E-2</v>
      </c>
      <c r="F83">
        <v>9.7525000000000001E-2</v>
      </c>
      <c r="G83">
        <v>5.8070999999999998E-2</v>
      </c>
      <c r="H83">
        <v>0.112816</v>
      </c>
      <c r="I83">
        <v>7.7798000000000006E-2</v>
      </c>
      <c r="J83">
        <v>8.8720999999999994E-2</v>
      </c>
      <c r="K83">
        <v>5.8985999999999997E-2</v>
      </c>
      <c r="L83">
        <v>6.9481000000000001E-2</v>
      </c>
      <c r="M83">
        <v>8.251E-2</v>
      </c>
      <c r="N83">
        <v>5.4857000000000003E-2</v>
      </c>
    </row>
    <row r="84" spans="1:14" x14ac:dyDescent="0.25">
      <c r="A84">
        <v>84</v>
      </c>
      <c r="B84">
        <v>0.137073</v>
      </c>
      <c r="C84">
        <v>0.103904</v>
      </c>
      <c r="D84">
        <v>0.121116</v>
      </c>
      <c r="E84">
        <v>8.1501000000000004E-2</v>
      </c>
      <c r="F84">
        <v>0.106047</v>
      </c>
      <c r="G84">
        <v>6.3807000000000003E-2</v>
      </c>
      <c r="H84">
        <v>0.12207899999999999</v>
      </c>
      <c r="I84">
        <v>8.4927000000000002E-2</v>
      </c>
      <c r="J84">
        <v>9.6357999999999999E-2</v>
      </c>
      <c r="K84">
        <v>6.5569000000000002E-2</v>
      </c>
      <c r="L84">
        <v>7.6538999999999996E-2</v>
      </c>
      <c r="M84">
        <v>8.9612999999999998E-2</v>
      </c>
      <c r="N84">
        <v>6.0978999999999998E-2</v>
      </c>
    </row>
    <row r="85" spans="1:14" x14ac:dyDescent="0.25">
      <c r="A85">
        <v>85</v>
      </c>
      <c r="B85">
        <v>0.14685200000000001</v>
      </c>
      <c r="C85">
        <v>0.112328</v>
      </c>
      <c r="D85">
        <v>0.130102</v>
      </c>
      <c r="E85">
        <v>8.9178999999999994E-2</v>
      </c>
      <c r="F85">
        <v>0.11483599999999999</v>
      </c>
      <c r="G85">
        <v>6.9917999999999994E-2</v>
      </c>
      <c r="H85">
        <v>0.13217400000000001</v>
      </c>
      <c r="I85">
        <v>9.2377000000000001E-2</v>
      </c>
      <c r="J85">
        <v>0.104559</v>
      </c>
      <c r="K85">
        <v>7.2835999999999998E-2</v>
      </c>
      <c r="L85">
        <v>8.4128999999999995E-2</v>
      </c>
      <c r="M85">
        <v>9.7239999999999993E-2</v>
      </c>
      <c r="N85">
        <v>6.7738000000000007E-2</v>
      </c>
    </row>
    <row r="86" spans="1:14" x14ac:dyDescent="0.25">
      <c r="A86">
        <v>86</v>
      </c>
      <c r="B86">
        <v>0.156836</v>
      </c>
      <c r="C86">
        <v>0.121295</v>
      </c>
      <c r="D86">
        <v>0.13931499999999999</v>
      </c>
      <c r="E86">
        <v>9.7467999999999999E-2</v>
      </c>
      <c r="F86">
        <v>0.12417</v>
      </c>
      <c r="G86">
        <v>7.6569999999999999E-2</v>
      </c>
      <c r="H86">
        <v>0.143179</v>
      </c>
      <c r="I86">
        <v>0.10037</v>
      </c>
      <c r="J86">
        <v>0.113755</v>
      </c>
      <c r="K86">
        <v>8.1018000000000007E-2</v>
      </c>
      <c r="L86">
        <v>9.2686000000000004E-2</v>
      </c>
      <c r="M86">
        <v>0.105792</v>
      </c>
      <c r="N86">
        <v>7.5346999999999997E-2</v>
      </c>
    </row>
    <row r="87" spans="1:14" x14ac:dyDescent="0.25">
      <c r="A87">
        <v>87</v>
      </c>
      <c r="B87">
        <v>0.16711999999999999</v>
      </c>
      <c r="C87">
        <v>0.130885</v>
      </c>
      <c r="D87">
        <v>0.14871400000000001</v>
      </c>
      <c r="E87">
        <v>0.106452</v>
      </c>
      <c r="F87">
        <v>0.13386999999999999</v>
      </c>
      <c r="G87">
        <v>8.387E-2</v>
      </c>
      <c r="H87">
        <v>0.15514700000000001</v>
      </c>
      <c r="I87">
        <v>0.10886999999999999</v>
      </c>
      <c r="J87">
        <v>0.124377</v>
      </c>
      <c r="K87">
        <v>9.0347999999999998E-2</v>
      </c>
      <c r="L87">
        <v>0.10301399999999999</v>
      </c>
      <c r="M87">
        <v>0.115671</v>
      </c>
      <c r="N87">
        <v>8.4023E-2</v>
      </c>
    </row>
    <row r="88" spans="1:14" x14ac:dyDescent="0.25">
      <c r="A88">
        <v>88</v>
      </c>
      <c r="B88">
        <v>0.177787</v>
      </c>
      <c r="C88">
        <v>0.14118800000000001</v>
      </c>
      <c r="D88">
        <v>0.15848599999999999</v>
      </c>
      <c r="E88">
        <v>0.116226</v>
      </c>
      <c r="F88">
        <v>0.14407300000000001</v>
      </c>
      <c r="G88">
        <v>9.1935000000000003E-2</v>
      </c>
      <c r="H88">
        <v>0.168208</v>
      </c>
      <c r="I88">
        <v>0.118004</v>
      </c>
      <c r="J88">
        <v>0.13653699999999999</v>
      </c>
      <c r="K88">
        <v>0.100882</v>
      </c>
      <c r="L88">
        <v>0.11443399999999999</v>
      </c>
      <c r="M88">
        <v>0.12698000000000001</v>
      </c>
      <c r="N88">
        <v>9.3820000000000001E-2</v>
      </c>
    </row>
    <row r="89" spans="1:14" x14ac:dyDescent="0.25">
      <c r="A89">
        <v>89</v>
      </c>
      <c r="B89">
        <v>0.188919</v>
      </c>
      <c r="C89">
        <v>0.15229999999999999</v>
      </c>
      <c r="D89">
        <v>0.168709</v>
      </c>
      <c r="E89">
        <v>0.12689300000000001</v>
      </c>
      <c r="F89">
        <v>0.154859</v>
      </c>
      <c r="G89">
        <v>0.101354</v>
      </c>
      <c r="H89">
        <v>0.18246100000000001</v>
      </c>
      <c r="I89">
        <v>0.128107</v>
      </c>
      <c r="J89">
        <v>0.149949</v>
      </c>
      <c r="K89">
        <v>0.112467</v>
      </c>
      <c r="L89">
        <v>0.12692500000000001</v>
      </c>
      <c r="M89">
        <v>0.13945199999999999</v>
      </c>
      <c r="N89">
        <v>0.10459400000000001</v>
      </c>
    </row>
    <row r="90" spans="1:14" x14ac:dyDescent="0.25">
      <c r="A90">
        <v>90</v>
      </c>
      <c r="B90">
        <v>0.20059399999999999</v>
      </c>
      <c r="C90">
        <v>0.164331</v>
      </c>
      <c r="D90">
        <v>0.179452</v>
      </c>
      <c r="E90">
        <v>0.13857700000000001</v>
      </c>
      <c r="F90">
        <v>0.16630700000000001</v>
      </c>
      <c r="G90">
        <v>0.11175</v>
      </c>
      <c r="H90">
        <v>0.19803000000000001</v>
      </c>
      <c r="I90">
        <v>0.13902900000000001</v>
      </c>
      <c r="J90">
        <v>0.164442</v>
      </c>
      <c r="K90">
        <v>0.12501599999999999</v>
      </c>
      <c r="L90">
        <v>0.14065</v>
      </c>
      <c r="M90">
        <v>0.15293100000000001</v>
      </c>
      <c r="N90">
        <v>0.11626499999999999</v>
      </c>
    </row>
    <row r="91" spans="1:14" x14ac:dyDescent="0.25">
      <c r="A91">
        <v>91</v>
      </c>
      <c r="B91">
        <v>0.21255499999999999</v>
      </c>
      <c r="C91">
        <v>0.177144</v>
      </c>
      <c r="D91">
        <v>0.19048899999999999</v>
      </c>
      <c r="E91">
        <v>0.15119199999999999</v>
      </c>
      <c r="F91">
        <v>0.17821400000000001</v>
      </c>
      <c r="G91">
        <v>0.123076</v>
      </c>
      <c r="H91">
        <v>0.215035</v>
      </c>
      <c r="I91">
        <v>0.150645</v>
      </c>
      <c r="J91">
        <v>0.17984900000000001</v>
      </c>
      <c r="K91">
        <v>0.13844200000000001</v>
      </c>
      <c r="L91">
        <v>0.154664</v>
      </c>
      <c r="M91">
        <v>0.16725999999999999</v>
      </c>
      <c r="N91">
        <v>0.128751</v>
      </c>
    </row>
    <row r="92" spans="1:14" x14ac:dyDescent="0.25">
      <c r="A92">
        <v>92</v>
      </c>
      <c r="B92">
        <v>0.225161</v>
      </c>
      <c r="C92">
        <v>0.19109899999999999</v>
      </c>
      <c r="D92">
        <v>0.201681</v>
      </c>
      <c r="E92">
        <v>0.165077</v>
      </c>
      <c r="F92">
        <v>0.19045999999999999</v>
      </c>
      <c r="G92">
        <v>0.13563</v>
      </c>
      <c r="H92">
        <v>0.232983</v>
      </c>
      <c r="I92">
        <v>0.163045</v>
      </c>
      <c r="J92">
        <v>0.19600100000000001</v>
      </c>
      <c r="K92">
        <v>0.15265999999999999</v>
      </c>
      <c r="L92">
        <v>0.17019000000000001</v>
      </c>
      <c r="M92">
        <v>0.182281</v>
      </c>
      <c r="N92">
        <v>0.14197299999999999</v>
      </c>
    </row>
    <row r="93" spans="1:14" x14ac:dyDescent="0.25">
      <c r="A93">
        <v>93</v>
      </c>
      <c r="B93">
        <v>0.23852400000000001</v>
      </c>
      <c r="C93">
        <v>0.206341</v>
      </c>
      <c r="D93">
        <v>0.21298600000000001</v>
      </c>
      <c r="E93">
        <v>0.18040100000000001</v>
      </c>
      <c r="F93">
        <v>0.20300699999999999</v>
      </c>
      <c r="G93">
        <v>0.14957699999999999</v>
      </c>
      <c r="H93">
        <v>0.25254500000000002</v>
      </c>
      <c r="I93">
        <v>0.176292</v>
      </c>
      <c r="J93">
        <v>0.21332499999999999</v>
      </c>
      <c r="K93">
        <v>0.16766800000000001</v>
      </c>
      <c r="L93">
        <v>0.18663099999999999</v>
      </c>
      <c r="M93">
        <v>0.19839200000000001</v>
      </c>
      <c r="N93">
        <v>0.15593099999999999</v>
      </c>
    </row>
    <row r="94" spans="1:14" x14ac:dyDescent="0.25">
      <c r="A94">
        <v>94</v>
      </c>
      <c r="B94">
        <v>0.25276500000000002</v>
      </c>
      <c r="C94">
        <v>0.22302900000000001</v>
      </c>
      <c r="D94">
        <v>0.22653499999999999</v>
      </c>
      <c r="E94">
        <v>0.197349</v>
      </c>
      <c r="F94">
        <v>0.21790399999999999</v>
      </c>
      <c r="G94">
        <v>0.165103</v>
      </c>
      <c r="H94">
        <v>0.27387800000000001</v>
      </c>
      <c r="I94">
        <v>0.19150400000000001</v>
      </c>
      <c r="J94">
        <v>0.231936</v>
      </c>
      <c r="K94">
        <v>0.18352399999999999</v>
      </c>
      <c r="L94">
        <v>0.203518</v>
      </c>
      <c r="M94">
        <v>0.2157</v>
      </c>
      <c r="N94">
        <v>0.170677</v>
      </c>
    </row>
    <row r="95" spans="1:14" x14ac:dyDescent="0.25">
      <c r="A95">
        <v>95</v>
      </c>
      <c r="B95">
        <v>0.26802500000000001</v>
      </c>
      <c r="C95">
        <v>0.24133599999999999</v>
      </c>
      <c r="D95">
        <v>0.24116399999999999</v>
      </c>
      <c r="E95">
        <v>0.21612899999999999</v>
      </c>
      <c r="F95">
        <v>0.23408599999999999</v>
      </c>
      <c r="G95">
        <v>0.182419</v>
      </c>
      <c r="H95">
        <v>0.29715200000000003</v>
      </c>
      <c r="I95">
        <v>0.20825299999999999</v>
      </c>
      <c r="J95">
        <v>0.251189</v>
      </c>
      <c r="K95">
        <v>0.20022899999999999</v>
      </c>
      <c r="L95">
        <v>0.22212299999999999</v>
      </c>
      <c r="M95">
        <v>0.23360600000000001</v>
      </c>
      <c r="N95">
        <v>0.18621299999999999</v>
      </c>
    </row>
    <row r="96" spans="1:14" x14ac:dyDescent="0.25">
      <c r="A96">
        <v>96</v>
      </c>
      <c r="B96">
        <v>0.28445500000000001</v>
      </c>
      <c r="C96">
        <v>0.26145099999999999</v>
      </c>
      <c r="D96">
        <v>0.25620399999999999</v>
      </c>
      <c r="E96">
        <v>0.23696999999999999</v>
      </c>
      <c r="F96">
        <v>0.24843599999999999</v>
      </c>
      <c r="G96">
        <v>0.20175699999999999</v>
      </c>
      <c r="H96">
        <v>0.32255299999999998</v>
      </c>
      <c r="I96">
        <v>0.22509699999999999</v>
      </c>
      <c r="J96">
        <v>0.27044099999999999</v>
      </c>
      <c r="K96">
        <v>0.217783</v>
      </c>
      <c r="L96">
        <v>0.240233</v>
      </c>
      <c r="M96">
        <v>0.25151000000000001</v>
      </c>
      <c r="N96">
        <v>0.202538</v>
      </c>
    </row>
    <row r="97" spans="1:14" x14ac:dyDescent="0.25">
      <c r="A97">
        <v>97</v>
      </c>
      <c r="B97">
        <v>0.30222300000000002</v>
      </c>
      <c r="C97">
        <v>0.28358100000000003</v>
      </c>
      <c r="D97">
        <v>0.27248</v>
      </c>
      <c r="E97">
        <v>0.25805899999999998</v>
      </c>
      <c r="F97">
        <v>0.26395400000000002</v>
      </c>
      <c r="G97">
        <v>0.22204299999999999</v>
      </c>
      <c r="H97">
        <v>0.34950500000000001</v>
      </c>
      <c r="I97">
        <v>0.24299899999999999</v>
      </c>
      <c r="J97">
        <v>0.28904800000000003</v>
      </c>
      <c r="K97">
        <v>0.23618800000000001</v>
      </c>
      <c r="L97">
        <v>0.25938</v>
      </c>
      <c r="M97">
        <v>0.26881500000000003</v>
      </c>
      <c r="N97">
        <v>0.21965499999999999</v>
      </c>
    </row>
    <row r="98" spans="1:14" x14ac:dyDescent="0.25">
      <c r="A98">
        <v>98</v>
      </c>
      <c r="B98">
        <v>0.32151600000000002</v>
      </c>
      <c r="C98">
        <v>0.30795299999999998</v>
      </c>
      <c r="D98">
        <v>0.290163</v>
      </c>
      <c r="E98">
        <v>0.28023700000000001</v>
      </c>
      <c r="F98">
        <v>0.28080300000000002</v>
      </c>
      <c r="G98">
        <v>0.243899</v>
      </c>
      <c r="H98">
        <v>0.37886500000000001</v>
      </c>
      <c r="I98">
        <v>0.262351</v>
      </c>
      <c r="J98">
        <v>0.30675000000000002</v>
      </c>
      <c r="K98">
        <v>0.25560500000000003</v>
      </c>
      <c r="L98">
        <v>0.27893600000000002</v>
      </c>
      <c r="M98">
        <v>0.285277</v>
      </c>
      <c r="N98">
        <v>0.23771300000000001</v>
      </c>
    </row>
    <row r="99" spans="1:14" x14ac:dyDescent="0.25">
      <c r="A99">
        <v>99</v>
      </c>
      <c r="B99">
        <v>0.342526</v>
      </c>
      <c r="C99">
        <v>0.334812</v>
      </c>
      <c r="D99">
        <v>0.30912499999999998</v>
      </c>
      <c r="E99">
        <v>0.30467899999999998</v>
      </c>
      <c r="F99">
        <v>0.29915399999999998</v>
      </c>
      <c r="G99">
        <v>0.26818500000000001</v>
      </c>
      <c r="H99">
        <v>0.41087499999999999</v>
      </c>
      <c r="I99">
        <v>0.28366999999999998</v>
      </c>
      <c r="J99">
        <v>0.32397599999999999</v>
      </c>
      <c r="K99">
        <v>0.27603499999999997</v>
      </c>
      <c r="L99">
        <v>0.29761399999999999</v>
      </c>
      <c r="M99">
        <v>0.30129800000000001</v>
      </c>
      <c r="N99">
        <v>0.256712</v>
      </c>
    </row>
    <row r="100" spans="1:14" x14ac:dyDescent="0.25">
      <c r="A100">
        <v>100</v>
      </c>
      <c r="B100">
        <v>0.36546200000000001</v>
      </c>
      <c r="C100">
        <v>0.364429</v>
      </c>
      <c r="D100">
        <v>0.32982499999999998</v>
      </c>
      <c r="E100">
        <v>0.33162999999999998</v>
      </c>
      <c r="F100">
        <v>0.319185</v>
      </c>
      <c r="G100">
        <v>0.29518699999999998</v>
      </c>
      <c r="H100">
        <v>0.445768</v>
      </c>
      <c r="I100">
        <v>0.30718600000000001</v>
      </c>
      <c r="J100">
        <v>0.34111599999999997</v>
      </c>
      <c r="K100">
        <v>0.29723300000000002</v>
      </c>
      <c r="L100">
        <v>0.31663000000000002</v>
      </c>
      <c r="M100">
        <v>0.31723800000000002</v>
      </c>
      <c r="N100">
        <v>0.27642699999999998</v>
      </c>
    </row>
    <row r="101" spans="1:14" x14ac:dyDescent="0.25">
      <c r="A101">
        <v>101</v>
      </c>
      <c r="B101">
        <v>0.390538</v>
      </c>
      <c r="C101">
        <v>0.39710000000000001</v>
      </c>
      <c r="D101">
        <v>0.35245500000000002</v>
      </c>
      <c r="E101">
        <v>0.36136099999999999</v>
      </c>
      <c r="F101">
        <v>0.341086</v>
      </c>
      <c r="G101">
        <v>0.32522499999999999</v>
      </c>
      <c r="H101">
        <v>0.48382999999999998</v>
      </c>
      <c r="I101">
        <v>0.33315600000000001</v>
      </c>
      <c r="J101">
        <v>0.35855999999999999</v>
      </c>
      <c r="K101">
        <v>0.31895600000000002</v>
      </c>
      <c r="L101">
        <v>0.338758</v>
      </c>
      <c r="M101">
        <v>0.33346100000000001</v>
      </c>
      <c r="N101">
        <v>0.29662899999999998</v>
      </c>
    </row>
    <row r="102" spans="1:14" x14ac:dyDescent="0.25">
      <c r="A102">
        <v>102</v>
      </c>
      <c r="B102">
        <v>0.41797600000000001</v>
      </c>
      <c r="C102">
        <v>0.43315100000000001</v>
      </c>
      <c r="D102">
        <v>0.37722</v>
      </c>
      <c r="E102">
        <v>0.39416699999999999</v>
      </c>
      <c r="F102">
        <v>0.36505199999999999</v>
      </c>
      <c r="G102">
        <v>0.35889700000000002</v>
      </c>
      <c r="H102">
        <v>0.52430100000000002</v>
      </c>
      <c r="I102">
        <v>0.36197499999999999</v>
      </c>
      <c r="J102">
        <v>0.37669900000000001</v>
      </c>
      <c r="K102">
        <v>0.34095999999999999</v>
      </c>
      <c r="L102">
        <v>0.35882999999999998</v>
      </c>
      <c r="M102">
        <v>0.35032999999999997</v>
      </c>
      <c r="N102">
        <v>0.31709300000000001</v>
      </c>
    </row>
    <row r="103" spans="1:14" x14ac:dyDescent="0.25">
      <c r="A103">
        <v>103</v>
      </c>
      <c r="B103">
        <v>0.45009700000000002</v>
      </c>
      <c r="C103">
        <v>0.47293099999999999</v>
      </c>
      <c r="D103">
        <v>0.40620499999999998</v>
      </c>
      <c r="E103">
        <v>0.43036600000000003</v>
      </c>
      <c r="F103">
        <v>0.39310200000000001</v>
      </c>
      <c r="G103">
        <v>0.39584200000000003</v>
      </c>
      <c r="H103">
        <v>0.56836500000000001</v>
      </c>
      <c r="I103">
        <v>0.39447199999999999</v>
      </c>
      <c r="J103">
        <v>0.39688400000000001</v>
      </c>
      <c r="K103">
        <v>0.36458600000000002</v>
      </c>
      <c r="L103">
        <v>0.38073499999999999</v>
      </c>
      <c r="M103">
        <v>0.36854199999999998</v>
      </c>
      <c r="N103">
        <v>0.338505</v>
      </c>
    </row>
    <row r="104" spans="1:14" x14ac:dyDescent="0.25">
      <c r="A104">
        <v>104</v>
      </c>
      <c r="B104">
        <v>0.48919600000000002</v>
      </c>
      <c r="C104">
        <v>0.51815800000000001</v>
      </c>
      <c r="D104">
        <v>0.44149699999999997</v>
      </c>
      <c r="E104">
        <v>0.471522</v>
      </c>
      <c r="F104">
        <v>0.427255</v>
      </c>
      <c r="G104">
        <v>0.43836000000000003</v>
      </c>
      <c r="H104">
        <v>0.61638199999999999</v>
      </c>
      <c r="I104">
        <v>0.43280800000000003</v>
      </c>
      <c r="J104">
        <v>0.41885499999999998</v>
      </c>
      <c r="K104">
        <v>0.38999600000000001</v>
      </c>
      <c r="L104">
        <v>0.40442600000000001</v>
      </c>
      <c r="M104">
        <v>0.38785500000000001</v>
      </c>
      <c r="N104">
        <v>0.361016</v>
      </c>
    </row>
    <row r="105" spans="1:14" x14ac:dyDescent="0.25">
      <c r="A105">
        <v>105</v>
      </c>
      <c r="B105">
        <v>0.53761400000000004</v>
      </c>
      <c r="C105">
        <v>0.57055299999999998</v>
      </c>
      <c r="D105">
        <v>0.485182</v>
      </c>
      <c r="E105">
        <v>0.51919599999999999</v>
      </c>
      <c r="F105">
        <v>0.46953099999999998</v>
      </c>
      <c r="G105">
        <v>0.48781600000000003</v>
      </c>
      <c r="H105">
        <v>0.66869599999999996</v>
      </c>
      <c r="I105">
        <v>0.47867399999999999</v>
      </c>
      <c r="J105">
        <v>0.440585</v>
      </c>
      <c r="K105">
        <v>0.41517999999999999</v>
      </c>
      <c r="L105">
        <v>0.42788300000000001</v>
      </c>
      <c r="M105">
        <v>0.40722399999999997</v>
      </c>
      <c r="N105">
        <v>0.38359700000000002</v>
      </c>
    </row>
    <row r="106" spans="1:14" x14ac:dyDescent="0.25">
      <c r="A106">
        <v>106</v>
      </c>
      <c r="B106">
        <v>0.59759600000000002</v>
      </c>
      <c r="C106">
        <v>0.63180499999999995</v>
      </c>
      <c r="D106">
        <v>0.53934300000000002</v>
      </c>
      <c r="E106">
        <v>0.57494999999999996</v>
      </c>
      <c r="F106">
        <v>0.52194499999999999</v>
      </c>
      <c r="G106">
        <v>0.54588599999999998</v>
      </c>
      <c r="H106">
        <v>0.72574499999999997</v>
      </c>
      <c r="I106">
        <v>0.53391599999999995</v>
      </c>
      <c r="J106">
        <v>0.46004299999999998</v>
      </c>
      <c r="K106">
        <v>0.43812600000000002</v>
      </c>
      <c r="L106">
        <v>0.44908500000000001</v>
      </c>
      <c r="M106">
        <v>0.42559900000000001</v>
      </c>
      <c r="N106">
        <v>0.40521699999999999</v>
      </c>
    </row>
    <row r="107" spans="1:14" x14ac:dyDescent="0.25">
      <c r="A107">
        <v>107</v>
      </c>
      <c r="B107">
        <v>0.67164599999999997</v>
      </c>
      <c r="C107">
        <v>0.70362800000000003</v>
      </c>
      <c r="D107">
        <v>0.60606899999999997</v>
      </c>
      <c r="E107">
        <v>0.64034500000000005</v>
      </c>
      <c r="F107">
        <v>0.58651799999999998</v>
      </c>
      <c r="G107">
        <v>0.61430899999999999</v>
      </c>
      <c r="H107">
        <v>0.78649500000000006</v>
      </c>
      <c r="I107">
        <v>0.600414</v>
      </c>
      <c r="J107">
        <v>0.47520000000000001</v>
      </c>
      <c r="K107">
        <v>0.45682400000000001</v>
      </c>
      <c r="L107">
        <v>0.46601199999999998</v>
      </c>
      <c r="M107">
        <v>0.44193500000000002</v>
      </c>
      <c r="N107">
        <v>0.424846</v>
      </c>
    </row>
    <row r="108" spans="1:14" x14ac:dyDescent="0.25">
      <c r="A108">
        <v>108</v>
      </c>
      <c r="B108">
        <v>0.76175800000000005</v>
      </c>
      <c r="C108">
        <v>0.78794799999999998</v>
      </c>
      <c r="D108">
        <v>0.68744400000000006</v>
      </c>
      <c r="E108">
        <v>0.71694400000000003</v>
      </c>
      <c r="F108">
        <v>0.66526799999999997</v>
      </c>
      <c r="G108">
        <v>0.69488399999999995</v>
      </c>
      <c r="H108">
        <v>0.85265899999999994</v>
      </c>
      <c r="I108">
        <v>0.68007600000000001</v>
      </c>
      <c r="J108">
        <v>0.48566999999999999</v>
      </c>
      <c r="K108">
        <v>0.471493</v>
      </c>
      <c r="L108">
        <v>0.47858200000000001</v>
      </c>
      <c r="M108">
        <v>0.45755299999999999</v>
      </c>
      <c r="N108">
        <v>0.44435799999999998</v>
      </c>
    </row>
    <row r="109" spans="1:14" x14ac:dyDescent="0.25">
      <c r="A109">
        <v>109</v>
      </c>
      <c r="B109">
        <v>0.87055000000000005</v>
      </c>
      <c r="C109">
        <v>0.88669100000000001</v>
      </c>
      <c r="D109">
        <v>0.785555</v>
      </c>
      <c r="E109">
        <v>0.80630900000000005</v>
      </c>
      <c r="F109">
        <v>0.76021499999999997</v>
      </c>
      <c r="G109">
        <v>0.78947400000000001</v>
      </c>
      <c r="H109">
        <v>0.92466599999999999</v>
      </c>
      <c r="I109">
        <v>0.77484500000000001</v>
      </c>
      <c r="J109">
        <v>0.492807</v>
      </c>
      <c r="K109">
        <v>0.48347299999999999</v>
      </c>
      <c r="L109">
        <v>0.48814000000000002</v>
      </c>
      <c r="M109">
        <v>0.47315000000000002</v>
      </c>
      <c r="N109">
        <v>0.46446900000000002</v>
      </c>
    </row>
    <row r="110" spans="1:14" x14ac:dyDescent="0.25">
      <c r="A110">
        <v>110</v>
      </c>
      <c r="B110">
        <v>1</v>
      </c>
      <c r="C110">
        <v>1</v>
      </c>
      <c r="D110">
        <v>1</v>
      </c>
      <c r="E110">
        <v>1</v>
      </c>
      <c r="F110">
        <v>1</v>
      </c>
      <c r="G110">
        <v>1</v>
      </c>
      <c r="H110">
        <v>1</v>
      </c>
      <c r="I110">
        <v>1</v>
      </c>
      <c r="J110">
        <v>1</v>
      </c>
      <c r="K110">
        <v>1</v>
      </c>
      <c r="L110">
        <v>0.494813</v>
      </c>
      <c r="M110">
        <v>0.48674499999999998</v>
      </c>
      <c r="N110">
        <v>0.482325</v>
      </c>
    </row>
    <row r="111" spans="1:14" x14ac:dyDescent="0.25">
      <c r="A111">
        <v>111</v>
      </c>
      <c r="B111">
        <v>1</v>
      </c>
      <c r="C111">
        <v>1</v>
      </c>
      <c r="D111">
        <v>1</v>
      </c>
      <c r="E111">
        <v>1</v>
      </c>
      <c r="F111">
        <v>1</v>
      </c>
      <c r="G111">
        <v>1</v>
      </c>
      <c r="H111">
        <v>1</v>
      </c>
      <c r="I111">
        <v>1</v>
      </c>
      <c r="J111">
        <v>1</v>
      </c>
      <c r="K111">
        <v>1</v>
      </c>
      <c r="L111">
        <v>0.498724</v>
      </c>
      <c r="M111">
        <v>0.49635600000000002</v>
      </c>
      <c r="N111">
        <v>0.49510999999999999</v>
      </c>
    </row>
    <row r="112" spans="1:14" x14ac:dyDescent="0.25">
      <c r="A112">
        <v>112</v>
      </c>
      <c r="B112">
        <v>1</v>
      </c>
      <c r="C112">
        <v>1</v>
      </c>
      <c r="D112">
        <v>1</v>
      </c>
      <c r="E112">
        <v>1</v>
      </c>
      <c r="F112">
        <v>1</v>
      </c>
      <c r="G112">
        <v>1</v>
      </c>
      <c r="H112">
        <v>1</v>
      </c>
      <c r="I112">
        <v>1</v>
      </c>
      <c r="J112">
        <v>1</v>
      </c>
      <c r="K112">
        <v>1</v>
      </c>
      <c r="L112">
        <v>0.5</v>
      </c>
      <c r="M112">
        <v>0.5</v>
      </c>
      <c r="N112">
        <v>0.5</v>
      </c>
    </row>
    <row r="113" spans="1:14" x14ac:dyDescent="0.25">
      <c r="A113">
        <v>113</v>
      </c>
      <c r="B113">
        <v>1</v>
      </c>
      <c r="C113">
        <v>1</v>
      </c>
      <c r="D113">
        <v>1</v>
      </c>
      <c r="E113">
        <v>1</v>
      </c>
      <c r="F113">
        <v>1</v>
      </c>
      <c r="G113">
        <v>1</v>
      </c>
      <c r="H113">
        <v>1</v>
      </c>
      <c r="I113">
        <v>1</v>
      </c>
      <c r="J113">
        <v>1</v>
      </c>
      <c r="K113">
        <v>1</v>
      </c>
      <c r="L113">
        <v>0.5</v>
      </c>
      <c r="M113">
        <v>0.5</v>
      </c>
      <c r="N113">
        <v>0.5</v>
      </c>
    </row>
    <row r="114" spans="1:14" x14ac:dyDescent="0.25">
      <c r="A114">
        <v>114</v>
      </c>
      <c r="B114">
        <v>1</v>
      </c>
      <c r="C114">
        <v>1</v>
      </c>
      <c r="D114">
        <v>1</v>
      </c>
      <c r="E114">
        <v>1</v>
      </c>
      <c r="F114">
        <v>1</v>
      </c>
      <c r="G114">
        <v>1</v>
      </c>
      <c r="H114">
        <v>1</v>
      </c>
      <c r="I114">
        <v>1</v>
      </c>
      <c r="J114">
        <v>1</v>
      </c>
      <c r="K114">
        <v>1</v>
      </c>
      <c r="L114">
        <v>0.5</v>
      </c>
      <c r="M114">
        <v>0.5</v>
      </c>
      <c r="N114">
        <v>0.5</v>
      </c>
    </row>
    <row r="115" spans="1:14" x14ac:dyDescent="0.25">
      <c r="A115">
        <v>115</v>
      </c>
      <c r="B115">
        <v>1</v>
      </c>
      <c r="C115">
        <v>1</v>
      </c>
      <c r="D115">
        <v>1</v>
      </c>
      <c r="E115">
        <v>1</v>
      </c>
      <c r="F115">
        <v>1</v>
      </c>
      <c r="G115">
        <v>1</v>
      </c>
      <c r="H115">
        <v>1</v>
      </c>
      <c r="I115">
        <v>1</v>
      </c>
      <c r="J115">
        <v>1</v>
      </c>
      <c r="K115">
        <v>1</v>
      </c>
      <c r="L115">
        <v>0.5</v>
      </c>
      <c r="M115">
        <v>0.5</v>
      </c>
      <c r="N115">
        <v>0.5</v>
      </c>
    </row>
    <row r="116" spans="1:14" x14ac:dyDescent="0.25">
      <c r="A116">
        <v>116</v>
      </c>
      <c r="B116">
        <v>1</v>
      </c>
      <c r="C116">
        <v>1</v>
      </c>
      <c r="D116">
        <v>1</v>
      </c>
      <c r="E116">
        <v>1</v>
      </c>
      <c r="F116">
        <v>1</v>
      </c>
      <c r="G116">
        <v>1</v>
      </c>
      <c r="H116">
        <v>1</v>
      </c>
      <c r="I116">
        <v>1</v>
      </c>
      <c r="J116">
        <v>1</v>
      </c>
      <c r="K116">
        <v>1</v>
      </c>
      <c r="L116">
        <v>0.5</v>
      </c>
      <c r="M116">
        <v>0.5</v>
      </c>
      <c r="N116">
        <v>0.5</v>
      </c>
    </row>
    <row r="117" spans="1:14" x14ac:dyDescent="0.25">
      <c r="A117">
        <v>117</v>
      </c>
      <c r="B117">
        <v>1</v>
      </c>
      <c r="C117">
        <v>1</v>
      </c>
      <c r="D117">
        <v>1</v>
      </c>
      <c r="E117">
        <v>1</v>
      </c>
      <c r="F117">
        <v>1</v>
      </c>
      <c r="G117">
        <v>1</v>
      </c>
      <c r="H117">
        <v>1</v>
      </c>
      <c r="I117">
        <v>1</v>
      </c>
      <c r="J117">
        <v>1</v>
      </c>
      <c r="K117">
        <v>1</v>
      </c>
      <c r="L117">
        <v>0.5</v>
      </c>
      <c r="M117">
        <v>0.5</v>
      </c>
      <c r="N117">
        <v>0.5</v>
      </c>
    </row>
    <row r="118" spans="1:14" x14ac:dyDescent="0.25">
      <c r="A118">
        <v>118</v>
      </c>
      <c r="B118">
        <v>1</v>
      </c>
      <c r="C118">
        <v>1</v>
      </c>
      <c r="D118">
        <v>1</v>
      </c>
      <c r="E118">
        <v>1</v>
      </c>
      <c r="F118">
        <v>1</v>
      </c>
      <c r="G118">
        <v>1</v>
      </c>
      <c r="H118">
        <v>1</v>
      </c>
      <c r="I118">
        <v>1</v>
      </c>
      <c r="J118">
        <v>1</v>
      </c>
      <c r="K118">
        <v>1</v>
      </c>
      <c r="L118">
        <v>0.5</v>
      </c>
      <c r="M118">
        <v>0.5</v>
      </c>
      <c r="N118">
        <v>0.5</v>
      </c>
    </row>
    <row r="119" spans="1:14" x14ac:dyDescent="0.25">
      <c r="A119">
        <v>119</v>
      </c>
      <c r="B119">
        <v>1</v>
      </c>
      <c r="C119">
        <v>1</v>
      </c>
      <c r="D119">
        <v>1</v>
      </c>
      <c r="E119">
        <v>1</v>
      </c>
      <c r="F119">
        <v>1</v>
      </c>
      <c r="G119">
        <v>1</v>
      </c>
      <c r="H119">
        <v>1</v>
      </c>
      <c r="I119">
        <v>1</v>
      </c>
      <c r="J119">
        <v>1</v>
      </c>
      <c r="K119">
        <v>1</v>
      </c>
      <c r="L119">
        <v>0.5</v>
      </c>
      <c r="M119">
        <v>0.5</v>
      </c>
      <c r="N119">
        <v>0.5</v>
      </c>
    </row>
    <row r="120" spans="1:14" x14ac:dyDescent="0.25">
      <c r="A120">
        <v>120</v>
      </c>
      <c r="B120">
        <v>1</v>
      </c>
      <c r="C120">
        <v>1</v>
      </c>
      <c r="D120">
        <v>1</v>
      </c>
      <c r="E120">
        <v>1</v>
      </c>
      <c r="F120">
        <v>1</v>
      </c>
      <c r="G120">
        <v>1</v>
      </c>
      <c r="H120">
        <v>1</v>
      </c>
      <c r="I120">
        <v>1</v>
      </c>
      <c r="J120">
        <v>1</v>
      </c>
      <c r="K120">
        <v>1</v>
      </c>
      <c r="L120">
        <v>1</v>
      </c>
      <c r="M120">
        <v>1</v>
      </c>
      <c r="N120">
        <v>1</v>
      </c>
    </row>
  </sheetData>
  <phoneticPr fontId="0" type="noConversion"/>
  <pageMargins left="0.75" right="0.75" top="1" bottom="1" header="0.5" footer="0.5"/>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4"/>
  <dimension ref="A1:AB12"/>
  <sheetViews>
    <sheetView workbookViewId="0">
      <selection activeCell="M25" sqref="M25"/>
    </sheetView>
  </sheetViews>
  <sheetFormatPr defaultRowHeight="12.5" x14ac:dyDescent="0.25"/>
  <sheetData>
    <row r="1" spans="1:28" x14ac:dyDescent="0.25">
      <c r="D1" t="s">
        <v>28</v>
      </c>
      <c r="Q1" t="s">
        <v>29</v>
      </c>
    </row>
    <row r="2" spans="1:28" x14ac:dyDescent="0.25">
      <c r="A2" t="s">
        <v>30</v>
      </c>
      <c r="B2" t="s">
        <v>31</v>
      </c>
      <c r="D2" t="s">
        <v>32</v>
      </c>
      <c r="E2" t="s">
        <v>33</v>
      </c>
      <c r="F2" t="s">
        <v>34</v>
      </c>
      <c r="G2" t="s">
        <v>35</v>
      </c>
      <c r="H2" t="s">
        <v>36</v>
      </c>
      <c r="I2" t="s">
        <v>37</v>
      </c>
      <c r="J2" t="s">
        <v>38</v>
      </c>
      <c r="K2" t="s">
        <v>27</v>
      </c>
      <c r="L2" t="s">
        <v>39</v>
      </c>
      <c r="M2" t="s">
        <v>40</v>
      </c>
      <c r="N2" t="s">
        <v>41</v>
      </c>
      <c r="O2" t="s">
        <v>42</v>
      </c>
      <c r="Q2" t="s">
        <v>32</v>
      </c>
      <c r="R2" t="s">
        <v>33</v>
      </c>
      <c r="S2" t="s">
        <v>34</v>
      </c>
      <c r="T2" t="s">
        <v>35</v>
      </c>
      <c r="U2" t="s">
        <v>36</v>
      </c>
      <c r="V2" t="s">
        <v>37</v>
      </c>
      <c r="W2" t="s">
        <v>38</v>
      </c>
      <c r="X2" t="s">
        <v>27</v>
      </c>
      <c r="Y2" t="s">
        <v>39</v>
      </c>
      <c r="Z2" t="s">
        <v>40</v>
      </c>
      <c r="AA2" t="s">
        <v>41</v>
      </c>
      <c r="AB2" t="s">
        <v>42</v>
      </c>
    </row>
    <row r="3" spans="1:28" x14ac:dyDescent="0.25">
      <c r="A3">
        <v>99991</v>
      </c>
      <c r="B3" t="s">
        <v>43</v>
      </c>
      <c r="D3" t="s">
        <v>44</v>
      </c>
      <c r="E3" t="s">
        <v>15</v>
      </c>
      <c r="G3">
        <v>9498</v>
      </c>
      <c r="H3">
        <v>36526</v>
      </c>
      <c r="K3">
        <v>900</v>
      </c>
      <c r="M3">
        <v>1</v>
      </c>
      <c r="N3">
        <v>0</v>
      </c>
      <c r="O3">
        <v>0</v>
      </c>
      <c r="Q3" t="s">
        <v>44</v>
      </c>
      <c r="R3" t="s">
        <v>15</v>
      </c>
      <c r="T3">
        <v>9498</v>
      </c>
      <c r="U3">
        <v>36526</v>
      </c>
      <c r="X3">
        <v>900</v>
      </c>
      <c r="Z3">
        <v>1</v>
      </c>
      <c r="AA3">
        <v>0</v>
      </c>
      <c r="AB3">
        <v>0</v>
      </c>
    </row>
    <row r="4" spans="1:28" x14ac:dyDescent="0.25">
      <c r="A4">
        <v>99992</v>
      </c>
      <c r="B4" t="s">
        <v>45</v>
      </c>
      <c r="D4" t="s">
        <v>44</v>
      </c>
      <c r="E4" t="s">
        <v>15</v>
      </c>
      <c r="G4">
        <v>9863</v>
      </c>
      <c r="H4">
        <v>36526</v>
      </c>
      <c r="K4">
        <v>1000</v>
      </c>
      <c r="M4">
        <v>1</v>
      </c>
      <c r="N4">
        <v>0</v>
      </c>
      <c r="O4">
        <v>0</v>
      </c>
      <c r="Q4" t="s">
        <v>44</v>
      </c>
      <c r="R4" t="s">
        <v>15</v>
      </c>
      <c r="T4">
        <v>9863</v>
      </c>
      <c r="U4">
        <v>36526</v>
      </c>
      <c r="X4">
        <v>1000</v>
      </c>
      <c r="Z4">
        <v>1</v>
      </c>
      <c r="AA4">
        <v>0</v>
      </c>
      <c r="AB4">
        <v>0</v>
      </c>
    </row>
    <row r="5" spans="1:28" x14ac:dyDescent="0.25">
      <c r="A5">
        <v>99993</v>
      </c>
      <c r="B5" t="s">
        <v>46</v>
      </c>
      <c r="D5" t="s">
        <v>44</v>
      </c>
      <c r="E5" t="s">
        <v>15</v>
      </c>
      <c r="G5">
        <v>10228</v>
      </c>
      <c r="H5">
        <v>36526</v>
      </c>
      <c r="K5">
        <v>1010</v>
      </c>
      <c r="M5">
        <v>1</v>
      </c>
      <c r="N5">
        <v>0</v>
      </c>
      <c r="O5">
        <v>0</v>
      </c>
      <c r="Q5" t="s">
        <v>44</v>
      </c>
      <c r="R5" t="s">
        <v>15</v>
      </c>
      <c r="T5">
        <v>10228</v>
      </c>
      <c r="U5">
        <v>36526</v>
      </c>
      <c r="X5">
        <v>1010</v>
      </c>
      <c r="Z5">
        <v>1</v>
      </c>
      <c r="AA5">
        <v>0</v>
      </c>
      <c r="AB5">
        <v>0</v>
      </c>
    </row>
    <row r="6" spans="1:28" x14ac:dyDescent="0.25">
      <c r="A6">
        <v>99994</v>
      </c>
      <c r="B6" t="s">
        <v>47</v>
      </c>
      <c r="D6" t="s">
        <v>48</v>
      </c>
      <c r="E6" t="s">
        <v>16</v>
      </c>
      <c r="G6">
        <v>10594</v>
      </c>
      <c r="H6">
        <v>36526</v>
      </c>
      <c r="K6">
        <v>1500</v>
      </c>
      <c r="M6">
        <v>1</v>
      </c>
      <c r="N6">
        <v>0</v>
      </c>
      <c r="O6">
        <v>0</v>
      </c>
      <c r="Q6" t="s">
        <v>48</v>
      </c>
      <c r="R6" t="s">
        <v>16</v>
      </c>
      <c r="T6">
        <v>10594</v>
      </c>
      <c r="U6">
        <v>36526</v>
      </c>
      <c r="X6">
        <v>1500</v>
      </c>
      <c r="Z6">
        <v>1</v>
      </c>
      <c r="AA6">
        <v>0</v>
      </c>
      <c r="AB6">
        <v>0</v>
      </c>
    </row>
    <row r="7" spans="1:28" x14ac:dyDescent="0.25">
      <c r="A7">
        <v>99995</v>
      </c>
      <c r="B7" t="s">
        <v>49</v>
      </c>
      <c r="D7" t="s">
        <v>44</v>
      </c>
      <c r="E7" t="s">
        <v>15</v>
      </c>
      <c r="G7">
        <v>10959</v>
      </c>
      <c r="H7">
        <v>36526</v>
      </c>
      <c r="K7">
        <v>800</v>
      </c>
      <c r="M7">
        <v>1</v>
      </c>
      <c r="N7">
        <v>0</v>
      </c>
      <c r="O7">
        <v>0</v>
      </c>
      <c r="Q7" t="s">
        <v>44</v>
      </c>
      <c r="R7" t="s">
        <v>15</v>
      </c>
      <c r="T7">
        <v>10959</v>
      </c>
      <c r="U7">
        <v>36526</v>
      </c>
      <c r="X7">
        <v>800</v>
      </c>
      <c r="Z7">
        <v>1</v>
      </c>
      <c r="AA7">
        <v>0</v>
      </c>
      <c r="AB7">
        <v>0</v>
      </c>
    </row>
    <row r="8" spans="1:28" x14ac:dyDescent="0.25">
      <c r="A8">
        <v>99996</v>
      </c>
      <c r="B8" t="s">
        <v>50</v>
      </c>
      <c r="D8" t="s">
        <v>44</v>
      </c>
      <c r="E8" t="s">
        <v>16</v>
      </c>
      <c r="G8">
        <v>11324</v>
      </c>
      <c r="H8">
        <v>36526</v>
      </c>
      <c r="K8">
        <v>300</v>
      </c>
      <c r="M8">
        <v>1</v>
      </c>
      <c r="N8">
        <v>0</v>
      </c>
      <c r="O8">
        <v>0</v>
      </c>
      <c r="Q8" t="s">
        <v>44</v>
      </c>
      <c r="R8" t="s">
        <v>16</v>
      </c>
      <c r="T8">
        <v>11324</v>
      </c>
      <c r="U8">
        <v>36526</v>
      </c>
      <c r="X8">
        <v>300</v>
      </c>
      <c r="Z8">
        <v>1</v>
      </c>
      <c r="AA8">
        <v>0</v>
      </c>
      <c r="AB8">
        <v>0</v>
      </c>
    </row>
    <row r="9" spans="1:28" x14ac:dyDescent="0.25">
      <c r="A9">
        <v>99997</v>
      </c>
      <c r="B9" t="s">
        <v>51</v>
      </c>
      <c r="D9" t="s">
        <v>48</v>
      </c>
      <c r="E9" t="s">
        <v>15</v>
      </c>
      <c r="G9">
        <v>11689</v>
      </c>
      <c r="H9">
        <v>36526</v>
      </c>
      <c r="K9">
        <v>550</v>
      </c>
      <c r="M9">
        <v>1</v>
      </c>
      <c r="N9">
        <v>0</v>
      </c>
      <c r="O9">
        <v>0</v>
      </c>
      <c r="Q9" t="s">
        <v>48</v>
      </c>
      <c r="R9" t="s">
        <v>15</v>
      </c>
      <c r="T9">
        <v>11689</v>
      </c>
      <c r="U9">
        <v>36526</v>
      </c>
      <c r="X9">
        <v>550</v>
      </c>
      <c r="Z9">
        <v>1</v>
      </c>
      <c r="AA9">
        <v>0</v>
      </c>
      <c r="AB9">
        <v>0</v>
      </c>
    </row>
    <row r="10" spans="1:28" x14ac:dyDescent="0.25">
      <c r="A10">
        <v>99998</v>
      </c>
      <c r="B10" t="s">
        <v>52</v>
      </c>
      <c r="D10" t="s">
        <v>44</v>
      </c>
      <c r="E10" t="s">
        <v>16</v>
      </c>
      <c r="G10">
        <v>12055</v>
      </c>
      <c r="H10">
        <v>36526</v>
      </c>
      <c r="K10">
        <v>620</v>
      </c>
      <c r="M10">
        <v>1</v>
      </c>
      <c r="N10">
        <v>5</v>
      </c>
      <c r="O10">
        <v>0</v>
      </c>
      <c r="Q10" t="s">
        <v>44</v>
      </c>
      <c r="R10" t="s">
        <v>16</v>
      </c>
      <c r="T10">
        <v>12055</v>
      </c>
      <c r="U10">
        <v>36526</v>
      </c>
      <c r="X10">
        <v>620</v>
      </c>
      <c r="Z10">
        <v>1</v>
      </c>
      <c r="AA10">
        <v>5</v>
      </c>
      <c r="AB10">
        <v>0</v>
      </c>
    </row>
    <row r="11" spans="1:28" x14ac:dyDescent="0.25">
      <c r="A11">
        <v>99999</v>
      </c>
      <c r="B11" t="s">
        <v>53</v>
      </c>
      <c r="D11" t="s">
        <v>44</v>
      </c>
      <c r="E11" t="s">
        <v>16</v>
      </c>
      <c r="F11" t="s">
        <v>15</v>
      </c>
      <c r="G11">
        <v>12420</v>
      </c>
      <c r="H11">
        <v>36526</v>
      </c>
      <c r="I11">
        <v>13150</v>
      </c>
      <c r="K11">
        <v>370</v>
      </c>
      <c r="M11">
        <v>2</v>
      </c>
      <c r="N11">
        <v>0</v>
      </c>
      <c r="O11">
        <v>0.5</v>
      </c>
      <c r="Q11" t="s">
        <v>44</v>
      </c>
      <c r="R11" t="s">
        <v>16</v>
      </c>
      <c r="S11" t="s">
        <v>15</v>
      </c>
      <c r="T11">
        <v>12420</v>
      </c>
      <c r="U11">
        <v>36526</v>
      </c>
      <c r="V11">
        <v>13150</v>
      </c>
      <c r="X11">
        <v>370</v>
      </c>
      <c r="Z11">
        <v>2</v>
      </c>
      <c r="AA11">
        <v>0</v>
      </c>
      <c r="AB11">
        <v>0.5</v>
      </c>
    </row>
    <row r="12" spans="1:28" x14ac:dyDescent="0.25">
      <c r="A12">
        <v>100000</v>
      </c>
      <c r="B12" t="s">
        <v>54</v>
      </c>
      <c r="D12" t="s">
        <v>44</v>
      </c>
      <c r="E12" t="s">
        <v>16</v>
      </c>
      <c r="G12">
        <v>16438</v>
      </c>
      <c r="H12">
        <v>36526</v>
      </c>
      <c r="J12">
        <v>40179</v>
      </c>
      <c r="K12">
        <v>888</v>
      </c>
      <c r="M12">
        <v>1</v>
      </c>
      <c r="N12">
        <v>0</v>
      </c>
      <c r="O12">
        <v>0</v>
      </c>
      <c r="Q12" t="s">
        <v>44</v>
      </c>
      <c r="R12" t="s">
        <v>16</v>
      </c>
      <c r="T12">
        <v>16438</v>
      </c>
      <c r="U12">
        <v>36526</v>
      </c>
      <c r="W12">
        <v>40179</v>
      </c>
      <c r="X12">
        <v>888</v>
      </c>
      <c r="Z12">
        <v>1</v>
      </c>
      <c r="AA12">
        <v>0</v>
      </c>
      <c r="AB12">
        <v>0</v>
      </c>
    </row>
  </sheetData>
  <phoneticPr fontId="6" type="noConversion"/>
  <pageMargins left="0.75" right="0.75" top="1" bottom="1" header="0.5" footer="0.5"/>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3"/>
  <dimension ref="B2:I30"/>
  <sheetViews>
    <sheetView workbookViewId="0">
      <selection activeCell="G23" sqref="G23"/>
    </sheetView>
  </sheetViews>
  <sheetFormatPr defaultRowHeight="12.5" x14ac:dyDescent="0.25"/>
  <sheetData>
    <row r="2" spans="2:9" x14ac:dyDescent="0.25">
      <c r="B2" t="s">
        <v>19</v>
      </c>
    </row>
    <row r="3" spans="2:9" x14ac:dyDescent="0.25">
      <c r="B3" t="s">
        <v>20</v>
      </c>
      <c r="I3" s="6"/>
    </row>
    <row r="4" spans="2:9" x14ac:dyDescent="0.25">
      <c r="B4" t="s">
        <v>21</v>
      </c>
      <c r="I4" s="6"/>
    </row>
    <row r="6" spans="2:9" x14ac:dyDescent="0.25">
      <c r="B6" t="s">
        <v>22</v>
      </c>
      <c r="I6" s="6"/>
    </row>
    <row r="7" spans="2:9" x14ac:dyDescent="0.25">
      <c r="B7" t="s">
        <v>23</v>
      </c>
      <c r="I7" s="6"/>
    </row>
    <row r="9" spans="2:9" x14ac:dyDescent="0.25">
      <c r="B9" t="s">
        <v>24</v>
      </c>
    </row>
    <row r="10" spans="2:9" x14ac:dyDescent="0.25">
      <c r="C10">
        <v>0.05</v>
      </c>
      <c r="D10">
        <v>5.5E-2</v>
      </c>
      <c r="E10">
        <v>0.06</v>
      </c>
      <c r="F10">
        <v>6.5000000000000002E-2</v>
      </c>
      <c r="G10">
        <v>7.0000000000000007E-2</v>
      </c>
      <c r="H10">
        <v>7.4999999999999997E-2</v>
      </c>
      <c r="I10">
        <v>0.08</v>
      </c>
    </row>
    <row r="11" spans="2:9" x14ac:dyDescent="0.25">
      <c r="B11">
        <v>50</v>
      </c>
      <c r="C11">
        <v>15.687993648276905</v>
      </c>
      <c r="D11">
        <v>14.866696525156701</v>
      </c>
      <c r="E11">
        <v>14.119600501563138</v>
      </c>
      <c r="F11">
        <v>13.438227561164139</v>
      </c>
      <c r="G11">
        <v>12.815221646570249</v>
      </c>
      <c r="H11">
        <v>12.244183895648726</v>
      </c>
      <c r="I11">
        <v>11.719534079128486</v>
      </c>
    </row>
    <row r="12" spans="2:9" x14ac:dyDescent="0.25">
      <c r="B12">
        <v>51</v>
      </c>
      <c r="C12">
        <v>15.462270526378283</v>
      </c>
      <c r="D12">
        <v>14.66719152097291</v>
      </c>
      <c r="E12">
        <v>13.942734844821716</v>
      </c>
      <c r="F12">
        <v>13.280963958689261</v>
      </c>
      <c r="G12">
        <v>12.674975924740064</v>
      </c>
      <c r="H12">
        <v>12.118751949099112</v>
      </c>
      <c r="I12">
        <v>11.607031339282761</v>
      </c>
    </row>
    <row r="13" spans="2:9" x14ac:dyDescent="0.25">
      <c r="B13">
        <v>52</v>
      </c>
      <c r="C13">
        <v>15.229122091343541</v>
      </c>
      <c r="D13">
        <v>14.460417373322603</v>
      </c>
      <c r="E13">
        <v>13.758814250037124</v>
      </c>
      <c r="F13">
        <v>13.116898348059689</v>
      </c>
      <c r="G13">
        <v>12.528205244935325</v>
      </c>
      <c r="H13">
        <v>11.987085254131411</v>
      </c>
      <c r="I13">
        <v>11.488589074246628</v>
      </c>
    </row>
    <row r="14" spans="2:9" x14ac:dyDescent="0.25">
      <c r="B14">
        <v>53</v>
      </c>
      <c r="C14">
        <v>14.988737007917148</v>
      </c>
      <c r="D14">
        <v>14.246514379556865</v>
      </c>
      <c r="E14">
        <v>13.567936886254893</v>
      </c>
      <c r="F14">
        <v>12.946092536001752</v>
      </c>
      <c r="G14">
        <v>12.374940295249424</v>
      </c>
      <c r="H14">
        <v>11.849188089522896</v>
      </c>
      <c r="I14">
        <v>11.364189340537511</v>
      </c>
    </row>
    <row r="15" spans="2:9" x14ac:dyDescent="0.25">
      <c r="B15">
        <v>54</v>
      </c>
      <c r="C15">
        <v>14.741005622463922</v>
      </c>
      <c r="D15">
        <v>14.025339487154445</v>
      </c>
      <c r="E15">
        <v>13.369930931890087</v>
      </c>
      <c r="F15">
        <v>12.768350318382941</v>
      </c>
      <c r="G15">
        <v>12.214964548860005</v>
      </c>
      <c r="H15">
        <v>11.704827297270535</v>
      </c>
      <c r="I15">
        <v>11.233585658781577</v>
      </c>
    </row>
    <row r="16" spans="2:9" x14ac:dyDescent="0.25">
      <c r="B16">
        <v>55</v>
      </c>
      <c r="C16">
        <v>14.48569448193072</v>
      </c>
      <c r="D16">
        <v>13.796629949517062</v>
      </c>
      <c r="E16">
        <v>13.164508366594164</v>
      </c>
      <c r="F16">
        <v>12.583362287620268</v>
      </c>
      <c r="G16">
        <v>12.047950863767133</v>
      </c>
      <c r="H16">
        <v>11.553661363129708</v>
      </c>
      <c r="I16">
        <v>11.096425187304384</v>
      </c>
    </row>
    <row r="17" spans="2:9" x14ac:dyDescent="0.25">
      <c r="B17">
        <v>56</v>
      </c>
      <c r="C17">
        <v>14.222915607590837</v>
      </c>
      <c r="D17">
        <v>13.56044958615926</v>
      </c>
      <c r="E17">
        <v>12.951690097270234</v>
      </c>
      <c r="F17">
        <v>12.391111504723993</v>
      </c>
      <c r="G17">
        <v>11.873849206971684</v>
      </c>
      <c r="H17">
        <v>11.395611546457513</v>
      </c>
      <c r="I17">
        <v>10.952604477099918</v>
      </c>
    </row>
    <row r="18" spans="2:9" x14ac:dyDescent="0.25">
      <c r="B18">
        <v>57</v>
      </c>
      <c r="C18">
        <v>13.953115355866565</v>
      </c>
      <c r="D18">
        <v>13.317181042376742</v>
      </c>
      <c r="E18">
        <v>12.731801187181816</v>
      </c>
      <c r="F18">
        <v>12.191871323712096</v>
      </c>
      <c r="G18">
        <v>11.692886747975432</v>
      </c>
      <c r="H18">
        <v>11.23086395817082</v>
      </c>
      <c r="I18">
        <v>10.802273285759131</v>
      </c>
    </row>
    <row r="19" spans="2:9" x14ac:dyDescent="0.25">
      <c r="B19">
        <v>58</v>
      </c>
      <c r="C19">
        <v>13.677103035702148</v>
      </c>
      <c r="D19">
        <v>13.06755602991039</v>
      </c>
      <c r="E19">
        <v>12.50550246768487</v>
      </c>
      <c r="F19">
        <v>11.986238154895856</v>
      </c>
      <c r="G19">
        <v>11.505601582767135</v>
      </c>
      <c r="H19">
        <v>11.059904079702445</v>
      </c>
      <c r="I19">
        <v>10.645869747681663</v>
      </c>
    </row>
    <row r="20" spans="2:9" x14ac:dyDescent="0.25">
      <c r="B20">
        <v>59</v>
      </c>
      <c r="C20">
        <v>13.395348885465696</v>
      </c>
      <c r="D20">
        <v>12.81198713047746</v>
      </c>
      <c r="E20">
        <v>12.273153482686894</v>
      </c>
      <c r="F20">
        <v>11.774523130687415</v>
      </c>
      <c r="G20">
        <v>11.312260937466876</v>
      </c>
      <c r="H20">
        <v>10.882959530723692</v>
      </c>
      <c r="I20">
        <v>10.483585918784552</v>
      </c>
    </row>
    <row r="21" spans="2:9" x14ac:dyDescent="0.25">
      <c r="B21">
        <v>60</v>
      </c>
      <c r="C21">
        <v>13.108052421406752</v>
      </c>
      <c r="D21">
        <v>12.550630392133957</v>
      </c>
      <c r="E21">
        <v>12.034869919376487</v>
      </c>
      <c r="F21">
        <v>11.55680488078688</v>
      </c>
      <c r="G21">
        <v>11.112909733097219</v>
      </c>
      <c r="H21">
        <v>10.700044813253941</v>
      </c>
      <c r="I21">
        <v>10.31540904239791</v>
      </c>
    </row>
    <row r="22" spans="2:9" x14ac:dyDescent="0.25">
      <c r="B22">
        <v>61</v>
      </c>
      <c r="C22">
        <v>12.815672849121682</v>
      </c>
      <c r="D22">
        <v>12.283891381359046</v>
      </c>
      <c r="E22">
        <v>11.791007187869525</v>
      </c>
      <c r="F22">
        <v>11.333392335304415</v>
      </c>
      <c r="G22">
        <v>10.907814139994619</v>
      </c>
      <c r="H22">
        <v>10.511386996935535</v>
      </c>
      <c r="I22">
        <v>10.141530613966738</v>
      </c>
    </row>
    <row r="23" spans="2:9" x14ac:dyDescent="0.25">
      <c r="B23">
        <v>62</v>
      </c>
      <c r="C23">
        <v>12.518951792384129</v>
      </c>
      <c r="D23">
        <v>12.012449276532713</v>
      </c>
      <c r="E23">
        <v>11.542185699840458</v>
      </c>
      <c r="F23">
        <v>11.104851028440766</v>
      </c>
      <c r="G23">
        <v>10.69748876382598</v>
      </c>
      <c r="H23">
        <v>10.317453660297135</v>
      </c>
      <c r="I23">
        <v>9.9623749645152184</v>
      </c>
    </row>
    <row r="24" spans="2:9" x14ac:dyDescent="0.25">
      <c r="B24">
        <v>63</v>
      </c>
      <c r="C24">
        <v>12.218884402030746</v>
      </c>
      <c r="D24">
        <v>11.737231676564107</v>
      </c>
      <c r="E24">
        <v>11.289269054931275</v>
      </c>
      <c r="F24">
        <v>10.8719843706989</v>
      </c>
      <c r="G24">
        <v>10.482680738749902</v>
      </c>
      <c r="H24">
        <v>10.11893956458122</v>
      </c>
      <c r="I24">
        <v>9.7785882971273832</v>
      </c>
    </row>
    <row r="25" spans="2:9" x14ac:dyDescent="0.25">
      <c r="B25">
        <v>64</v>
      </c>
      <c r="C25">
        <v>11.916523058132114</v>
      </c>
      <c r="D25">
        <v>11.459228225752748</v>
      </c>
      <c r="E25">
        <v>11.03318688498482</v>
      </c>
      <c r="F25">
        <v>10.635665068798517</v>
      </c>
      <c r="G25">
        <v>10.26420913343199</v>
      </c>
      <c r="H25">
        <v>9.9166135054457847</v>
      </c>
      <c r="I25">
        <v>9.5908924886347062</v>
      </c>
    </row>
    <row r="26" spans="2:9" x14ac:dyDescent="0.25">
      <c r="B26">
        <v>65</v>
      </c>
      <c r="C26">
        <v>11.612616468136409</v>
      </c>
      <c r="D26">
        <v>11.179143900238227</v>
      </c>
      <c r="E26">
        <v>10.774601440726912</v>
      </c>
      <c r="F26">
        <v>10.396514191913782</v>
      </c>
      <c r="G26">
        <v>10.042655738022241</v>
      </c>
      <c r="H26">
        <v>9.7110201186900671</v>
      </c>
      <c r="I26">
        <v>9.3997972643258567</v>
      </c>
    </row>
    <row r="29" spans="2:9" x14ac:dyDescent="0.25">
      <c r="B29" t="s">
        <v>1</v>
      </c>
      <c r="C29">
        <v>55</v>
      </c>
    </row>
    <row r="30" spans="2:9" x14ac:dyDescent="0.25">
      <c r="B30" t="s">
        <v>25</v>
      </c>
      <c r="C30">
        <v>0.06</v>
      </c>
    </row>
  </sheetData>
  <phoneticPr fontId="6" type="noConversion"/>
  <pageMargins left="0.75" right="0.75" top="1" bottom="1" header="0.5" footer="0.5"/>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B1:D33"/>
  <sheetViews>
    <sheetView workbookViewId="0">
      <selection activeCell="E29" sqref="E29"/>
    </sheetView>
  </sheetViews>
  <sheetFormatPr defaultRowHeight="12.5" x14ac:dyDescent="0.25"/>
  <cols>
    <col min="1" max="1" width="2" customWidth="1"/>
    <col min="2" max="2" width="36.54296875" customWidth="1"/>
    <col min="3" max="3" width="11.54296875" customWidth="1"/>
    <col min="4" max="4" width="40.26953125" customWidth="1"/>
  </cols>
  <sheetData>
    <row r="1" spans="2:4" ht="13" thickBot="1" x14ac:dyDescent="0.3"/>
    <row r="2" spans="2:4" ht="19" thickBot="1" x14ac:dyDescent="0.5">
      <c r="B2" s="211" t="s">
        <v>828</v>
      </c>
      <c r="C2" s="212"/>
      <c r="D2" s="213"/>
    </row>
    <row r="3" spans="2:4" ht="16" thickBot="1" x14ac:dyDescent="0.3">
      <c r="B3" s="117" t="s">
        <v>829</v>
      </c>
      <c r="C3" s="118" t="s">
        <v>830</v>
      </c>
      <c r="D3" s="117" t="s">
        <v>831</v>
      </c>
    </row>
    <row r="4" spans="2:4" x14ac:dyDescent="0.25">
      <c r="B4" s="119" t="s">
        <v>832</v>
      </c>
      <c r="C4" s="120">
        <v>1</v>
      </c>
      <c r="D4" s="121" t="s">
        <v>833</v>
      </c>
    </row>
    <row r="5" spans="2:4" x14ac:dyDescent="0.25">
      <c r="B5" s="122" t="s">
        <v>834</v>
      </c>
      <c r="C5" s="123">
        <v>2</v>
      </c>
      <c r="D5" s="124" t="s">
        <v>835</v>
      </c>
    </row>
    <row r="6" spans="2:4" x14ac:dyDescent="0.25">
      <c r="B6" s="122" t="s">
        <v>836</v>
      </c>
      <c r="C6" s="123">
        <v>3</v>
      </c>
      <c r="D6" s="124" t="s">
        <v>837</v>
      </c>
    </row>
    <row r="7" spans="2:4" x14ac:dyDescent="0.25">
      <c r="B7" s="122" t="s">
        <v>838</v>
      </c>
      <c r="C7" s="123">
        <v>4</v>
      </c>
      <c r="D7" s="124" t="s">
        <v>839</v>
      </c>
    </row>
    <row r="8" spans="2:4" x14ac:dyDescent="0.25">
      <c r="B8" s="122" t="s">
        <v>840</v>
      </c>
      <c r="C8" s="123">
        <v>5</v>
      </c>
      <c r="D8" s="124" t="s">
        <v>841</v>
      </c>
    </row>
    <row r="9" spans="2:4" x14ac:dyDescent="0.25">
      <c r="B9" s="122" t="s">
        <v>842</v>
      </c>
      <c r="C9" s="123">
        <v>6</v>
      </c>
      <c r="D9" s="124" t="s">
        <v>843</v>
      </c>
    </row>
    <row r="10" spans="2:4" x14ac:dyDescent="0.25">
      <c r="B10" s="122" t="s">
        <v>844</v>
      </c>
      <c r="C10" s="123">
        <v>7</v>
      </c>
      <c r="D10" s="124" t="s">
        <v>845</v>
      </c>
    </row>
    <row r="11" spans="2:4" ht="13" thickBot="1" x14ac:dyDescent="0.3"/>
    <row r="12" spans="2:4" ht="19" thickBot="1" x14ac:dyDescent="0.5">
      <c r="B12" s="211" t="s">
        <v>846</v>
      </c>
      <c r="C12" s="212"/>
      <c r="D12" s="213"/>
    </row>
    <row r="13" spans="2:4" ht="16" thickBot="1" x14ac:dyDescent="0.3">
      <c r="B13" s="117" t="s">
        <v>829</v>
      </c>
      <c r="C13" s="118" t="s">
        <v>830</v>
      </c>
      <c r="D13" s="117" t="s">
        <v>682</v>
      </c>
    </row>
    <row r="14" spans="2:4" x14ac:dyDescent="0.25">
      <c r="B14" s="125" t="s">
        <v>847</v>
      </c>
      <c r="C14" s="126">
        <v>0</v>
      </c>
      <c r="D14" s="127" t="s">
        <v>848</v>
      </c>
    </row>
    <row r="15" spans="2:4" x14ac:dyDescent="0.25">
      <c r="B15" s="128" t="s">
        <v>849</v>
      </c>
      <c r="C15" s="129">
        <v>1</v>
      </c>
      <c r="D15" s="130" t="s">
        <v>850</v>
      </c>
    </row>
    <row r="16" spans="2:4" x14ac:dyDescent="0.25">
      <c r="B16" s="128" t="s">
        <v>851</v>
      </c>
      <c r="C16" s="129">
        <v>2</v>
      </c>
      <c r="D16" s="130" t="s">
        <v>852</v>
      </c>
    </row>
    <row r="17" spans="2:4" x14ac:dyDescent="0.25">
      <c r="B17" s="128" t="s">
        <v>853</v>
      </c>
      <c r="C17" s="129">
        <v>3</v>
      </c>
      <c r="D17" s="130" t="s">
        <v>854</v>
      </c>
    </row>
    <row r="18" spans="2:4" x14ac:dyDescent="0.25">
      <c r="B18" s="128" t="s">
        <v>855</v>
      </c>
      <c r="C18" s="129">
        <v>4</v>
      </c>
      <c r="D18" s="130" t="s">
        <v>856</v>
      </c>
    </row>
    <row r="19" spans="2:4" x14ac:dyDescent="0.25">
      <c r="B19" s="128" t="s">
        <v>857</v>
      </c>
      <c r="C19" s="129">
        <v>5</v>
      </c>
      <c r="D19" s="130" t="s">
        <v>858</v>
      </c>
    </row>
    <row r="20" spans="2:4" ht="14.5" x14ac:dyDescent="0.25">
      <c r="B20" s="131" t="s">
        <v>859</v>
      </c>
      <c r="C20" s="132">
        <v>16</v>
      </c>
      <c r="D20" s="133" t="s">
        <v>860</v>
      </c>
    </row>
    <row r="21" spans="2:4" x14ac:dyDescent="0.25">
      <c r="B21" s="131" t="s">
        <v>861</v>
      </c>
      <c r="C21" s="134">
        <v>32</v>
      </c>
      <c r="D21" s="133" t="s">
        <v>862</v>
      </c>
    </row>
    <row r="22" spans="2:4" x14ac:dyDescent="0.25">
      <c r="B22" s="131" t="s">
        <v>863</v>
      </c>
      <c r="C22" s="134">
        <v>48</v>
      </c>
      <c r="D22" s="133" t="s">
        <v>864</v>
      </c>
    </row>
    <row r="23" spans="2:4" x14ac:dyDescent="0.25">
      <c r="B23" s="131" t="s">
        <v>865</v>
      </c>
      <c r="C23" s="134">
        <v>64</v>
      </c>
      <c r="D23" s="133" t="s">
        <v>866</v>
      </c>
    </row>
    <row r="24" spans="2:4" x14ac:dyDescent="0.25">
      <c r="B24" s="135" t="s">
        <v>867</v>
      </c>
      <c r="C24" s="136">
        <v>0</v>
      </c>
      <c r="D24" s="137" t="s">
        <v>868</v>
      </c>
    </row>
    <row r="25" spans="2:4" ht="14.5" x14ac:dyDescent="0.25">
      <c r="B25" s="135" t="s">
        <v>869</v>
      </c>
      <c r="C25" s="138">
        <v>256</v>
      </c>
      <c r="D25" s="137" t="s">
        <v>870</v>
      </c>
    </row>
    <row r="26" spans="2:4" x14ac:dyDescent="0.25">
      <c r="B26" s="135" t="s">
        <v>871</v>
      </c>
      <c r="C26" s="136">
        <v>512</v>
      </c>
      <c r="D26" s="137" t="s">
        <v>872</v>
      </c>
    </row>
    <row r="27" spans="2:4" x14ac:dyDescent="0.25">
      <c r="B27" s="135" t="s">
        <v>873</v>
      </c>
      <c r="C27" s="136">
        <v>768</v>
      </c>
      <c r="D27" s="137" t="s">
        <v>874</v>
      </c>
    </row>
    <row r="28" spans="2:4" ht="37.5" x14ac:dyDescent="0.25">
      <c r="B28" s="139" t="s">
        <v>875</v>
      </c>
      <c r="C28" s="140">
        <v>0</v>
      </c>
      <c r="D28" s="141" t="s">
        <v>876</v>
      </c>
    </row>
    <row r="29" spans="2:4" ht="88" thickBot="1" x14ac:dyDescent="0.3">
      <c r="B29" s="142" t="s">
        <v>877</v>
      </c>
      <c r="C29" s="143">
        <v>4096</v>
      </c>
      <c r="D29" s="144" t="s">
        <v>878</v>
      </c>
    </row>
    <row r="30" spans="2:4" x14ac:dyDescent="0.25">
      <c r="B30" s="214" t="s">
        <v>879</v>
      </c>
      <c r="C30" s="215"/>
      <c r="D30" s="216"/>
    </row>
    <row r="31" spans="2:4" x14ac:dyDescent="0.25">
      <c r="B31" s="217" t="s">
        <v>880</v>
      </c>
      <c r="C31" s="218"/>
      <c r="D31" s="219"/>
    </row>
    <row r="32" spans="2:4" x14ac:dyDescent="0.25">
      <c r="B32" s="220" t="s">
        <v>881</v>
      </c>
      <c r="C32" s="221"/>
      <c r="D32" s="222"/>
    </row>
    <row r="33" spans="2:4" ht="13" thickBot="1" x14ac:dyDescent="0.3">
      <c r="B33" s="208" t="s">
        <v>882</v>
      </c>
      <c r="C33" s="209"/>
      <c r="D33" s="210"/>
    </row>
  </sheetData>
  <mergeCells count="6">
    <mergeCell ref="B33:D33"/>
    <mergeCell ref="B2:D2"/>
    <mergeCell ref="B12:D12"/>
    <mergeCell ref="B30:D30"/>
    <mergeCell ref="B31:D31"/>
    <mergeCell ref="B32:D32"/>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5"/>
  <dimension ref="A1:I504"/>
  <sheetViews>
    <sheetView workbookViewId="0">
      <pane xSplit="1" ySplit="5" topLeftCell="B474" activePane="bottomRight" state="frozen"/>
      <selection activeCell="F444" sqref="F444"/>
      <selection pane="topRight" activeCell="F444" sqref="F444"/>
      <selection pane="bottomLeft" activeCell="F444" sqref="F444"/>
      <selection pane="bottomRight" activeCell="F494" sqref="F494:H494"/>
    </sheetView>
  </sheetViews>
  <sheetFormatPr defaultRowHeight="12.5" x14ac:dyDescent="0.25"/>
  <cols>
    <col min="1" max="1" width="39.7265625" customWidth="1"/>
    <col min="2" max="9" width="12.81640625" customWidth="1"/>
  </cols>
  <sheetData>
    <row r="1" spans="1:9" x14ac:dyDescent="0.25">
      <c r="A1" s="76" t="s">
        <v>657</v>
      </c>
    </row>
    <row r="2" spans="1:9" x14ac:dyDescent="0.25">
      <c r="A2" t="s">
        <v>532</v>
      </c>
    </row>
    <row r="5" spans="1:9" x14ac:dyDescent="0.25">
      <c r="A5" t="s">
        <v>59</v>
      </c>
      <c r="B5" t="s">
        <v>533</v>
      </c>
      <c r="C5" t="s">
        <v>534</v>
      </c>
      <c r="D5" t="s">
        <v>535</v>
      </c>
      <c r="E5" t="s">
        <v>536</v>
      </c>
      <c r="F5" t="s">
        <v>537</v>
      </c>
      <c r="G5" t="s">
        <v>538</v>
      </c>
      <c r="H5" t="s">
        <v>539</v>
      </c>
      <c r="I5" t="s">
        <v>540</v>
      </c>
    </row>
    <row r="6" spans="1:9" x14ac:dyDescent="0.25">
      <c r="A6" t="s">
        <v>283</v>
      </c>
      <c r="B6">
        <v>203</v>
      </c>
      <c r="C6">
        <v>203</v>
      </c>
      <c r="D6">
        <v>203</v>
      </c>
      <c r="E6">
        <v>203</v>
      </c>
      <c r="F6">
        <v>203</v>
      </c>
      <c r="G6">
        <v>203</v>
      </c>
      <c r="H6">
        <v>203</v>
      </c>
      <c r="I6">
        <v>203</v>
      </c>
    </row>
    <row r="7" spans="1:9" x14ac:dyDescent="0.25">
      <c r="A7" t="s">
        <v>60</v>
      </c>
      <c r="B7">
        <v>5757405</v>
      </c>
      <c r="C7">
        <v>5757405</v>
      </c>
      <c r="D7">
        <v>5757405</v>
      </c>
      <c r="E7">
        <v>5757405</v>
      </c>
      <c r="F7">
        <v>5757405</v>
      </c>
      <c r="G7">
        <v>5757405</v>
      </c>
      <c r="H7">
        <v>5757405</v>
      </c>
      <c r="I7">
        <v>5757405</v>
      </c>
    </row>
    <row r="8" spans="1:9" x14ac:dyDescent="0.25">
      <c r="A8" t="s">
        <v>284</v>
      </c>
      <c r="B8">
        <v>50.57</v>
      </c>
      <c r="C8">
        <v>50.57</v>
      </c>
      <c r="D8">
        <v>50.57</v>
      </c>
      <c r="E8">
        <v>50.57</v>
      </c>
      <c r="F8">
        <v>50.57</v>
      </c>
      <c r="G8">
        <v>50.57</v>
      </c>
      <c r="H8">
        <v>50.57</v>
      </c>
      <c r="I8">
        <v>50.57</v>
      </c>
    </row>
    <row r="9" spans="1:9" x14ac:dyDescent="0.25">
      <c r="A9" t="s">
        <v>61</v>
      </c>
      <c r="B9">
        <v>16.48</v>
      </c>
      <c r="C9">
        <v>16.48</v>
      </c>
      <c r="D9">
        <v>16.48</v>
      </c>
      <c r="E9">
        <v>16.48</v>
      </c>
      <c r="F9">
        <v>16.48</v>
      </c>
      <c r="G9">
        <v>16.48</v>
      </c>
      <c r="H9">
        <v>16.48</v>
      </c>
      <c r="I9">
        <v>16.48</v>
      </c>
    </row>
    <row r="10" spans="1:9" x14ac:dyDescent="0.25">
      <c r="A10" t="s">
        <v>62</v>
      </c>
      <c r="B10">
        <v>77.83</v>
      </c>
      <c r="C10">
        <v>77.83</v>
      </c>
      <c r="D10">
        <v>77.83</v>
      </c>
      <c r="E10">
        <v>77.83</v>
      </c>
      <c r="F10">
        <v>77.83</v>
      </c>
      <c r="G10">
        <v>77.83</v>
      </c>
      <c r="H10">
        <v>77.83</v>
      </c>
      <c r="I10">
        <v>77.83</v>
      </c>
    </row>
    <row r="11" spans="1:9" x14ac:dyDescent="0.25">
      <c r="A11" t="s">
        <v>63</v>
      </c>
      <c r="B11">
        <v>8.43</v>
      </c>
      <c r="F11">
        <v>8.43</v>
      </c>
      <c r="G11">
        <v>8.43</v>
      </c>
      <c r="H11">
        <v>8.43</v>
      </c>
      <c r="I11">
        <v>8.43</v>
      </c>
    </row>
    <row r="12" spans="1:9" x14ac:dyDescent="0.25">
      <c r="A12" t="s">
        <v>64</v>
      </c>
      <c r="B12">
        <v>1711.18</v>
      </c>
      <c r="F12">
        <v>1711.18</v>
      </c>
      <c r="G12">
        <v>1711.18</v>
      </c>
      <c r="H12">
        <v>1711.18</v>
      </c>
      <c r="I12">
        <v>1710.78</v>
      </c>
    </row>
    <row r="13" spans="1:9" x14ac:dyDescent="0.25">
      <c r="A13" t="s">
        <v>285</v>
      </c>
      <c r="B13">
        <v>63.18</v>
      </c>
      <c r="C13">
        <v>63.18</v>
      </c>
      <c r="D13">
        <v>63.18</v>
      </c>
      <c r="E13">
        <v>63.18</v>
      </c>
      <c r="F13">
        <v>63.18</v>
      </c>
      <c r="G13">
        <v>63.18</v>
      </c>
      <c r="H13">
        <v>63.18</v>
      </c>
      <c r="I13">
        <v>63.18</v>
      </c>
    </row>
    <row r="14" spans="1:9" x14ac:dyDescent="0.25">
      <c r="A14" t="s">
        <v>65</v>
      </c>
      <c r="B14">
        <v>199</v>
      </c>
      <c r="C14">
        <v>199</v>
      </c>
      <c r="D14">
        <v>199</v>
      </c>
      <c r="E14">
        <v>199</v>
      </c>
      <c r="F14">
        <v>199</v>
      </c>
      <c r="G14">
        <v>199</v>
      </c>
      <c r="H14">
        <v>199</v>
      </c>
      <c r="I14">
        <v>199</v>
      </c>
    </row>
    <row r="15" spans="1:9" x14ac:dyDescent="0.25">
      <c r="A15" t="s">
        <v>66</v>
      </c>
      <c r="B15">
        <v>5421340</v>
      </c>
      <c r="C15">
        <v>5421340</v>
      </c>
      <c r="D15">
        <v>5421340</v>
      </c>
      <c r="E15">
        <v>5421340</v>
      </c>
      <c r="F15">
        <v>5421340</v>
      </c>
      <c r="G15">
        <v>5421340</v>
      </c>
      <c r="H15">
        <v>5421340</v>
      </c>
      <c r="I15">
        <v>5421340</v>
      </c>
    </row>
    <row r="16" spans="1:9" x14ac:dyDescent="0.25">
      <c r="A16" t="s">
        <v>67</v>
      </c>
      <c r="B16">
        <v>102</v>
      </c>
      <c r="C16">
        <v>102</v>
      </c>
      <c r="D16">
        <v>102</v>
      </c>
      <c r="E16">
        <v>102</v>
      </c>
      <c r="F16">
        <v>102</v>
      </c>
      <c r="G16">
        <v>102</v>
      </c>
      <c r="H16">
        <v>102</v>
      </c>
      <c r="I16">
        <v>102</v>
      </c>
    </row>
    <row r="17" spans="1:9" x14ac:dyDescent="0.25">
      <c r="A17" t="s">
        <v>68</v>
      </c>
      <c r="B17">
        <v>39</v>
      </c>
      <c r="C17">
        <v>39</v>
      </c>
      <c r="D17">
        <v>39</v>
      </c>
      <c r="E17">
        <v>39</v>
      </c>
      <c r="F17">
        <v>39</v>
      </c>
      <c r="G17">
        <v>39</v>
      </c>
      <c r="H17">
        <v>39</v>
      </c>
      <c r="I17">
        <v>39</v>
      </c>
    </row>
    <row r="18" spans="1:9" x14ac:dyDescent="0.25">
      <c r="A18" t="s">
        <v>69</v>
      </c>
      <c r="B18">
        <v>60</v>
      </c>
      <c r="C18">
        <v>60</v>
      </c>
      <c r="D18">
        <v>60</v>
      </c>
      <c r="E18">
        <v>60</v>
      </c>
      <c r="F18">
        <v>60</v>
      </c>
      <c r="G18">
        <v>60</v>
      </c>
      <c r="H18">
        <v>60</v>
      </c>
      <c r="I18">
        <v>60</v>
      </c>
    </row>
    <row r="19" spans="1:9" x14ac:dyDescent="0.25">
      <c r="A19" t="s">
        <v>70</v>
      </c>
    </row>
    <row r="20" spans="1:9" x14ac:dyDescent="0.25">
      <c r="A20" t="s">
        <v>71</v>
      </c>
      <c r="B20">
        <v>3</v>
      </c>
      <c r="C20">
        <v>3</v>
      </c>
      <c r="D20">
        <v>3</v>
      </c>
      <c r="E20">
        <v>3</v>
      </c>
      <c r="F20">
        <v>3</v>
      </c>
      <c r="G20">
        <v>3</v>
      </c>
      <c r="H20">
        <v>3</v>
      </c>
      <c r="I20">
        <v>3</v>
      </c>
    </row>
    <row r="21" spans="1:9" x14ac:dyDescent="0.25">
      <c r="A21" t="s">
        <v>72</v>
      </c>
    </row>
    <row r="22" spans="1:9" x14ac:dyDescent="0.25">
      <c r="A22" t="s">
        <v>73</v>
      </c>
      <c r="B22">
        <v>55.08</v>
      </c>
      <c r="C22">
        <v>55.08</v>
      </c>
      <c r="D22">
        <v>55.08</v>
      </c>
      <c r="E22">
        <v>55.08</v>
      </c>
      <c r="F22">
        <v>55.08</v>
      </c>
      <c r="G22">
        <v>55.08</v>
      </c>
      <c r="H22">
        <v>55.08</v>
      </c>
      <c r="I22">
        <v>55.08</v>
      </c>
    </row>
    <row r="23" spans="1:9" x14ac:dyDescent="0.25">
      <c r="A23" t="s">
        <v>74</v>
      </c>
      <c r="B23">
        <v>63.88</v>
      </c>
      <c r="C23">
        <v>63.88</v>
      </c>
      <c r="D23">
        <v>63.88</v>
      </c>
      <c r="E23">
        <v>63.88</v>
      </c>
      <c r="F23">
        <v>63.88</v>
      </c>
      <c r="G23">
        <v>63.88</v>
      </c>
      <c r="H23">
        <v>63.88</v>
      </c>
      <c r="I23">
        <v>63.88</v>
      </c>
    </row>
    <row r="24" spans="1:9" x14ac:dyDescent="0.25">
      <c r="A24" t="s">
        <v>75</v>
      </c>
      <c r="B24">
        <v>49.65</v>
      </c>
      <c r="C24">
        <v>49.65</v>
      </c>
      <c r="D24">
        <v>49.65</v>
      </c>
      <c r="E24">
        <v>49.65</v>
      </c>
      <c r="F24">
        <v>49.65</v>
      </c>
      <c r="G24">
        <v>49.65</v>
      </c>
      <c r="H24">
        <v>49.65</v>
      </c>
      <c r="I24">
        <v>49.65</v>
      </c>
    </row>
    <row r="25" spans="1:9" x14ac:dyDescent="0.25">
      <c r="A25" t="s">
        <v>76</v>
      </c>
    </row>
    <row r="26" spans="1:9" x14ac:dyDescent="0.25">
      <c r="A26" t="s">
        <v>77</v>
      </c>
      <c r="B26">
        <v>49.39</v>
      </c>
      <c r="C26">
        <v>49.39</v>
      </c>
      <c r="D26">
        <v>49.39</v>
      </c>
      <c r="E26">
        <v>49.39</v>
      </c>
      <c r="F26">
        <v>49.39</v>
      </c>
      <c r="G26">
        <v>49.39</v>
      </c>
      <c r="H26">
        <v>49.39</v>
      </c>
      <c r="I26">
        <v>49.39</v>
      </c>
    </row>
    <row r="27" spans="1:9" x14ac:dyDescent="0.25">
      <c r="A27" t="s">
        <v>78</v>
      </c>
    </row>
    <row r="28" spans="1:9" x14ac:dyDescent="0.25">
      <c r="A28" t="s">
        <v>79</v>
      </c>
      <c r="B28">
        <v>71.569999999999993</v>
      </c>
      <c r="C28">
        <v>71.569999999999993</v>
      </c>
      <c r="D28">
        <v>71.569999999999993</v>
      </c>
      <c r="E28">
        <v>71.569999999999993</v>
      </c>
      <c r="F28">
        <v>71.569999999999993</v>
      </c>
      <c r="G28">
        <v>71.569999999999993</v>
      </c>
      <c r="H28">
        <v>71.569999999999993</v>
      </c>
      <c r="I28">
        <v>71.569999999999993</v>
      </c>
    </row>
    <row r="29" spans="1:9" x14ac:dyDescent="0.25">
      <c r="A29" t="s">
        <v>80</v>
      </c>
      <c r="B29">
        <v>74.36</v>
      </c>
      <c r="C29">
        <v>74.36</v>
      </c>
      <c r="D29">
        <v>74.36</v>
      </c>
      <c r="E29">
        <v>74.36</v>
      </c>
      <c r="F29">
        <v>74.36</v>
      </c>
      <c r="G29">
        <v>74.36</v>
      </c>
      <c r="H29">
        <v>74.36</v>
      </c>
      <c r="I29">
        <v>74.36</v>
      </c>
    </row>
    <row r="30" spans="1:9" x14ac:dyDescent="0.25">
      <c r="A30" t="s">
        <v>81</v>
      </c>
      <c r="B30">
        <v>71.67</v>
      </c>
      <c r="C30">
        <v>71.67</v>
      </c>
      <c r="D30">
        <v>71.67</v>
      </c>
      <c r="E30">
        <v>71.67</v>
      </c>
      <c r="F30">
        <v>71.67</v>
      </c>
      <c r="G30">
        <v>71.67</v>
      </c>
      <c r="H30">
        <v>71.67</v>
      </c>
      <c r="I30">
        <v>71.67</v>
      </c>
    </row>
    <row r="31" spans="1:9" x14ac:dyDescent="0.25">
      <c r="A31" t="s">
        <v>82</v>
      </c>
    </row>
    <row r="32" spans="1:9" x14ac:dyDescent="0.25">
      <c r="A32" t="s">
        <v>83</v>
      </c>
      <c r="B32">
        <v>33.33</v>
      </c>
      <c r="C32">
        <v>33.33</v>
      </c>
      <c r="D32">
        <v>33.33</v>
      </c>
      <c r="E32">
        <v>33.33</v>
      </c>
      <c r="F32">
        <v>33.33</v>
      </c>
      <c r="G32">
        <v>33.33</v>
      </c>
      <c r="H32">
        <v>33.33</v>
      </c>
      <c r="I32">
        <v>33.33</v>
      </c>
    </row>
    <row r="33" spans="1:9" x14ac:dyDescent="0.25">
      <c r="A33" t="s">
        <v>84</v>
      </c>
    </row>
    <row r="34" spans="1:9" x14ac:dyDescent="0.25">
      <c r="A34" t="s">
        <v>85</v>
      </c>
      <c r="B34">
        <v>4435746</v>
      </c>
      <c r="C34">
        <v>4435746</v>
      </c>
      <c r="D34">
        <v>4435746</v>
      </c>
      <c r="E34">
        <v>4435746</v>
      </c>
      <c r="F34">
        <v>4435746</v>
      </c>
      <c r="G34">
        <v>4435746</v>
      </c>
      <c r="H34">
        <v>4435746</v>
      </c>
      <c r="I34">
        <v>4435746</v>
      </c>
    </row>
    <row r="35" spans="1:9" x14ac:dyDescent="0.25">
      <c r="A35" t="s">
        <v>86</v>
      </c>
      <c r="B35">
        <v>4169708</v>
      </c>
      <c r="C35">
        <v>4169708</v>
      </c>
      <c r="D35">
        <v>4169708</v>
      </c>
      <c r="E35">
        <v>4169708</v>
      </c>
      <c r="F35">
        <v>4169708</v>
      </c>
      <c r="G35">
        <v>4169708</v>
      </c>
      <c r="H35">
        <v>4169708</v>
      </c>
      <c r="I35">
        <v>4169708</v>
      </c>
    </row>
    <row r="36" spans="1:9" x14ac:dyDescent="0.25">
      <c r="A36" t="s">
        <v>87</v>
      </c>
      <c r="B36">
        <v>0</v>
      </c>
      <c r="C36">
        <v>0</v>
      </c>
      <c r="D36">
        <v>0</v>
      </c>
      <c r="E36">
        <v>0</v>
      </c>
      <c r="F36">
        <v>0</v>
      </c>
      <c r="G36">
        <v>0</v>
      </c>
      <c r="H36">
        <v>0</v>
      </c>
      <c r="I36">
        <v>0</v>
      </c>
    </row>
    <row r="37" spans="1:9" x14ac:dyDescent="0.25">
      <c r="A37" t="s">
        <v>88</v>
      </c>
    </row>
    <row r="38" spans="1:9" x14ac:dyDescent="0.25">
      <c r="A38" t="s">
        <v>89</v>
      </c>
      <c r="B38">
        <v>266039</v>
      </c>
      <c r="C38">
        <v>266039</v>
      </c>
      <c r="D38">
        <v>266039</v>
      </c>
      <c r="E38">
        <v>266039</v>
      </c>
      <c r="F38">
        <v>266039</v>
      </c>
      <c r="G38">
        <v>266039</v>
      </c>
      <c r="H38">
        <v>266039</v>
      </c>
      <c r="I38">
        <v>266039</v>
      </c>
    </row>
    <row r="39" spans="1:9" x14ac:dyDescent="0.25">
      <c r="A39" t="s">
        <v>90</v>
      </c>
    </row>
    <row r="40" spans="1:9" x14ac:dyDescent="0.25">
      <c r="A40" t="s">
        <v>91</v>
      </c>
      <c r="B40">
        <v>646097</v>
      </c>
      <c r="C40">
        <v>646097</v>
      </c>
      <c r="D40">
        <v>646097</v>
      </c>
      <c r="E40">
        <v>646097</v>
      </c>
      <c r="F40">
        <v>646097</v>
      </c>
      <c r="G40">
        <v>646097</v>
      </c>
      <c r="H40">
        <v>646097</v>
      </c>
      <c r="I40">
        <v>646097</v>
      </c>
    </row>
    <row r="41" spans="1:9" x14ac:dyDescent="0.25">
      <c r="A41" t="s">
        <v>92</v>
      </c>
      <c r="B41">
        <v>0</v>
      </c>
      <c r="C41">
        <v>0</v>
      </c>
      <c r="D41">
        <v>0</v>
      </c>
      <c r="E41">
        <v>0</v>
      </c>
      <c r="F41">
        <v>0</v>
      </c>
      <c r="G41">
        <v>0</v>
      </c>
      <c r="H41">
        <v>0</v>
      </c>
      <c r="I41">
        <v>0</v>
      </c>
    </row>
    <row r="42" spans="1:9" x14ac:dyDescent="0.25">
      <c r="A42" t="s">
        <v>93</v>
      </c>
      <c r="B42">
        <v>646097</v>
      </c>
      <c r="C42">
        <v>646097</v>
      </c>
      <c r="D42">
        <v>646097</v>
      </c>
      <c r="E42">
        <v>646097</v>
      </c>
      <c r="F42">
        <v>646097</v>
      </c>
      <c r="G42">
        <v>646097</v>
      </c>
      <c r="H42">
        <v>646097</v>
      </c>
      <c r="I42">
        <v>646097</v>
      </c>
    </row>
    <row r="43" spans="1:9" x14ac:dyDescent="0.25">
      <c r="A43" t="s">
        <v>94</v>
      </c>
    </row>
    <row r="44" spans="1:9" x14ac:dyDescent="0.25">
      <c r="A44" t="s">
        <v>95</v>
      </c>
      <c r="B44">
        <v>0</v>
      </c>
      <c r="C44">
        <v>0</v>
      </c>
      <c r="D44">
        <v>0</v>
      </c>
      <c r="E44">
        <v>0</v>
      </c>
      <c r="F44">
        <v>0</v>
      </c>
      <c r="G44">
        <v>0</v>
      </c>
      <c r="H44">
        <v>0</v>
      </c>
      <c r="I44">
        <v>0</v>
      </c>
    </row>
    <row r="45" spans="1:9" x14ac:dyDescent="0.25">
      <c r="A45" t="s">
        <v>96</v>
      </c>
    </row>
    <row r="46" spans="1:9" x14ac:dyDescent="0.25">
      <c r="A46" t="s">
        <v>97</v>
      </c>
      <c r="B46">
        <v>5081843</v>
      </c>
      <c r="C46">
        <v>5081843</v>
      </c>
      <c r="D46">
        <v>5081843</v>
      </c>
      <c r="E46">
        <v>5081843</v>
      </c>
      <c r="F46">
        <v>5081843</v>
      </c>
      <c r="G46">
        <v>5081843</v>
      </c>
      <c r="H46">
        <v>5081843</v>
      </c>
      <c r="I46">
        <v>5081843</v>
      </c>
    </row>
    <row r="47" spans="1:9" x14ac:dyDescent="0.25">
      <c r="A47" t="s">
        <v>98</v>
      </c>
      <c r="B47">
        <v>4169708</v>
      </c>
      <c r="C47">
        <v>4169708</v>
      </c>
      <c r="D47">
        <v>4169708</v>
      </c>
      <c r="E47">
        <v>4169708</v>
      </c>
      <c r="F47">
        <v>4169708</v>
      </c>
      <c r="G47">
        <v>4169708</v>
      </c>
      <c r="H47">
        <v>4169708</v>
      </c>
      <c r="I47">
        <v>4169708</v>
      </c>
    </row>
    <row r="48" spans="1:9" x14ac:dyDescent="0.25">
      <c r="A48" t="s">
        <v>99</v>
      </c>
      <c r="B48">
        <v>646097</v>
      </c>
      <c r="C48">
        <v>646097</v>
      </c>
      <c r="D48">
        <v>646097</v>
      </c>
      <c r="E48">
        <v>646097</v>
      </c>
      <c r="F48">
        <v>646097</v>
      </c>
      <c r="G48">
        <v>646097</v>
      </c>
      <c r="H48">
        <v>646097</v>
      </c>
      <c r="I48">
        <v>646097</v>
      </c>
    </row>
    <row r="49" spans="1:9" x14ac:dyDescent="0.25">
      <c r="A49" t="s">
        <v>100</v>
      </c>
    </row>
    <row r="50" spans="1:9" x14ac:dyDescent="0.25">
      <c r="A50" t="s">
        <v>101</v>
      </c>
      <c r="B50">
        <v>266039</v>
      </c>
      <c r="C50">
        <v>266039</v>
      </c>
      <c r="D50">
        <v>266039</v>
      </c>
      <c r="E50">
        <v>266039</v>
      </c>
      <c r="F50">
        <v>266039</v>
      </c>
      <c r="G50">
        <v>266039</v>
      </c>
      <c r="H50">
        <v>266039</v>
      </c>
      <c r="I50">
        <v>266039</v>
      </c>
    </row>
    <row r="51" spans="1:9" x14ac:dyDescent="0.25">
      <c r="A51" t="s">
        <v>102</v>
      </c>
    </row>
    <row r="52" spans="1:9" x14ac:dyDescent="0.25">
      <c r="A52" t="s">
        <v>103</v>
      </c>
      <c r="B52">
        <v>0</v>
      </c>
      <c r="C52">
        <v>0</v>
      </c>
      <c r="D52">
        <v>0</v>
      </c>
      <c r="E52">
        <v>0</v>
      </c>
      <c r="F52">
        <v>0</v>
      </c>
      <c r="G52">
        <v>0</v>
      </c>
      <c r="H52">
        <v>0</v>
      </c>
      <c r="I52">
        <v>0</v>
      </c>
    </row>
    <row r="53" spans="1:9" x14ac:dyDescent="0.25">
      <c r="A53" t="s">
        <v>104</v>
      </c>
      <c r="B53">
        <v>0</v>
      </c>
      <c r="C53">
        <v>0</v>
      </c>
      <c r="D53">
        <v>0</v>
      </c>
      <c r="E53">
        <v>0</v>
      </c>
      <c r="F53">
        <v>0</v>
      </c>
      <c r="G53">
        <v>0</v>
      </c>
      <c r="H53">
        <v>0</v>
      </c>
      <c r="I53">
        <v>0</v>
      </c>
    </row>
    <row r="54" spans="1:9" x14ac:dyDescent="0.25">
      <c r="A54" t="s">
        <v>105</v>
      </c>
      <c r="B54">
        <v>0</v>
      </c>
      <c r="C54">
        <v>0</v>
      </c>
      <c r="D54">
        <v>0</v>
      </c>
      <c r="E54">
        <v>0</v>
      </c>
      <c r="F54">
        <v>0</v>
      </c>
      <c r="G54">
        <v>0</v>
      </c>
      <c r="H54">
        <v>0</v>
      </c>
      <c r="I54">
        <v>0</v>
      </c>
    </row>
    <row r="55" spans="1:9" x14ac:dyDescent="0.25">
      <c r="A55" t="s">
        <v>106</v>
      </c>
    </row>
    <row r="56" spans="1:9" x14ac:dyDescent="0.25">
      <c r="A56" t="s">
        <v>107</v>
      </c>
      <c r="B56">
        <v>0</v>
      </c>
      <c r="C56">
        <v>0</v>
      </c>
      <c r="D56">
        <v>0</v>
      </c>
      <c r="E56">
        <v>0</v>
      </c>
      <c r="F56">
        <v>0</v>
      </c>
      <c r="G56">
        <v>0</v>
      </c>
      <c r="H56">
        <v>0</v>
      </c>
      <c r="I56">
        <v>0</v>
      </c>
    </row>
    <row r="57" spans="1:9" x14ac:dyDescent="0.25">
      <c r="A57" t="s">
        <v>108</v>
      </c>
    </row>
    <row r="58" spans="1:9" x14ac:dyDescent="0.25">
      <c r="A58" t="s">
        <v>109</v>
      </c>
      <c r="B58">
        <v>0</v>
      </c>
      <c r="C58">
        <v>0</v>
      </c>
      <c r="D58">
        <v>0</v>
      </c>
      <c r="E58">
        <v>0</v>
      </c>
      <c r="F58">
        <v>0</v>
      </c>
      <c r="G58">
        <v>0</v>
      </c>
      <c r="H58">
        <v>0</v>
      </c>
      <c r="I58">
        <v>0</v>
      </c>
    </row>
    <row r="59" spans="1:9" x14ac:dyDescent="0.25">
      <c r="A59" t="s">
        <v>110</v>
      </c>
      <c r="B59">
        <v>0</v>
      </c>
      <c r="C59">
        <v>0</v>
      </c>
      <c r="D59">
        <v>0</v>
      </c>
      <c r="E59">
        <v>0</v>
      </c>
      <c r="F59">
        <v>0</v>
      </c>
      <c r="G59">
        <v>0</v>
      </c>
      <c r="H59">
        <v>0</v>
      </c>
      <c r="I59">
        <v>0</v>
      </c>
    </row>
    <row r="60" spans="1:9" x14ac:dyDescent="0.25">
      <c r="A60" t="s">
        <v>111</v>
      </c>
      <c r="B60">
        <v>0</v>
      </c>
      <c r="C60">
        <v>0</v>
      </c>
      <c r="D60">
        <v>0</v>
      </c>
      <c r="E60">
        <v>0</v>
      </c>
      <c r="F60">
        <v>0</v>
      </c>
      <c r="G60">
        <v>0</v>
      </c>
      <c r="H60">
        <v>0</v>
      </c>
      <c r="I60">
        <v>0</v>
      </c>
    </row>
    <row r="61" spans="1:9" x14ac:dyDescent="0.25">
      <c r="A61" t="s">
        <v>112</v>
      </c>
    </row>
    <row r="62" spans="1:9" x14ac:dyDescent="0.25">
      <c r="A62" t="s">
        <v>113</v>
      </c>
      <c r="B62">
        <v>0</v>
      </c>
      <c r="C62">
        <v>0</v>
      </c>
      <c r="D62">
        <v>0</v>
      </c>
      <c r="E62">
        <v>0</v>
      </c>
      <c r="F62">
        <v>0</v>
      </c>
      <c r="G62">
        <v>0</v>
      </c>
      <c r="H62">
        <v>0</v>
      </c>
      <c r="I62">
        <v>0</v>
      </c>
    </row>
    <row r="63" spans="1:9" x14ac:dyDescent="0.25">
      <c r="A63" t="s">
        <v>114</v>
      </c>
    </row>
    <row r="64" spans="1:9" x14ac:dyDescent="0.25">
      <c r="A64" t="s">
        <v>115</v>
      </c>
      <c r="B64">
        <v>32.840000000000003</v>
      </c>
      <c r="F64">
        <v>32.840000000000003</v>
      </c>
      <c r="G64">
        <v>32.840000000000003</v>
      </c>
      <c r="H64">
        <v>32.840000000000003</v>
      </c>
      <c r="I64">
        <v>32.76</v>
      </c>
    </row>
    <row r="65" spans="1:9" x14ac:dyDescent="0.25">
      <c r="A65" t="s">
        <v>116</v>
      </c>
      <c r="B65">
        <v>28.95</v>
      </c>
      <c r="F65">
        <v>28.95</v>
      </c>
      <c r="G65">
        <v>28.95</v>
      </c>
      <c r="H65">
        <v>28.95</v>
      </c>
      <c r="I65">
        <v>28.88</v>
      </c>
    </row>
    <row r="66" spans="1:9" x14ac:dyDescent="0.25">
      <c r="A66" t="s">
        <v>117</v>
      </c>
      <c r="B66">
        <v>31.54</v>
      </c>
      <c r="F66">
        <v>31.54</v>
      </c>
      <c r="G66">
        <v>31.54</v>
      </c>
      <c r="H66">
        <v>31.54</v>
      </c>
      <c r="I66">
        <v>31.46</v>
      </c>
    </row>
    <row r="67" spans="1:9" x14ac:dyDescent="0.25">
      <c r="A67" t="s">
        <v>118</v>
      </c>
      <c r="B67">
        <v>6666.06</v>
      </c>
      <c r="F67">
        <v>6666.06</v>
      </c>
      <c r="G67">
        <v>6666.06</v>
      </c>
      <c r="H67">
        <v>6666.06</v>
      </c>
      <c r="I67">
        <v>6649.61</v>
      </c>
    </row>
    <row r="68" spans="1:9" x14ac:dyDescent="0.25">
      <c r="A68" t="s">
        <v>119</v>
      </c>
      <c r="B68">
        <v>2953.24</v>
      </c>
      <c r="F68">
        <v>2953.24</v>
      </c>
      <c r="G68">
        <v>2953.24</v>
      </c>
      <c r="H68">
        <v>2953.24</v>
      </c>
      <c r="I68">
        <v>2945.71</v>
      </c>
    </row>
    <row r="69" spans="1:9" x14ac:dyDescent="0.25">
      <c r="A69" t="s">
        <v>120</v>
      </c>
      <c r="B69">
        <v>9619.31</v>
      </c>
      <c r="F69">
        <v>9619.31</v>
      </c>
      <c r="G69">
        <v>9619.31</v>
      </c>
      <c r="H69">
        <v>9619.31</v>
      </c>
      <c r="I69">
        <v>9595.32</v>
      </c>
    </row>
    <row r="70" spans="1:9" x14ac:dyDescent="0.25">
      <c r="A70" t="s">
        <v>121</v>
      </c>
      <c r="B70">
        <v>54504475</v>
      </c>
      <c r="C70">
        <v>52911540</v>
      </c>
      <c r="D70">
        <v>52993983</v>
      </c>
      <c r="E70">
        <v>52931379</v>
      </c>
      <c r="F70">
        <v>56683399</v>
      </c>
      <c r="G70">
        <v>56616007</v>
      </c>
      <c r="H70">
        <v>54439700</v>
      </c>
      <c r="I70">
        <v>54420170</v>
      </c>
    </row>
    <row r="71" spans="1:9" x14ac:dyDescent="0.25">
      <c r="A71" t="s">
        <v>122</v>
      </c>
      <c r="B71">
        <v>34894264</v>
      </c>
      <c r="C71">
        <v>33749903</v>
      </c>
      <c r="D71">
        <v>33820326</v>
      </c>
      <c r="E71">
        <v>33757723</v>
      </c>
      <c r="F71">
        <v>36445794</v>
      </c>
      <c r="G71">
        <v>36378402</v>
      </c>
      <c r="H71">
        <v>34829489</v>
      </c>
      <c r="I71">
        <v>34821603</v>
      </c>
    </row>
    <row r="72" spans="1:9" x14ac:dyDescent="0.25">
      <c r="A72" t="s">
        <v>541</v>
      </c>
      <c r="B72">
        <v>33095218</v>
      </c>
      <c r="C72">
        <v>31914338</v>
      </c>
      <c r="D72">
        <v>31988668</v>
      </c>
      <c r="E72">
        <v>31926064</v>
      </c>
      <c r="F72">
        <v>34436094</v>
      </c>
      <c r="G72">
        <v>34368702</v>
      </c>
      <c r="H72">
        <v>33030443</v>
      </c>
      <c r="I72">
        <v>33018337</v>
      </c>
    </row>
    <row r="73" spans="1:9" x14ac:dyDescent="0.25">
      <c r="A73" t="s">
        <v>542</v>
      </c>
      <c r="B73">
        <v>1169151</v>
      </c>
      <c r="C73">
        <v>1204276</v>
      </c>
      <c r="D73">
        <v>1207587</v>
      </c>
      <c r="E73">
        <v>1207587</v>
      </c>
      <c r="F73">
        <v>1327106</v>
      </c>
      <c r="G73">
        <v>1327106</v>
      </c>
      <c r="H73">
        <v>1169151</v>
      </c>
      <c r="I73">
        <v>1166055</v>
      </c>
    </row>
    <row r="74" spans="1:9" x14ac:dyDescent="0.25">
      <c r="A74" t="s">
        <v>543</v>
      </c>
      <c r="B74">
        <v>629894</v>
      </c>
      <c r="C74">
        <v>631289</v>
      </c>
      <c r="D74">
        <v>624071</v>
      </c>
      <c r="E74">
        <v>624071</v>
      </c>
      <c r="F74">
        <v>682594</v>
      </c>
      <c r="G74">
        <v>682594</v>
      </c>
      <c r="H74">
        <v>629894</v>
      </c>
      <c r="I74">
        <v>637212</v>
      </c>
    </row>
    <row r="75" spans="1:9" x14ac:dyDescent="0.25">
      <c r="A75" t="s">
        <v>544</v>
      </c>
    </row>
    <row r="76" spans="1:9" x14ac:dyDescent="0.25">
      <c r="A76" t="s">
        <v>545</v>
      </c>
      <c r="B76">
        <v>0</v>
      </c>
      <c r="C76">
        <v>0</v>
      </c>
      <c r="D76">
        <v>0</v>
      </c>
      <c r="E76">
        <v>0</v>
      </c>
      <c r="F76">
        <v>0</v>
      </c>
      <c r="G76">
        <v>0</v>
      </c>
      <c r="H76">
        <v>0</v>
      </c>
      <c r="I76">
        <v>0</v>
      </c>
    </row>
    <row r="77" spans="1:9" x14ac:dyDescent="0.25">
      <c r="A77" t="s">
        <v>546</v>
      </c>
    </row>
    <row r="78" spans="1:9" x14ac:dyDescent="0.25">
      <c r="A78" t="s">
        <v>123</v>
      </c>
      <c r="B78">
        <v>19610212</v>
      </c>
      <c r="C78">
        <v>19161636</v>
      </c>
      <c r="D78">
        <v>19173656</v>
      </c>
      <c r="E78">
        <v>19173656</v>
      </c>
      <c r="F78">
        <v>20237605</v>
      </c>
      <c r="G78">
        <v>20237605</v>
      </c>
      <c r="H78">
        <v>19610212</v>
      </c>
      <c r="I78">
        <v>19598567</v>
      </c>
    </row>
    <row r="79" spans="1:9" x14ac:dyDescent="0.25">
      <c r="A79" t="s">
        <v>547</v>
      </c>
      <c r="B79">
        <v>15860285</v>
      </c>
      <c r="C79">
        <v>15416875</v>
      </c>
      <c r="D79">
        <v>15422167</v>
      </c>
      <c r="E79">
        <v>15422167</v>
      </c>
      <c r="F79">
        <v>16160733</v>
      </c>
      <c r="G79">
        <v>16160733</v>
      </c>
      <c r="H79">
        <v>15860285</v>
      </c>
      <c r="I79">
        <v>15855088</v>
      </c>
    </row>
    <row r="80" spans="1:9" x14ac:dyDescent="0.25">
      <c r="A80" t="s">
        <v>548</v>
      </c>
      <c r="B80">
        <v>3259320</v>
      </c>
      <c r="C80">
        <v>3260780</v>
      </c>
      <c r="D80">
        <v>3267508</v>
      </c>
      <c r="E80">
        <v>3267508</v>
      </c>
      <c r="F80">
        <v>3584050</v>
      </c>
      <c r="G80">
        <v>3584050</v>
      </c>
      <c r="H80">
        <v>3259320</v>
      </c>
      <c r="I80">
        <v>3252871</v>
      </c>
    </row>
    <row r="81" spans="1:9" x14ac:dyDescent="0.25">
      <c r="A81" t="s">
        <v>549</v>
      </c>
    </row>
    <row r="82" spans="1:9" x14ac:dyDescent="0.25">
      <c r="A82" t="s">
        <v>550</v>
      </c>
      <c r="B82">
        <v>490607</v>
      </c>
      <c r="C82">
        <v>483982</v>
      </c>
      <c r="D82">
        <v>483982</v>
      </c>
      <c r="E82">
        <v>483982</v>
      </c>
      <c r="F82">
        <v>492822</v>
      </c>
      <c r="G82">
        <v>492822</v>
      </c>
      <c r="H82">
        <v>490607</v>
      </c>
      <c r="I82">
        <v>490607</v>
      </c>
    </row>
    <row r="83" spans="1:9" x14ac:dyDescent="0.25">
      <c r="A83" t="s">
        <v>551</v>
      </c>
    </row>
    <row r="84" spans="1:9" x14ac:dyDescent="0.25">
      <c r="A84" t="s">
        <v>124</v>
      </c>
      <c r="B84">
        <v>19610212</v>
      </c>
      <c r="C84">
        <v>19161636</v>
      </c>
      <c r="D84">
        <v>19173656</v>
      </c>
      <c r="E84">
        <v>19173656</v>
      </c>
      <c r="F84">
        <v>20237605</v>
      </c>
      <c r="G84">
        <v>20237605</v>
      </c>
      <c r="H84">
        <v>19610212</v>
      </c>
      <c r="I84">
        <v>19598567</v>
      </c>
    </row>
    <row r="85" spans="1:9" x14ac:dyDescent="0.25">
      <c r="A85" t="s">
        <v>125</v>
      </c>
    </row>
    <row r="86" spans="1:9" x14ac:dyDescent="0.25">
      <c r="A86" t="s">
        <v>552</v>
      </c>
    </row>
    <row r="87" spans="1:9" x14ac:dyDescent="0.25">
      <c r="A87" t="s">
        <v>553</v>
      </c>
    </row>
    <row r="88" spans="1:9" x14ac:dyDescent="0.25">
      <c r="A88" t="s">
        <v>554</v>
      </c>
    </row>
    <row r="89" spans="1:9" x14ac:dyDescent="0.25">
      <c r="A89" t="s">
        <v>555</v>
      </c>
    </row>
    <row r="90" spans="1:9" x14ac:dyDescent="0.25">
      <c r="A90" t="s">
        <v>556</v>
      </c>
    </row>
    <row r="91" spans="1:9" x14ac:dyDescent="0.25">
      <c r="A91" t="s">
        <v>557</v>
      </c>
    </row>
    <row r="92" spans="1:9" x14ac:dyDescent="0.25">
      <c r="A92" t="s">
        <v>126</v>
      </c>
      <c r="B92">
        <v>19610212</v>
      </c>
      <c r="C92">
        <v>19161636</v>
      </c>
      <c r="D92">
        <v>19173656</v>
      </c>
      <c r="E92">
        <v>19173656</v>
      </c>
      <c r="F92">
        <v>20237605</v>
      </c>
      <c r="G92">
        <v>20237605</v>
      </c>
      <c r="H92">
        <v>19610212</v>
      </c>
      <c r="I92">
        <v>19598567</v>
      </c>
    </row>
    <row r="93" spans="1:9" x14ac:dyDescent="0.25">
      <c r="A93" t="s">
        <v>558</v>
      </c>
      <c r="B93">
        <v>15860285</v>
      </c>
      <c r="C93">
        <v>15416875</v>
      </c>
      <c r="D93">
        <v>15422167</v>
      </c>
      <c r="E93">
        <v>15422167</v>
      </c>
      <c r="F93">
        <v>16160733</v>
      </c>
      <c r="G93">
        <v>16160733</v>
      </c>
      <c r="H93">
        <v>15860285</v>
      </c>
      <c r="I93">
        <v>15855088</v>
      </c>
    </row>
    <row r="94" spans="1:9" x14ac:dyDescent="0.25">
      <c r="A94" t="s">
        <v>559</v>
      </c>
      <c r="B94">
        <v>3259320</v>
      </c>
      <c r="C94">
        <v>3260780</v>
      </c>
      <c r="D94">
        <v>3267508</v>
      </c>
      <c r="E94">
        <v>3267508</v>
      </c>
      <c r="F94">
        <v>3584050</v>
      </c>
      <c r="G94">
        <v>3584050</v>
      </c>
      <c r="H94">
        <v>3259320</v>
      </c>
      <c r="I94">
        <v>3252871</v>
      </c>
    </row>
    <row r="95" spans="1:9" x14ac:dyDescent="0.25">
      <c r="A95" t="s">
        <v>560</v>
      </c>
    </row>
    <row r="96" spans="1:9" x14ac:dyDescent="0.25">
      <c r="A96" t="s">
        <v>561</v>
      </c>
      <c r="B96">
        <v>490607</v>
      </c>
      <c r="C96">
        <v>483982</v>
      </c>
      <c r="D96">
        <v>483982</v>
      </c>
      <c r="E96">
        <v>483982</v>
      </c>
      <c r="F96">
        <v>492822</v>
      </c>
      <c r="G96">
        <v>492822</v>
      </c>
      <c r="H96">
        <v>490607</v>
      </c>
      <c r="I96">
        <v>490607</v>
      </c>
    </row>
    <row r="97" spans="1:9" x14ac:dyDescent="0.25">
      <c r="A97" t="s">
        <v>562</v>
      </c>
    </row>
    <row r="98" spans="1:9" x14ac:dyDescent="0.25">
      <c r="A98" t="s">
        <v>127</v>
      </c>
    </row>
    <row r="99" spans="1:9" x14ac:dyDescent="0.25">
      <c r="A99" t="s">
        <v>563</v>
      </c>
    </row>
    <row r="100" spans="1:9" x14ac:dyDescent="0.25">
      <c r="A100" t="s">
        <v>564</v>
      </c>
    </row>
    <row r="101" spans="1:9" x14ac:dyDescent="0.25">
      <c r="A101" t="s">
        <v>565</v>
      </c>
    </row>
    <row r="102" spans="1:9" x14ac:dyDescent="0.25">
      <c r="A102" t="s">
        <v>566</v>
      </c>
    </row>
    <row r="103" spans="1:9" x14ac:dyDescent="0.25">
      <c r="A103" t="s">
        <v>567</v>
      </c>
    </row>
    <row r="104" spans="1:9" x14ac:dyDescent="0.25">
      <c r="A104" t="s">
        <v>568</v>
      </c>
    </row>
    <row r="105" spans="1:9" x14ac:dyDescent="0.25">
      <c r="A105" t="s">
        <v>128</v>
      </c>
      <c r="B105">
        <v>19610212</v>
      </c>
      <c r="C105">
        <v>19161636</v>
      </c>
      <c r="D105">
        <v>19173656</v>
      </c>
      <c r="E105">
        <v>19173656</v>
      </c>
      <c r="F105">
        <v>20237605</v>
      </c>
      <c r="G105">
        <v>20237605</v>
      </c>
      <c r="H105">
        <v>19610212</v>
      </c>
      <c r="I105">
        <v>19598567</v>
      </c>
    </row>
    <row r="106" spans="1:9" x14ac:dyDescent="0.25">
      <c r="A106" t="s">
        <v>129</v>
      </c>
    </row>
    <row r="107" spans="1:9" x14ac:dyDescent="0.25">
      <c r="A107" t="s">
        <v>569</v>
      </c>
    </row>
    <row r="108" spans="1:9" x14ac:dyDescent="0.25">
      <c r="A108" t="s">
        <v>570</v>
      </c>
    </row>
    <row r="109" spans="1:9" x14ac:dyDescent="0.25">
      <c r="A109" t="s">
        <v>571</v>
      </c>
    </row>
    <row r="110" spans="1:9" x14ac:dyDescent="0.25">
      <c r="A110" t="s">
        <v>572</v>
      </c>
    </row>
    <row r="111" spans="1:9" x14ac:dyDescent="0.25">
      <c r="A111" t="s">
        <v>573</v>
      </c>
    </row>
    <row r="112" spans="1:9" x14ac:dyDescent="0.25">
      <c r="A112" t="s">
        <v>574</v>
      </c>
    </row>
    <row r="113" spans="1:9" x14ac:dyDescent="0.25">
      <c r="A113" t="s">
        <v>130</v>
      </c>
      <c r="B113">
        <v>19610212</v>
      </c>
      <c r="C113">
        <v>19161636</v>
      </c>
      <c r="D113">
        <v>19173656</v>
      </c>
      <c r="E113">
        <v>19173656</v>
      </c>
      <c r="F113">
        <v>20237605</v>
      </c>
      <c r="G113">
        <v>20237605</v>
      </c>
      <c r="H113">
        <v>19610212</v>
      </c>
      <c r="I113">
        <v>19598567</v>
      </c>
    </row>
    <row r="114" spans="1:9" x14ac:dyDescent="0.25">
      <c r="A114" t="s">
        <v>575</v>
      </c>
      <c r="B114">
        <v>15860285</v>
      </c>
      <c r="C114">
        <v>15416875</v>
      </c>
      <c r="D114">
        <v>15422167</v>
      </c>
      <c r="E114">
        <v>15422167</v>
      </c>
      <c r="F114">
        <v>16160733</v>
      </c>
      <c r="G114">
        <v>16160733</v>
      </c>
      <c r="H114">
        <v>15860285</v>
      </c>
      <c r="I114">
        <v>15855088</v>
      </c>
    </row>
    <row r="115" spans="1:9" x14ac:dyDescent="0.25">
      <c r="A115" t="s">
        <v>576</v>
      </c>
      <c r="B115">
        <v>3259320</v>
      </c>
      <c r="C115">
        <v>3260780</v>
      </c>
      <c r="D115">
        <v>3267508</v>
      </c>
      <c r="E115">
        <v>3267508</v>
      </c>
      <c r="F115">
        <v>3584050</v>
      </c>
      <c r="G115">
        <v>3584050</v>
      </c>
      <c r="H115">
        <v>3259320</v>
      </c>
      <c r="I115">
        <v>3252871</v>
      </c>
    </row>
    <row r="116" spans="1:9" x14ac:dyDescent="0.25">
      <c r="A116" t="s">
        <v>577</v>
      </c>
    </row>
    <row r="117" spans="1:9" x14ac:dyDescent="0.25">
      <c r="A117" t="s">
        <v>578</v>
      </c>
      <c r="B117">
        <v>490607</v>
      </c>
      <c r="C117">
        <v>483982</v>
      </c>
      <c r="D117">
        <v>483982</v>
      </c>
      <c r="E117">
        <v>483982</v>
      </c>
      <c r="F117">
        <v>492822</v>
      </c>
      <c r="G117">
        <v>492822</v>
      </c>
      <c r="H117">
        <v>490607</v>
      </c>
      <c r="I117">
        <v>490607</v>
      </c>
    </row>
    <row r="118" spans="1:9" x14ac:dyDescent="0.25">
      <c r="A118" t="s">
        <v>579</v>
      </c>
    </row>
    <row r="119" spans="1:9" x14ac:dyDescent="0.25">
      <c r="A119" t="s">
        <v>131</v>
      </c>
    </row>
    <row r="120" spans="1:9" x14ac:dyDescent="0.25">
      <c r="A120" t="s">
        <v>580</v>
      </c>
    </row>
    <row r="121" spans="1:9" x14ac:dyDescent="0.25">
      <c r="A121" t="s">
        <v>581</v>
      </c>
    </row>
    <row r="122" spans="1:9" x14ac:dyDescent="0.25">
      <c r="A122" t="s">
        <v>582</v>
      </c>
    </row>
    <row r="123" spans="1:9" x14ac:dyDescent="0.25">
      <c r="A123" t="s">
        <v>583</v>
      </c>
    </row>
    <row r="124" spans="1:9" x14ac:dyDescent="0.25">
      <c r="A124" t="s">
        <v>584</v>
      </c>
    </row>
    <row r="125" spans="1:9" x14ac:dyDescent="0.25">
      <c r="A125" t="s">
        <v>585</v>
      </c>
    </row>
    <row r="126" spans="1:9" x14ac:dyDescent="0.25">
      <c r="A126" t="s">
        <v>132</v>
      </c>
      <c r="B126">
        <v>50355087</v>
      </c>
      <c r="C126">
        <v>48910101</v>
      </c>
      <c r="D126">
        <v>48983007</v>
      </c>
      <c r="E126">
        <v>48928466</v>
      </c>
      <c r="F126">
        <v>52317426</v>
      </c>
      <c r="G126">
        <v>52258819</v>
      </c>
      <c r="H126">
        <v>50298663</v>
      </c>
      <c r="I126">
        <v>50280676</v>
      </c>
    </row>
    <row r="127" spans="1:9" x14ac:dyDescent="0.25">
      <c r="A127" t="s">
        <v>133</v>
      </c>
      <c r="B127">
        <v>30744876</v>
      </c>
      <c r="C127">
        <v>29748465</v>
      </c>
      <c r="D127">
        <v>29809351</v>
      </c>
      <c r="E127">
        <v>29754809</v>
      </c>
      <c r="F127">
        <v>32079821</v>
      </c>
      <c r="G127">
        <v>32021213</v>
      </c>
      <c r="H127">
        <v>30688451</v>
      </c>
      <c r="I127">
        <v>30682109</v>
      </c>
    </row>
    <row r="128" spans="1:9" x14ac:dyDescent="0.25">
      <c r="A128" t="s">
        <v>586</v>
      </c>
      <c r="B128">
        <v>29054871</v>
      </c>
      <c r="C128">
        <v>28023480</v>
      </c>
      <c r="D128">
        <v>28087546</v>
      </c>
      <c r="E128">
        <v>28033005</v>
      </c>
      <c r="F128">
        <v>30190890</v>
      </c>
      <c r="G128">
        <v>30132282</v>
      </c>
      <c r="H128">
        <v>28998446</v>
      </c>
      <c r="I128">
        <v>28988621</v>
      </c>
    </row>
    <row r="129" spans="1:9" x14ac:dyDescent="0.25">
      <c r="A129" t="s">
        <v>587</v>
      </c>
      <c r="B129">
        <v>1133780</v>
      </c>
      <c r="C129">
        <v>1168178</v>
      </c>
      <c r="D129">
        <v>1171384</v>
      </c>
      <c r="E129">
        <v>1171384</v>
      </c>
      <c r="F129">
        <v>1287245</v>
      </c>
      <c r="G129">
        <v>1287245</v>
      </c>
      <c r="H129">
        <v>1133780</v>
      </c>
      <c r="I129">
        <v>1130783</v>
      </c>
    </row>
    <row r="130" spans="1:9" x14ac:dyDescent="0.25">
      <c r="A130" t="s">
        <v>588</v>
      </c>
      <c r="B130">
        <v>556225</v>
      </c>
      <c r="C130">
        <v>556807</v>
      </c>
      <c r="D130">
        <v>550421</v>
      </c>
      <c r="E130">
        <v>550421</v>
      </c>
      <c r="F130">
        <v>601686</v>
      </c>
      <c r="G130">
        <v>601686</v>
      </c>
      <c r="H130">
        <v>556225</v>
      </c>
      <c r="I130">
        <v>562706</v>
      </c>
    </row>
    <row r="131" spans="1:9" x14ac:dyDescent="0.25">
      <c r="A131" t="s">
        <v>589</v>
      </c>
    </row>
    <row r="132" spans="1:9" x14ac:dyDescent="0.25">
      <c r="A132" t="s">
        <v>590</v>
      </c>
      <c r="B132">
        <v>0</v>
      </c>
      <c r="C132">
        <v>0</v>
      </c>
      <c r="D132">
        <v>0</v>
      </c>
      <c r="E132">
        <v>0</v>
      </c>
      <c r="F132">
        <v>0</v>
      </c>
      <c r="G132">
        <v>0</v>
      </c>
      <c r="H132">
        <v>0</v>
      </c>
      <c r="I132">
        <v>0</v>
      </c>
    </row>
    <row r="133" spans="1:9" x14ac:dyDescent="0.25">
      <c r="A133" t="s">
        <v>591</v>
      </c>
    </row>
    <row r="134" spans="1:9" x14ac:dyDescent="0.25">
      <c r="A134" t="s">
        <v>134</v>
      </c>
      <c r="B134">
        <v>19610212</v>
      </c>
      <c r="C134">
        <v>19161636</v>
      </c>
      <c r="D134">
        <v>19173656</v>
      </c>
      <c r="E134">
        <v>19173656</v>
      </c>
      <c r="F134">
        <v>20237605</v>
      </c>
      <c r="G134">
        <v>20237605</v>
      </c>
      <c r="H134">
        <v>19610212</v>
      </c>
      <c r="I134">
        <v>19598567</v>
      </c>
    </row>
    <row r="135" spans="1:9" x14ac:dyDescent="0.25">
      <c r="A135" t="s">
        <v>592</v>
      </c>
      <c r="B135">
        <v>15860285</v>
      </c>
      <c r="C135">
        <v>15416875</v>
      </c>
      <c r="D135">
        <v>15422167</v>
      </c>
      <c r="E135">
        <v>15422167</v>
      </c>
      <c r="F135">
        <v>16160733</v>
      </c>
      <c r="G135">
        <v>16160733</v>
      </c>
      <c r="H135">
        <v>15860285</v>
      </c>
      <c r="I135">
        <v>15855088</v>
      </c>
    </row>
    <row r="136" spans="1:9" x14ac:dyDescent="0.25">
      <c r="A136" t="s">
        <v>593</v>
      </c>
      <c r="B136">
        <v>3259320</v>
      </c>
      <c r="C136">
        <v>3260780</v>
      </c>
      <c r="D136">
        <v>3267508</v>
      </c>
      <c r="E136">
        <v>3267508</v>
      </c>
      <c r="F136">
        <v>3584050</v>
      </c>
      <c r="G136">
        <v>3584050</v>
      </c>
      <c r="H136">
        <v>3259320</v>
      </c>
      <c r="I136">
        <v>3252871</v>
      </c>
    </row>
    <row r="137" spans="1:9" x14ac:dyDescent="0.25">
      <c r="A137" t="s">
        <v>594</v>
      </c>
    </row>
    <row r="138" spans="1:9" x14ac:dyDescent="0.25">
      <c r="A138" t="s">
        <v>595</v>
      </c>
      <c r="B138">
        <v>490607</v>
      </c>
      <c r="C138">
        <v>483982</v>
      </c>
      <c r="D138">
        <v>483982</v>
      </c>
      <c r="E138">
        <v>483982</v>
      </c>
      <c r="F138">
        <v>492822</v>
      </c>
      <c r="G138">
        <v>492822</v>
      </c>
      <c r="H138">
        <v>490607</v>
      </c>
      <c r="I138">
        <v>490607</v>
      </c>
    </row>
    <row r="139" spans="1:9" x14ac:dyDescent="0.25">
      <c r="A139" t="s">
        <v>596</v>
      </c>
    </row>
    <row r="140" spans="1:9" x14ac:dyDescent="0.25">
      <c r="A140" t="s">
        <v>135</v>
      </c>
      <c r="B140">
        <v>678419</v>
      </c>
      <c r="C140">
        <v>650463</v>
      </c>
      <c r="D140">
        <v>652144</v>
      </c>
      <c r="E140">
        <v>650615</v>
      </c>
      <c r="F140">
        <v>710730</v>
      </c>
      <c r="G140">
        <v>709086</v>
      </c>
      <c r="H140">
        <v>676835</v>
      </c>
      <c r="I140">
        <v>676678</v>
      </c>
    </row>
    <row r="141" spans="1:9" x14ac:dyDescent="0.25">
      <c r="A141" t="s">
        <v>597</v>
      </c>
      <c r="B141">
        <v>797306</v>
      </c>
      <c r="C141">
        <v>768084</v>
      </c>
      <c r="D141">
        <v>769889</v>
      </c>
      <c r="E141">
        <v>768360</v>
      </c>
      <c r="F141">
        <v>827116</v>
      </c>
      <c r="G141">
        <v>825471</v>
      </c>
      <c r="H141">
        <v>795722</v>
      </c>
      <c r="I141">
        <v>795436</v>
      </c>
    </row>
    <row r="142" spans="1:9" x14ac:dyDescent="0.25">
      <c r="A142" t="s">
        <v>598</v>
      </c>
      <c r="B142">
        <v>13414</v>
      </c>
      <c r="C142">
        <v>13599</v>
      </c>
      <c r="D142">
        <v>13638</v>
      </c>
      <c r="E142">
        <v>13638</v>
      </c>
      <c r="F142">
        <v>15049</v>
      </c>
      <c r="G142">
        <v>15049</v>
      </c>
      <c r="H142">
        <v>13414</v>
      </c>
      <c r="I142">
        <v>13377</v>
      </c>
    </row>
    <row r="143" spans="1:9" x14ac:dyDescent="0.25">
      <c r="A143" t="s">
        <v>599</v>
      </c>
      <c r="B143">
        <v>14066</v>
      </c>
      <c r="C143">
        <v>14106</v>
      </c>
      <c r="D143">
        <v>13946</v>
      </c>
      <c r="E143">
        <v>13946</v>
      </c>
      <c r="F143">
        <v>15277</v>
      </c>
      <c r="G143">
        <v>15277</v>
      </c>
      <c r="H143">
        <v>14066</v>
      </c>
      <c r="I143">
        <v>14228</v>
      </c>
    </row>
    <row r="144" spans="1:9" x14ac:dyDescent="0.25">
      <c r="A144" t="s">
        <v>600</v>
      </c>
    </row>
    <row r="145" spans="1:9" x14ac:dyDescent="0.25">
      <c r="A145" t="s">
        <v>601</v>
      </c>
      <c r="B145">
        <v>-146367</v>
      </c>
      <c r="C145">
        <v>-145326</v>
      </c>
      <c r="D145">
        <v>-145329</v>
      </c>
      <c r="E145">
        <v>-145329</v>
      </c>
      <c r="F145">
        <v>-146712</v>
      </c>
      <c r="G145">
        <v>-146712</v>
      </c>
      <c r="H145">
        <v>-146367</v>
      </c>
      <c r="I145">
        <v>-146363</v>
      </c>
    </row>
    <row r="146" spans="1:9" x14ac:dyDescent="0.25">
      <c r="A146" t="s">
        <v>602</v>
      </c>
    </row>
    <row r="147" spans="1:9" x14ac:dyDescent="0.25">
      <c r="A147" t="s">
        <v>136</v>
      </c>
      <c r="B147">
        <v>48026298</v>
      </c>
      <c r="C147">
        <v>46663565</v>
      </c>
      <c r="D147">
        <v>46731073</v>
      </c>
      <c r="E147">
        <v>46681122</v>
      </c>
      <c r="F147">
        <v>49872693</v>
      </c>
      <c r="G147">
        <v>49819072</v>
      </c>
      <c r="H147">
        <v>47974627</v>
      </c>
      <c r="I147">
        <v>47957483</v>
      </c>
    </row>
    <row r="148" spans="1:9" x14ac:dyDescent="0.25">
      <c r="A148" t="s">
        <v>137</v>
      </c>
      <c r="B148">
        <v>28416086</v>
      </c>
      <c r="C148">
        <v>27501929</v>
      </c>
      <c r="D148">
        <v>27557416</v>
      </c>
      <c r="E148">
        <v>27507465</v>
      </c>
      <c r="F148">
        <v>29635087</v>
      </c>
      <c r="G148">
        <v>29581467</v>
      </c>
      <c r="H148">
        <v>28364415</v>
      </c>
      <c r="I148">
        <v>28358917</v>
      </c>
    </row>
    <row r="149" spans="1:9" x14ac:dyDescent="0.25">
      <c r="A149" t="s">
        <v>603</v>
      </c>
      <c r="B149">
        <v>26788143</v>
      </c>
      <c r="C149">
        <v>25839828</v>
      </c>
      <c r="D149">
        <v>25898091</v>
      </c>
      <c r="E149">
        <v>25848140</v>
      </c>
      <c r="F149">
        <v>27814817</v>
      </c>
      <c r="G149">
        <v>27761197</v>
      </c>
      <c r="H149">
        <v>26736472</v>
      </c>
      <c r="I149">
        <v>26727903</v>
      </c>
    </row>
    <row r="150" spans="1:9" x14ac:dyDescent="0.25">
      <c r="A150" t="s">
        <v>604</v>
      </c>
      <c r="B150">
        <v>1113845</v>
      </c>
      <c r="C150">
        <v>1147761</v>
      </c>
      <c r="D150">
        <v>1150907</v>
      </c>
      <c r="E150">
        <v>1150907</v>
      </c>
      <c r="F150">
        <v>1264728</v>
      </c>
      <c r="G150">
        <v>1264728</v>
      </c>
      <c r="H150">
        <v>1113845</v>
      </c>
      <c r="I150">
        <v>1110904</v>
      </c>
    </row>
    <row r="151" spans="1:9" x14ac:dyDescent="0.25">
      <c r="A151" t="s">
        <v>605</v>
      </c>
      <c r="B151">
        <v>514098</v>
      </c>
      <c r="C151">
        <v>514340</v>
      </c>
      <c r="D151">
        <v>508417</v>
      </c>
      <c r="E151">
        <v>508417</v>
      </c>
      <c r="F151">
        <v>555542</v>
      </c>
      <c r="G151">
        <v>555542</v>
      </c>
      <c r="H151">
        <v>514098</v>
      </c>
      <c r="I151">
        <v>520110</v>
      </c>
    </row>
    <row r="152" spans="1:9" x14ac:dyDescent="0.25">
      <c r="A152" t="s">
        <v>606</v>
      </c>
    </row>
    <row r="153" spans="1:9" x14ac:dyDescent="0.25">
      <c r="A153" t="s">
        <v>607</v>
      </c>
      <c r="B153">
        <v>0</v>
      </c>
      <c r="C153">
        <v>0</v>
      </c>
      <c r="D153">
        <v>0</v>
      </c>
      <c r="E153">
        <v>0</v>
      </c>
      <c r="F153">
        <v>0</v>
      </c>
      <c r="G153">
        <v>0</v>
      </c>
      <c r="H153">
        <v>0</v>
      </c>
      <c r="I153">
        <v>0</v>
      </c>
    </row>
    <row r="154" spans="1:9" x14ac:dyDescent="0.25">
      <c r="A154" t="s">
        <v>608</v>
      </c>
    </row>
    <row r="155" spans="1:9" x14ac:dyDescent="0.25">
      <c r="A155" t="s">
        <v>138</v>
      </c>
      <c r="B155">
        <v>19610212</v>
      </c>
      <c r="C155">
        <v>19161636</v>
      </c>
      <c r="D155">
        <v>19173656</v>
      </c>
      <c r="E155">
        <v>19173656</v>
      </c>
      <c r="F155">
        <v>20237605</v>
      </c>
      <c r="G155">
        <v>20237605</v>
      </c>
      <c r="H155">
        <v>19610212</v>
      </c>
      <c r="I155">
        <v>19598567</v>
      </c>
    </row>
    <row r="156" spans="1:9" x14ac:dyDescent="0.25">
      <c r="A156" t="s">
        <v>609</v>
      </c>
      <c r="B156">
        <v>15860285</v>
      </c>
      <c r="C156">
        <v>15416875</v>
      </c>
      <c r="D156">
        <v>15422167</v>
      </c>
      <c r="E156">
        <v>15422167</v>
      </c>
      <c r="F156">
        <v>16160733</v>
      </c>
      <c r="G156">
        <v>16160733</v>
      </c>
      <c r="H156">
        <v>15860285</v>
      </c>
      <c r="I156">
        <v>15855088</v>
      </c>
    </row>
    <row r="157" spans="1:9" x14ac:dyDescent="0.25">
      <c r="A157" t="s">
        <v>610</v>
      </c>
      <c r="B157">
        <v>3259320</v>
      </c>
      <c r="C157">
        <v>3260780</v>
      </c>
      <c r="D157">
        <v>3267508</v>
      </c>
      <c r="E157">
        <v>3267508</v>
      </c>
      <c r="F157">
        <v>3584050</v>
      </c>
      <c r="G157">
        <v>3584050</v>
      </c>
      <c r="H157">
        <v>3259320</v>
      </c>
      <c r="I157">
        <v>3252871</v>
      </c>
    </row>
    <row r="158" spans="1:9" x14ac:dyDescent="0.25">
      <c r="A158" t="s">
        <v>611</v>
      </c>
    </row>
    <row r="159" spans="1:9" x14ac:dyDescent="0.25">
      <c r="A159" t="s">
        <v>612</v>
      </c>
      <c r="B159">
        <v>490607</v>
      </c>
      <c r="C159">
        <v>483982</v>
      </c>
      <c r="D159">
        <v>483982</v>
      </c>
      <c r="E159">
        <v>483982</v>
      </c>
      <c r="F159">
        <v>492822</v>
      </c>
      <c r="G159">
        <v>492822</v>
      </c>
      <c r="H159">
        <v>490607</v>
      </c>
      <c r="I159">
        <v>490607</v>
      </c>
    </row>
    <row r="160" spans="1:9" x14ac:dyDescent="0.25">
      <c r="A160" t="s">
        <v>613</v>
      </c>
    </row>
    <row r="161" spans="1:9" x14ac:dyDescent="0.25">
      <c r="A161" t="s">
        <v>139</v>
      </c>
      <c r="B161">
        <v>1015076</v>
      </c>
      <c r="C161">
        <v>975396</v>
      </c>
      <c r="D161">
        <v>977733</v>
      </c>
      <c r="E161">
        <v>975587</v>
      </c>
      <c r="F161">
        <v>1058968</v>
      </c>
      <c r="G161">
        <v>1056664</v>
      </c>
      <c r="H161">
        <v>1012854</v>
      </c>
      <c r="I161">
        <v>1012657</v>
      </c>
    </row>
    <row r="162" spans="1:9" x14ac:dyDescent="0.25">
      <c r="A162" t="s">
        <v>614</v>
      </c>
      <c r="B162">
        <v>1121484</v>
      </c>
      <c r="C162">
        <v>1080400</v>
      </c>
      <c r="D162">
        <v>1082912</v>
      </c>
      <c r="E162">
        <v>1080766</v>
      </c>
      <c r="F162">
        <v>1161532</v>
      </c>
      <c r="G162">
        <v>1159229</v>
      </c>
      <c r="H162">
        <v>1119261</v>
      </c>
      <c r="I162">
        <v>1118883</v>
      </c>
    </row>
    <row r="163" spans="1:9" x14ac:dyDescent="0.25">
      <c r="A163" t="s">
        <v>615</v>
      </c>
      <c r="B163">
        <v>20080</v>
      </c>
      <c r="C163">
        <v>20384</v>
      </c>
      <c r="D163">
        <v>20443</v>
      </c>
      <c r="E163">
        <v>20443</v>
      </c>
      <c r="F163">
        <v>22547</v>
      </c>
      <c r="G163">
        <v>22547</v>
      </c>
      <c r="H163">
        <v>20080</v>
      </c>
      <c r="I163">
        <v>20024</v>
      </c>
    </row>
    <row r="164" spans="1:9" x14ac:dyDescent="0.25">
      <c r="A164" t="s">
        <v>616</v>
      </c>
      <c r="B164">
        <v>19880</v>
      </c>
      <c r="C164">
        <v>19937</v>
      </c>
      <c r="D164">
        <v>19708</v>
      </c>
      <c r="E164">
        <v>19708</v>
      </c>
      <c r="F164">
        <v>21601</v>
      </c>
      <c r="G164">
        <v>21601</v>
      </c>
      <c r="H164">
        <v>19880</v>
      </c>
      <c r="I164">
        <v>20113</v>
      </c>
    </row>
    <row r="165" spans="1:9" x14ac:dyDescent="0.25">
      <c r="A165" t="s">
        <v>617</v>
      </c>
    </row>
    <row r="166" spans="1:9" x14ac:dyDescent="0.25">
      <c r="A166" t="s">
        <v>618</v>
      </c>
      <c r="B166">
        <v>-146367</v>
      </c>
      <c r="C166">
        <v>-145326</v>
      </c>
      <c r="D166">
        <v>-145329</v>
      </c>
      <c r="E166">
        <v>-145329</v>
      </c>
      <c r="F166">
        <v>-146712</v>
      </c>
      <c r="G166">
        <v>-146712</v>
      </c>
      <c r="H166">
        <v>-146367</v>
      </c>
      <c r="I166">
        <v>-146363</v>
      </c>
    </row>
    <row r="167" spans="1:9" x14ac:dyDescent="0.25">
      <c r="A167" t="s">
        <v>619</v>
      </c>
    </row>
    <row r="168" spans="1:9" x14ac:dyDescent="0.25">
      <c r="A168" t="s">
        <v>140</v>
      </c>
      <c r="B168">
        <v>5268903</v>
      </c>
      <c r="C168">
        <v>5267111</v>
      </c>
      <c r="D168">
        <v>5268903</v>
      </c>
      <c r="E168">
        <v>5267077</v>
      </c>
      <c r="F168">
        <v>5268902</v>
      </c>
      <c r="G168">
        <v>5267076</v>
      </c>
      <c r="H168">
        <v>5267077</v>
      </c>
      <c r="I168">
        <v>5267111</v>
      </c>
    </row>
    <row r="169" spans="1:9" x14ac:dyDescent="0.25">
      <c r="A169" t="s">
        <v>141</v>
      </c>
      <c r="B169">
        <v>833519</v>
      </c>
      <c r="C169">
        <v>831731</v>
      </c>
      <c r="D169">
        <v>833520</v>
      </c>
      <c r="E169">
        <v>831694</v>
      </c>
      <c r="F169">
        <v>833519</v>
      </c>
      <c r="G169">
        <v>831693</v>
      </c>
      <c r="H169">
        <v>831694</v>
      </c>
      <c r="I169">
        <v>831731</v>
      </c>
    </row>
    <row r="170" spans="1:9" x14ac:dyDescent="0.25">
      <c r="A170" t="s">
        <v>620</v>
      </c>
      <c r="B170">
        <v>830721</v>
      </c>
      <c r="C170">
        <v>828895</v>
      </c>
      <c r="D170">
        <v>830721</v>
      </c>
      <c r="E170">
        <v>828895</v>
      </c>
      <c r="F170">
        <v>830721</v>
      </c>
      <c r="G170">
        <v>828895</v>
      </c>
      <c r="H170">
        <v>828895</v>
      </c>
      <c r="I170">
        <v>828895</v>
      </c>
    </row>
    <row r="171" spans="1:9" x14ac:dyDescent="0.25">
      <c r="A171" t="s">
        <v>621</v>
      </c>
      <c r="B171">
        <v>0</v>
      </c>
      <c r="C171">
        <v>0</v>
      </c>
      <c r="D171">
        <v>0</v>
      </c>
      <c r="E171">
        <v>0</v>
      </c>
      <c r="F171">
        <v>0</v>
      </c>
      <c r="G171">
        <v>0</v>
      </c>
      <c r="H171">
        <v>0</v>
      </c>
      <c r="I171">
        <v>0</v>
      </c>
    </row>
    <row r="172" spans="1:9" x14ac:dyDescent="0.25">
      <c r="A172" t="s">
        <v>622</v>
      </c>
      <c r="B172">
        <v>2798</v>
      </c>
      <c r="C172">
        <v>2836</v>
      </c>
      <c r="D172">
        <v>2798</v>
      </c>
      <c r="E172">
        <v>2798</v>
      </c>
      <c r="F172">
        <v>2797</v>
      </c>
      <c r="G172">
        <v>2797</v>
      </c>
      <c r="H172">
        <v>2798</v>
      </c>
      <c r="I172">
        <v>2835</v>
      </c>
    </row>
    <row r="173" spans="1:9" x14ac:dyDescent="0.25">
      <c r="A173" t="s">
        <v>623</v>
      </c>
    </row>
    <row r="174" spans="1:9" x14ac:dyDescent="0.25">
      <c r="A174" t="s">
        <v>624</v>
      </c>
      <c r="B174">
        <v>0</v>
      </c>
      <c r="C174">
        <v>0</v>
      </c>
      <c r="D174">
        <v>0</v>
      </c>
      <c r="E174">
        <v>0</v>
      </c>
      <c r="F174">
        <v>0</v>
      </c>
      <c r="G174">
        <v>0</v>
      </c>
      <c r="H174">
        <v>0</v>
      </c>
      <c r="I174">
        <v>0</v>
      </c>
    </row>
    <row r="175" spans="1:9" x14ac:dyDescent="0.25">
      <c r="A175" t="s">
        <v>625</v>
      </c>
    </row>
    <row r="176" spans="1:9" x14ac:dyDescent="0.25">
      <c r="A176" t="s">
        <v>142</v>
      </c>
      <c r="B176">
        <v>4435384</v>
      </c>
      <c r="C176">
        <v>4435380</v>
      </c>
      <c r="D176">
        <v>4435384</v>
      </c>
      <c r="E176">
        <v>4435384</v>
      </c>
      <c r="F176">
        <v>4435384</v>
      </c>
      <c r="G176">
        <v>4435384</v>
      </c>
      <c r="H176">
        <v>4435384</v>
      </c>
      <c r="I176">
        <v>4435380</v>
      </c>
    </row>
    <row r="177" spans="1:9" x14ac:dyDescent="0.25">
      <c r="A177" t="s">
        <v>626</v>
      </c>
      <c r="B177">
        <v>4169345</v>
      </c>
      <c r="C177">
        <v>4169341</v>
      </c>
      <c r="D177">
        <v>4169345</v>
      </c>
      <c r="E177">
        <v>4169345</v>
      </c>
      <c r="F177">
        <v>4169345</v>
      </c>
      <c r="G177">
        <v>4169345</v>
      </c>
      <c r="H177">
        <v>4169345</v>
      </c>
      <c r="I177">
        <v>4169341</v>
      </c>
    </row>
    <row r="178" spans="1:9" x14ac:dyDescent="0.25">
      <c r="A178" t="s">
        <v>627</v>
      </c>
      <c r="B178">
        <v>0</v>
      </c>
      <c r="C178">
        <v>0</v>
      </c>
      <c r="D178">
        <v>0</v>
      </c>
      <c r="E178">
        <v>0</v>
      </c>
      <c r="F178">
        <v>0</v>
      </c>
      <c r="G178">
        <v>0</v>
      </c>
      <c r="H178">
        <v>0</v>
      </c>
      <c r="I178">
        <v>0</v>
      </c>
    </row>
    <row r="179" spans="1:9" x14ac:dyDescent="0.25">
      <c r="A179" t="s">
        <v>628</v>
      </c>
    </row>
    <row r="180" spans="1:9" x14ac:dyDescent="0.25">
      <c r="A180" t="s">
        <v>629</v>
      </c>
      <c r="B180">
        <v>266039</v>
      </c>
      <c r="C180">
        <v>266039</v>
      </c>
      <c r="D180">
        <v>266039</v>
      </c>
      <c r="E180">
        <v>266039</v>
      </c>
      <c r="F180">
        <v>266039</v>
      </c>
      <c r="G180">
        <v>266039</v>
      </c>
      <c r="H180">
        <v>266039</v>
      </c>
      <c r="I180">
        <v>266039</v>
      </c>
    </row>
    <row r="181" spans="1:9" x14ac:dyDescent="0.25">
      <c r="A181" t="s">
        <v>630</v>
      </c>
    </row>
    <row r="182" spans="1:9" x14ac:dyDescent="0.25">
      <c r="A182" t="s">
        <v>143</v>
      </c>
      <c r="B182">
        <v>0</v>
      </c>
      <c r="C182">
        <v>0</v>
      </c>
      <c r="D182">
        <v>0</v>
      </c>
      <c r="E182">
        <v>0</v>
      </c>
      <c r="F182">
        <v>0</v>
      </c>
      <c r="G182">
        <v>0</v>
      </c>
      <c r="H182">
        <v>0</v>
      </c>
      <c r="I182">
        <v>0</v>
      </c>
    </row>
    <row r="183" spans="1:9" x14ac:dyDescent="0.25">
      <c r="A183" t="s">
        <v>631</v>
      </c>
      <c r="B183">
        <v>0</v>
      </c>
      <c r="C183">
        <v>0</v>
      </c>
      <c r="D183">
        <v>0</v>
      </c>
      <c r="E183">
        <v>0</v>
      </c>
      <c r="F183">
        <v>0</v>
      </c>
      <c r="G183">
        <v>0</v>
      </c>
      <c r="H183">
        <v>0</v>
      </c>
      <c r="I183">
        <v>0</v>
      </c>
    </row>
    <row r="184" spans="1:9" x14ac:dyDescent="0.25">
      <c r="A184" t="s">
        <v>632</v>
      </c>
      <c r="B184">
        <v>0</v>
      </c>
      <c r="C184">
        <v>0</v>
      </c>
      <c r="D184">
        <v>0</v>
      </c>
      <c r="E184">
        <v>0</v>
      </c>
      <c r="F184">
        <v>0</v>
      </c>
      <c r="G184">
        <v>0</v>
      </c>
      <c r="H184">
        <v>0</v>
      </c>
      <c r="I184">
        <v>0</v>
      </c>
    </row>
    <row r="185" spans="1:9" x14ac:dyDescent="0.25">
      <c r="A185" t="s">
        <v>633</v>
      </c>
      <c r="B185">
        <v>0</v>
      </c>
      <c r="C185">
        <v>0</v>
      </c>
      <c r="D185">
        <v>0</v>
      </c>
      <c r="E185">
        <v>0</v>
      </c>
      <c r="F185">
        <v>0</v>
      </c>
      <c r="G185">
        <v>0</v>
      </c>
      <c r="H185">
        <v>0</v>
      </c>
      <c r="I185">
        <v>0</v>
      </c>
    </row>
    <row r="186" spans="1:9" x14ac:dyDescent="0.25">
      <c r="A186" t="s">
        <v>634</v>
      </c>
    </row>
    <row r="187" spans="1:9" x14ac:dyDescent="0.25">
      <c r="A187" t="s">
        <v>635</v>
      </c>
      <c r="B187">
        <v>0</v>
      </c>
      <c r="C187">
        <v>0</v>
      </c>
      <c r="D187">
        <v>0</v>
      </c>
      <c r="E187">
        <v>0</v>
      </c>
      <c r="F187">
        <v>0</v>
      </c>
      <c r="G187">
        <v>0</v>
      </c>
      <c r="H187">
        <v>0</v>
      </c>
      <c r="I187">
        <v>0</v>
      </c>
    </row>
    <row r="188" spans="1:9" x14ac:dyDescent="0.25">
      <c r="A188" t="s">
        <v>636</v>
      </c>
    </row>
    <row r="189" spans="1:9" x14ac:dyDescent="0.25">
      <c r="A189" t="s">
        <v>144</v>
      </c>
      <c r="B189">
        <v>28769694</v>
      </c>
      <c r="C189">
        <v>28065439</v>
      </c>
      <c r="D189">
        <v>28071549</v>
      </c>
      <c r="E189">
        <v>28071549</v>
      </c>
      <c r="F189">
        <v>29269376</v>
      </c>
      <c r="G189">
        <v>29269376</v>
      </c>
      <c r="H189">
        <v>28769694</v>
      </c>
      <c r="I189">
        <v>28763383</v>
      </c>
    </row>
    <row r="190" spans="1:9" x14ac:dyDescent="0.25">
      <c r="A190" t="s">
        <v>145</v>
      </c>
      <c r="B190">
        <v>1280</v>
      </c>
      <c r="C190">
        <v>1248</v>
      </c>
      <c r="D190">
        <v>1248</v>
      </c>
      <c r="E190">
        <v>1248</v>
      </c>
      <c r="F190">
        <v>1312</v>
      </c>
      <c r="G190">
        <v>1312</v>
      </c>
      <c r="H190">
        <v>1280</v>
      </c>
      <c r="I190">
        <v>1280</v>
      </c>
    </row>
    <row r="191" spans="1:9" x14ac:dyDescent="0.25">
      <c r="A191" t="s">
        <v>146</v>
      </c>
      <c r="B191">
        <v>740036</v>
      </c>
      <c r="C191">
        <v>718206</v>
      </c>
      <c r="D191">
        <v>718376</v>
      </c>
      <c r="E191">
        <v>718376</v>
      </c>
      <c r="F191">
        <v>753868</v>
      </c>
      <c r="G191">
        <v>753868</v>
      </c>
      <c r="H191">
        <v>740036</v>
      </c>
      <c r="I191">
        <v>739860</v>
      </c>
    </row>
    <row r="192" spans="1:9" x14ac:dyDescent="0.25">
      <c r="A192" t="s">
        <v>637</v>
      </c>
      <c r="B192">
        <v>0</v>
      </c>
      <c r="C192">
        <v>0</v>
      </c>
      <c r="D192">
        <v>0</v>
      </c>
      <c r="E192">
        <v>0</v>
      </c>
      <c r="F192">
        <v>0</v>
      </c>
      <c r="G192">
        <v>0</v>
      </c>
      <c r="H192">
        <v>0</v>
      </c>
      <c r="I192">
        <v>0</v>
      </c>
    </row>
    <row r="193" spans="1:9" x14ac:dyDescent="0.25">
      <c r="A193" t="s">
        <v>638</v>
      </c>
      <c r="B193">
        <v>0</v>
      </c>
      <c r="C193">
        <v>0</v>
      </c>
      <c r="D193">
        <v>0</v>
      </c>
      <c r="E193">
        <v>0</v>
      </c>
      <c r="F193">
        <v>0</v>
      </c>
      <c r="G193">
        <v>0</v>
      </c>
      <c r="H193">
        <v>0</v>
      </c>
      <c r="I193">
        <v>0</v>
      </c>
    </row>
    <row r="194" spans="1:9" x14ac:dyDescent="0.25">
      <c r="A194" t="s">
        <v>639</v>
      </c>
      <c r="B194">
        <v>0</v>
      </c>
      <c r="C194">
        <v>0</v>
      </c>
      <c r="D194">
        <v>0</v>
      </c>
      <c r="E194">
        <v>0</v>
      </c>
      <c r="F194">
        <v>0</v>
      </c>
      <c r="G194">
        <v>0</v>
      </c>
      <c r="H194">
        <v>0</v>
      </c>
      <c r="I194">
        <v>0</v>
      </c>
    </row>
    <row r="195" spans="1:9" x14ac:dyDescent="0.25">
      <c r="A195" t="s">
        <v>640</v>
      </c>
    </row>
    <row r="196" spans="1:9" x14ac:dyDescent="0.25">
      <c r="A196" t="s">
        <v>641</v>
      </c>
      <c r="B196">
        <v>740036</v>
      </c>
      <c r="C196">
        <v>718206</v>
      </c>
      <c r="D196">
        <v>718376</v>
      </c>
      <c r="E196">
        <v>718376</v>
      </c>
      <c r="F196">
        <v>753868</v>
      </c>
      <c r="G196">
        <v>753868</v>
      </c>
      <c r="H196">
        <v>740036</v>
      </c>
      <c r="I196">
        <v>739860</v>
      </c>
    </row>
    <row r="197" spans="1:9" x14ac:dyDescent="0.25">
      <c r="A197" t="s">
        <v>642</v>
      </c>
    </row>
    <row r="198" spans="1:9" x14ac:dyDescent="0.25">
      <c r="A198" t="s">
        <v>286</v>
      </c>
      <c r="B198">
        <v>48026298</v>
      </c>
      <c r="C198">
        <v>46663565</v>
      </c>
      <c r="D198">
        <v>46731073</v>
      </c>
      <c r="E198">
        <v>46681122</v>
      </c>
      <c r="F198">
        <v>49872693</v>
      </c>
      <c r="G198">
        <v>49819072</v>
      </c>
      <c r="H198">
        <v>47974627</v>
      </c>
      <c r="I198">
        <v>47957483</v>
      </c>
    </row>
    <row r="199" spans="1:9" x14ac:dyDescent="0.25">
      <c r="A199" t="s">
        <v>287</v>
      </c>
      <c r="B199">
        <v>26621052</v>
      </c>
      <c r="C199">
        <v>25905247</v>
      </c>
      <c r="D199">
        <v>25961270</v>
      </c>
      <c r="E199">
        <v>25919931</v>
      </c>
      <c r="F199">
        <v>27922181</v>
      </c>
      <c r="G199">
        <v>27878001</v>
      </c>
      <c r="H199">
        <v>26578237</v>
      </c>
      <c r="I199">
        <v>26564179</v>
      </c>
    </row>
    <row r="200" spans="1:9" x14ac:dyDescent="0.25">
      <c r="A200" t="s">
        <v>288</v>
      </c>
      <c r="B200">
        <v>21478942</v>
      </c>
      <c r="C200">
        <v>20689959</v>
      </c>
      <c r="D200">
        <v>20737148</v>
      </c>
      <c r="E200">
        <v>20695809</v>
      </c>
      <c r="F200">
        <v>22166693</v>
      </c>
      <c r="G200">
        <v>22122513</v>
      </c>
      <c r="H200">
        <v>21436127</v>
      </c>
      <c r="I200">
        <v>21430066</v>
      </c>
    </row>
    <row r="201" spans="1:9" x14ac:dyDescent="0.25">
      <c r="A201" t="s">
        <v>289</v>
      </c>
      <c r="B201">
        <v>4694665</v>
      </c>
      <c r="C201">
        <v>4769769</v>
      </c>
      <c r="D201">
        <v>4783711</v>
      </c>
      <c r="E201">
        <v>4783711</v>
      </c>
      <c r="F201">
        <v>5275072</v>
      </c>
      <c r="G201">
        <v>5275072</v>
      </c>
      <c r="H201">
        <v>4694665</v>
      </c>
      <c r="I201">
        <v>4681479</v>
      </c>
    </row>
    <row r="202" spans="1:9" x14ac:dyDescent="0.25">
      <c r="A202" t="s">
        <v>290</v>
      </c>
      <c r="B202">
        <v>447445</v>
      </c>
      <c r="C202">
        <v>445519</v>
      </c>
      <c r="D202">
        <v>440411</v>
      </c>
      <c r="E202">
        <v>440411</v>
      </c>
      <c r="F202">
        <v>480417</v>
      </c>
      <c r="G202">
        <v>480417</v>
      </c>
      <c r="H202">
        <v>447445</v>
      </c>
      <c r="I202">
        <v>452634</v>
      </c>
    </row>
    <row r="203" spans="1:9" x14ac:dyDescent="0.25">
      <c r="A203" t="s">
        <v>291</v>
      </c>
    </row>
    <row r="204" spans="1:9" x14ac:dyDescent="0.25">
      <c r="A204" t="s">
        <v>292</v>
      </c>
      <c r="B204">
        <v>0</v>
      </c>
      <c r="C204">
        <v>0</v>
      </c>
      <c r="D204">
        <v>0</v>
      </c>
      <c r="E204">
        <v>0</v>
      </c>
      <c r="F204">
        <v>0</v>
      </c>
      <c r="G204">
        <v>0</v>
      </c>
      <c r="H204">
        <v>0</v>
      </c>
      <c r="I204">
        <v>0</v>
      </c>
    </row>
    <row r="205" spans="1:9" x14ac:dyDescent="0.25">
      <c r="A205" t="s">
        <v>293</v>
      </c>
    </row>
    <row r="206" spans="1:9" x14ac:dyDescent="0.25">
      <c r="A206" t="s">
        <v>294</v>
      </c>
      <c r="B206">
        <v>28416086</v>
      </c>
      <c r="C206">
        <v>27501929</v>
      </c>
      <c r="D206">
        <v>27557416</v>
      </c>
      <c r="E206">
        <v>27507465</v>
      </c>
      <c r="F206">
        <v>29635087</v>
      </c>
      <c r="G206">
        <v>29581467</v>
      </c>
      <c r="H206">
        <v>28364415</v>
      </c>
      <c r="I206">
        <v>28358917</v>
      </c>
    </row>
    <row r="207" spans="1:9" x14ac:dyDescent="0.25">
      <c r="A207" t="s">
        <v>295</v>
      </c>
      <c r="B207">
        <v>26788143</v>
      </c>
      <c r="C207">
        <v>25839828</v>
      </c>
      <c r="D207">
        <v>25898091</v>
      </c>
      <c r="E207">
        <v>25848140</v>
      </c>
      <c r="F207">
        <v>27814817</v>
      </c>
      <c r="G207">
        <v>27761197</v>
      </c>
      <c r="H207">
        <v>26736472</v>
      </c>
      <c r="I207">
        <v>26727903</v>
      </c>
    </row>
    <row r="208" spans="1:9" x14ac:dyDescent="0.25">
      <c r="A208" t="s">
        <v>296</v>
      </c>
      <c r="B208">
        <v>1113845</v>
      </c>
      <c r="C208">
        <v>1147761</v>
      </c>
      <c r="D208">
        <v>1150907</v>
      </c>
      <c r="E208">
        <v>1150907</v>
      </c>
      <c r="F208">
        <v>1264728</v>
      </c>
      <c r="G208">
        <v>1264728</v>
      </c>
      <c r="H208">
        <v>1113845</v>
      </c>
      <c r="I208">
        <v>1110904</v>
      </c>
    </row>
    <row r="209" spans="1:9" x14ac:dyDescent="0.25">
      <c r="A209" t="s">
        <v>297</v>
      </c>
      <c r="B209">
        <v>514098</v>
      </c>
      <c r="C209">
        <v>514340</v>
      </c>
      <c r="D209">
        <v>508417</v>
      </c>
      <c r="E209">
        <v>508417</v>
      </c>
      <c r="F209">
        <v>555542</v>
      </c>
      <c r="G209">
        <v>555542</v>
      </c>
      <c r="H209">
        <v>514098</v>
      </c>
      <c r="I209">
        <v>520110</v>
      </c>
    </row>
    <row r="210" spans="1:9" x14ac:dyDescent="0.25">
      <c r="A210" t="s">
        <v>298</v>
      </c>
    </row>
    <row r="211" spans="1:9" x14ac:dyDescent="0.25">
      <c r="A211" t="s">
        <v>299</v>
      </c>
      <c r="B211">
        <v>0</v>
      </c>
      <c r="C211">
        <v>0</v>
      </c>
      <c r="D211">
        <v>0</v>
      </c>
      <c r="E211">
        <v>0</v>
      </c>
      <c r="F211">
        <v>0</v>
      </c>
      <c r="G211">
        <v>0</v>
      </c>
      <c r="H211">
        <v>0</v>
      </c>
      <c r="I211">
        <v>0</v>
      </c>
    </row>
    <row r="212" spans="1:9" x14ac:dyDescent="0.25">
      <c r="A212" t="s">
        <v>300</v>
      </c>
    </row>
    <row r="213" spans="1:9" x14ac:dyDescent="0.25">
      <c r="A213" t="s">
        <v>301</v>
      </c>
      <c r="B213">
        <v>19610212</v>
      </c>
      <c r="C213">
        <v>19161636</v>
      </c>
      <c r="D213">
        <v>19173656</v>
      </c>
      <c r="E213">
        <v>19173656</v>
      </c>
      <c r="F213">
        <v>20237605</v>
      </c>
      <c r="G213">
        <v>20237605</v>
      </c>
      <c r="H213">
        <v>19610212</v>
      </c>
      <c r="I213">
        <v>19598567</v>
      </c>
    </row>
    <row r="214" spans="1:9" x14ac:dyDescent="0.25">
      <c r="A214" t="s">
        <v>302</v>
      </c>
      <c r="B214">
        <v>15860285</v>
      </c>
      <c r="C214">
        <v>15416875</v>
      </c>
      <c r="D214">
        <v>15422167</v>
      </c>
      <c r="E214">
        <v>15422167</v>
      </c>
      <c r="F214">
        <v>16160733</v>
      </c>
      <c r="G214">
        <v>16160733</v>
      </c>
      <c r="H214">
        <v>15860285</v>
      </c>
      <c r="I214">
        <v>15855088</v>
      </c>
    </row>
    <row r="215" spans="1:9" x14ac:dyDescent="0.25">
      <c r="A215" t="s">
        <v>303</v>
      </c>
      <c r="B215">
        <v>3259320</v>
      </c>
      <c r="C215">
        <v>3260780</v>
      </c>
      <c r="D215">
        <v>3267508</v>
      </c>
      <c r="E215">
        <v>3267508</v>
      </c>
      <c r="F215">
        <v>3584050</v>
      </c>
      <c r="G215">
        <v>3584050</v>
      </c>
      <c r="H215">
        <v>3259320</v>
      </c>
      <c r="I215">
        <v>3252871</v>
      </c>
    </row>
    <row r="216" spans="1:9" x14ac:dyDescent="0.25">
      <c r="A216" t="s">
        <v>304</v>
      </c>
    </row>
    <row r="217" spans="1:9" x14ac:dyDescent="0.25">
      <c r="A217" t="s">
        <v>305</v>
      </c>
      <c r="B217">
        <v>490607</v>
      </c>
      <c r="C217">
        <v>483982</v>
      </c>
      <c r="D217">
        <v>483982</v>
      </c>
      <c r="E217">
        <v>483982</v>
      </c>
      <c r="F217">
        <v>492822</v>
      </c>
      <c r="G217">
        <v>492822</v>
      </c>
      <c r="H217">
        <v>490607</v>
      </c>
      <c r="I217">
        <v>490607</v>
      </c>
    </row>
    <row r="218" spans="1:9" x14ac:dyDescent="0.25">
      <c r="A218" t="s">
        <v>306</v>
      </c>
    </row>
    <row r="219" spans="1:9" x14ac:dyDescent="0.25">
      <c r="A219" t="s">
        <v>307</v>
      </c>
      <c r="B219">
        <v>1015076</v>
      </c>
      <c r="C219">
        <v>975396</v>
      </c>
      <c r="D219">
        <v>977733</v>
      </c>
      <c r="E219">
        <v>975587</v>
      </c>
      <c r="F219">
        <v>1058968</v>
      </c>
      <c r="G219">
        <v>1056664</v>
      </c>
      <c r="H219">
        <v>1012854</v>
      </c>
      <c r="I219">
        <v>1012657</v>
      </c>
    </row>
    <row r="220" spans="1:9" x14ac:dyDescent="0.25">
      <c r="A220" t="s">
        <v>308</v>
      </c>
      <c r="B220">
        <v>1121484</v>
      </c>
      <c r="C220">
        <v>1080400</v>
      </c>
      <c r="D220">
        <v>1082912</v>
      </c>
      <c r="E220">
        <v>1080766</v>
      </c>
      <c r="F220">
        <v>1161532</v>
      </c>
      <c r="G220">
        <v>1159229</v>
      </c>
      <c r="H220">
        <v>1119261</v>
      </c>
      <c r="I220">
        <v>1118883</v>
      </c>
    </row>
    <row r="221" spans="1:9" x14ac:dyDescent="0.25">
      <c r="A221" t="s">
        <v>309</v>
      </c>
      <c r="B221">
        <v>20080</v>
      </c>
      <c r="C221">
        <v>20384</v>
      </c>
      <c r="D221">
        <v>20443</v>
      </c>
      <c r="E221">
        <v>20443</v>
      </c>
      <c r="F221">
        <v>22547</v>
      </c>
      <c r="G221">
        <v>22547</v>
      </c>
      <c r="H221">
        <v>20080</v>
      </c>
      <c r="I221">
        <v>20024</v>
      </c>
    </row>
    <row r="222" spans="1:9" x14ac:dyDescent="0.25">
      <c r="A222" t="s">
        <v>310</v>
      </c>
      <c r="B222">
        <v>19880</v>
      </c>
      <c r="C222">
        <v>19937</v>
      </c>
      <c r="D222">
        <v>19708</v>
      </c>
      <c r="E222">
        <v>19708</v>
      </c>
      <c r="F222">
        <v>21601</v>
      </c>
      <c r="G222">
        <v>21601</v>
      </c>
      <c r="H222">
        <v>19880</v>
      </c>
      <c r="I222">
        <v>20113</v>
      </c>
    </row>
    <row r="223" spans="1:9" x14ac:dyDescent="0.25">
      <c r="A223" t="s">
        <v>311</v>
      </c>
    </row>
    <row r="224" spans="1:9" x14ac:dyDescent="0.25">
      <c r="A224" t="s">
        <v>312</v>
      </c>
      <c r="B224">
        <v>-146367</v>
      </c>
      <c r="C224">
        <v>-145326</v>
      </c>
      <c r="D224">
        <v>-145329</v>
      </c>
      <c r="E224">
        <v>-145329</v>
      </c>
      <c r="F224">
        <v>-146712</v>
      </c>
      <c r="G224">
        <v>-146712</v>
      </c>
      <c r="H224">
        <v>-146367</v>
      </c>
      <c r="I224">
        <v>-146363</v>
      </c>
    </row>
    <row r="225" spans="1:9" x14ac:dyDescent="0.25">
      <c r="A225" t="s">
        <v>313</v>
      </c>
    </row>
    <row r="226" spans="1:9" x14ac:dyDescent="0.25">
      <c r="A226" t="s">
        <v>314</v>
      </c>
      <c r="B226">
        <v>53329609</v>
      </c>
      <c r="C226">
        <v>51697133</v>
      </c>
      <c r="D226">
        <v>51767528</v>
      </c>
      <c r="E226">
        <v>51713451</v>
      </c>
      <c r="F226">
        <v>54893416</v>
      </c>
      <c r="G226">
        <v>54836059</v>
      </c>
      <c r="H226">
        <v>53273522</v>
      </c>
      <c r="I226">
        <v>53257732</v>
      </c>
    </row>
    <row r="227" spans="1:9" x14ac:dyDescent="0.25">
      <c r="A227" t="s">
        <v>315</v>
      </c>
      <c r="B227">
        <v>30747345</v>
      </c>
      <c r="C227">
        <v>29830063</v>
      </c>
      <c r="D227">
        <v>29888981</v>
      </c>
      <c r="E227">
        <v>29843936</v>
      </c>
      <c r="F227">
        <v>31880293</v>
      </c>
      <c r="G227">
        <v>31832611</v>
      </c>
      <c r="H227">
        <v>30700593</v>
      </c>
      <c r="I227">
        <v>30687431</v>
      </c>
    </row>
    <row r="228" spans="1:9" x14ac:dyDescent="0.25">
      <c r="A228" t="s">
        <v>316</v>
      </c>
      <c r="B228">
        <v>25755618</v>
      </c>
      <c r="C228">
        <v>24769631</v>
      </c>
      <c r="D228">
        <v>24816113</v>
      </c>
      <c r="E228">
        <v>24771068</v>
      </c>
      <c r="F228">
        <v>26284275</v>
      </c>
      <c r="G228">
        <v>26236592</v>
      </c>
      <c r="H228">
        <v>25708866</v>
      </c>
      <c r="I228">
        <v>25707373</v>
      </c>
    </row>
    <row r="229" spans="1:9" x14ac:dyDescent="0.25">
      <c r="A229" t="s">
        <v>317</v>
      </c>
      <c r="B229">
        <v>4905609</v>
      </c>
      <c r="C229">
        <v>4974851</v>
      </c>
      <c r="D229">
        <v>4988372</v>
      </c>
      <c r="E229">
        <v>4988372</v>
      </c>
      <c r="F229">
        <v>5504637</v>
      </c>
      <c r="G229">
        <v>5504637</v>
      </c>
      <c r="H229">
        <v>4905609</v>
      </c>
      <c r="I229">
        <v>4892831</v>
      </c>
    </row>
    <row r="230" spans="1:9" x14ac:dyDescent="0.25">
      <c r="A230" t="s">
        <v>318</v>
      </c>
      <c r="B230">
        <v>86119</v>
      </c>
      <c r="C230">
        <v>85582</v>
      </c>
      <c r="D230">
        <v>84496</v>
      </c>
      <c r="E230">
        <v>84496</v>
      </c>
      <c r="F230">
        <v>91382</v>
      </c>
      <c r="G230">
        <v>91382</v>
      </c>
      <c r="H230">
        <v>86119</v>
      </c>
      <c r="I230">
        <v>87227</v>
      </c>
    </row>
    <row r="231" spans="1:9" x14ac:dyDescent="0.25">
      <c r="A231" t="s">
        <v>319</v>
      </c>
    </row>
    <row r="232" spans="1:9" x14ac:dyDescent="0.25">
      <c r="A232" t="s">
        <v>320</v>
      </c>
      <c r="B232">
        <v>0</v>
      </c>
      <c r="C232">
        <v>0</v>
      </c>
      <c r="D232">
        <v>0</v>
      </c>
      <c r="E232">
        <v>0</v>
      </c>
      <c r="F232">
        <v>0</v>
      </c>
      <c r="G232">
        <v>0</v>
      </c>
      <c r="H232">
        <v>0</v>
      </c>
      <c r="I232">
        <v>0</v>
      </c>
    </row>
    <row r="233" spans="1:9" x14ac:dyDescent="0.25">
      <c r="A233" t="s">
        <v>321</v>
      </c>
    </row>
    <row r="234" spans="1:9" x14ac:dyDescent="0.25">
      <c r="A234" t="s">
        <v>322</v>
      </c>
      <c r="B234">
        <v>33719397</v>
      </c>
      <c r="C234">
        <v>32535497</v>
      </c>
      <c r="D234">
        <v>32593872</v>
      </c>
      <c r="E234">
        <v>32539795</v>
      </c>
      <c r="F234">
        <v>34655810</v>
      </c>
      <c r="G234">
        <v>34598453</v>
      </c>
      <c r="H234">
        <v>33663311</v>
      </c>
      <c r="I234">
        <v>33659165</v>
      </c>
    </row>
    <row r="235" spans="1:9" x14ac:dyDescent="0.25">
      <c r="A235" t="s">
        <v>323</v>
      </c>
      <c r="B235">
        <v>32515793</v>
      </c>
      <c r="C235">
        <v>31298226</v>
      </c>
      <c r="D235">
        <v>31354592</v>
      </c>
      <c r="E235">
        <v>31300515</v>
      </c>
      <c r="F235">
        <v>33295462</v>
      </c>
      <c r="G235">
        <v>33238105</v>
      </c>
      <c r="H235">
        <v>32459707</v>
      </c>
      <c r="I235">
        <v>32457346</v>
      </c>
    </row>
    <row r="236" spans="1:9" x14ac:dyDescent="0.25">
      <c r="A236" t="s">
        <v>324</v>
      </c>
      <c r="B236">
        <v>1113845</v>
      </c>
      <c r="C236">
        <v>1147761</v>
      </c>
      <c r="D236">
        <v>1150907</v>
      </c>
      <c r="E236">
        <v>1150907</v>
      </c>
      <c r="F236">
        <v>1264728</v>
      </c>
      <c r="G236">
        <v>1264728</v>
      </c>
      <c r="H236">
        <v>1113845</v>
      </c>
      <c r="I236">
        <v>1110904</v>
      </c>
    </row>
    <row r="237" spans="1:9" x14ac:dyDescent="0.25">
      <c r="A237" t="s">
        <v>325</v>
      </c>
      <c r="B237">
        <v>89758</v>
      </c>
      <c r="C237">
        <v>89510</v>
      </c>
      <c r="D237">
        <v>88372</v>
      </c>
      <c r="E237">
        <v>88372</v>
      </c>
      <c r="F237">
        <v>95620</v>
      </c>
      <c r="G237">
        <v>95620</v>
      </c>
      <c r="H237">
        <v>89758</v>
      </c>
      <c r="I237">
        <v>90915</v>
      </c>
    </row>
    <row r="238" spans="1:9" x14ac:dyDescent="0.25">
      <c r="A238" t="s">
        <v>326</v>
      </c>
    </row>
    <row r="239" spans="1:9" x14ac:dyDescent="0.25">
      <c r="A239" t="s">
        <v>327</v>
      </c>
      <c r="B239">
        <v>0</v>
      </c>
      <c r="C239">
        <v>0</v>
      </c>
      <c r="D239">
        <v>0</v>
      </c>
      <c r="E239">
        <v>0</v>
      </c>
      <c r="F239">
        <v>0</v>
      </c>
      <c r="G239">
        <v>0</v>
      </c>
      <c r="H239">
        <v>0</v>
      </c>
      <c r="I239">
        <v>0</v>
      </c>
    </row>
    <row r="240" spans="1:9" x14ac:dyDescent="0.25">
      <c r="A240" t="s">
        <v>328</v>
      </c>
    </row>
    <row r="241" spans="1:9" x14ac:dyDescent="0.25">
      <c r="A241" t="s">
        <v>329</v>
      </c>
      <c r="B241">
        <v>19610212</v>
      </c>
      <c r="C241">
        <v>19161636</v>
      </c>
      <c r="D241">
        <v>19173656</v>
      </c>
      <c r="E241">
        <v>19173656</v>
      </c>
      <c r="F241">
        <v>20237605</v>
      </c>
      <c r="G241">
        <v>20237605</v>
      </c>
      <c r="H241">
        <v>19610212</v>
      </c>
      <c r="I241">
        <v>19598567</v>
      </c>
    </row>
    <row r="242" spans="1:9" x14ac:dyDescent="0.25">
      <c r="A242" t="s">
        <v>330</v>
      </c>
      <c r="B242">
        <v>15860285</v>
      </c>
      <c r="C242">
        <v>15416875</v>
      </c>
      <c r="D242">
        <v>15422167</v>
      </c>
      <c r="E242">
        <v>15422167</v>
      </c>
      <c r="F242">
        <v>16160733</v>
      </c>
      <c r="G242">
        <v>16160733</v>
      </c>
      <c r="H242">
        <v>15860285</v>
      </c>
      <c r="I242">
        <v>15855088</v>
      </c>
    </row>
    <row r="243" spans="1:9" x14ac:dyDescent="0.25">
      <c r="A243" t="s">
        <v>331</v>
      </c>
      <c r="B243">
        <v>3259320</v>
      </c>
      <c r="C243">
        <v>3260780</v>
      </c>
      <c r="D243">
        <v>3267508</v>
      </c>
      <c r="E243">
        <v>3267508</v>
      </c>
      <c r="F243">
        <v>3584050</v>
      </c>
      <c r="G243">
        <v>3584050</v>
      </c>
      <c r="H243">
        <v>3259320</v>
      </c>
      <c r="I243">
        <v>3252871</v>
      </c>
    </row>
    <row r="244" spans="1:9" x14ac:dyDescent="0.25">
      <c r="A244" t="s">
        <v>332</v>
      </c>
    </row>
    <row r="245" spans="1:9" x14ac:dyDescent="0.25">
      <c r="A245" t="s">
        <v>333</v>
      </c>
      <c r="B245">
        <v>490607</v>
      </c>
      <c r="C245">
        <v>483982</v>
      </c>
      <c r="D245">
        <v>483982</v>
      </c>
      <c r="E245">
        <v>483982</v>
      </c>
      <c r="F245">
        <v>492822</v>
      </c>
      <c r="G245">
        <v>492822</v>
      </c>
      <c r="H245">
        <v>490607</v>
      </c>
      <c r="I245">
        <v>490607</v>
      </c>
    </row>
    <row r="246" spans="1:9" x14ac:dyDescent="0.25">
      <c r="A246" t="s">
        <v>334</v>
      </c>
    </row>
    <row r="247" spans="1:9" x14ac:dyDescent="0.25">
      <c r="A247" t="s">
        <v>335</v>
      </c>
      <c r="B247">
        <v>1388092</v>
      </c>
      <c r="C247">
        <v>1330769</v>
      </c>
      <c r="D247">
        <v>1333471</v>
      </c>
      <c r="E247">
        <v>1330913</v>
      </c>
      <c r="F247">
        <v>1423335</v>
      </c>
      <c r="G247">
        <v>1420622</v>
      </c>
      <c r="H247">
        <v>1385435</v>
      </c>
      <c r="I247">
        <v>1385291</v>
      </c>
    </row>
    <row r="248" spans="1:9" x14ac:dyDescent="0.25">
      <c r="A248" t="s">
        <v>336</v>
      </c>
      <c r="B248">
        <v>1512455</v>
      </c>
      <c r="C248">
        <v>1453783</v>
      </c>
      <c r="D248">
        <v>1456454</v>
      </c>
      <c r="E248">
        <v>1453896</v>
      </c>
      <c r="F248">
        <v>1545388</v>
      </c>
      <c r="G248">
        <v>1542675</v>
      </c>
      <c r="H248">
        <v>1509798</v>
      </c>
      <c r="I248">
        <v>1509682</v>
      </c>
    </row>
    <row r="249" spans="1:9" x14ac:dyDescent="0.25">
      <c r="A249" t="s">
        <v>337</v>
      </c>
      <c r="B249">
        <v>20080</v>
      </c>
      <c r="C249">
        <v>20384</v>
      </c>
      <c r="D249">
        <v>20443</v>
      </c>
      <c r="E249">
        <v>20443</v>
      </c>
      <c r="F249">
        <v>22547</v>
      </c>
      <c r="G249">
        <v>22547</v>
      </c>
      <c r="H249">
        <v>20080</v>
      </c>
      <c r="I249">
        <v>20024</v>
      </c>
    </row>
    <row r="250" spans="1:9" x14ac:dyDescent="0.25">
      <c r="A250" t="s">
        <v>338</v>
      </c>
      <c r="B250">
        <v>1925</v>
      </c>
      <c r="C250">
        <v>1926</v>
      </c>
      <c r="D250">
        <v>1903</v>
      </c>
      <c r="E250">
        <v>1903</v>
      </c>
      <c r="F250">
        <v>2112</v>
      </c>
      <c r="G250">
        <v>2112</v>
      </c>
      <c r="H250">
        <v>1925</v>
      </c>
      <c r="I250">
        <v>1949</v>
      </c>
    </row>
    <row r="251" spans="1:9" x14ac:dyDescent="0.25">
      <c r="A251" t="s">
        <v>339</v>
      </c>
    </row>
    <row r="252" spans="1:9" x14ac:dyDescent="0.25">
      <c r="A252" t="s">
        <v>340</v>
      </c>
      <c r="B252">
        <v>-146367</v>
      </c>
      <c r="C252">
        <v>-145326</v>
      </c>
      <c r="D252">
        <v>-145329</v>
      </c>
      <c r="E252">
        <v>-145329</v>
      </c>
      <c r="F252">
        <v>-146712</v>
      </c>
      <c r="G252">
        <v>-146712</v>
      </c>
      <c r="H252">
        <v>-146367</v>
      </c>
      <c r="I252">
        <v>-146363</v>
      </c>
    </row>
    <row r="253" spans="1:9" x14ac:dyDescent="0.25">
      <c r="A253" t="s">
        <v>341</v>
      </c>
    </row>
    <row r="254" spans="1:9" x14ac:dyDescent="0.25">
      <c r="A254" t="s">
        <v>342</v>
      </c>
      <c r="B254">
        <v>56930260</v>
      </c>
      <c r="C254">
        <v>48910101</v>
      </c>
      <c r="D254">
        <v>48983007</v>
      </c>
      <c r="E254">
        <v>48928466</v>
      </c>
      <c r="F254">
        <v>59522920</v>
      </c>
      <c r="G254">
        <v>59456186</v>
      </c>
      <c r="H254">
        <v>56866248</v>
      </c>
      <c r="I254">
        <v>56843209</v>
      </c>
    </row>
    <row r="255" spans="1:9" x14ac:dyDescent="0.25">
      <c r="A255" t="s">
        <v>343</v>
      </c>
      <c r="B255">
        <v>35150108</v>
      </c>
      <c r="C255">
        <v>29748465</v>
      </c>
      <c r="D255">
        <v>29809351</v>
      </c>
      <c r="E255">
        <v>29754809</v>
      </c>
      <c r="F255">
        <v>36888535</v>
      </c>
      <c r="G255">
        <v>36821801</v>
      </c>
      <c r="H255">
        <v>35086096</v>
      </c>
      <c r="I255">
        <v>35078215</v>
      </c>
    </row>
    <row r="256" spans="1:9" x14ac:dyDescent="0.25">
      <c r="A256" t="s">
        <v>344</v>
      </c>
      <c r="B256">
        <v>32986434</v>
      </c>
      <c r="C256">
        <v>28023480</v>
      </c>
      <c r="D256">
        <v>28087546</v>
      </c>
      <c r="E256">
        <v>28033005</v>
      </c>
      <c r="F256">
        <v>34405527</v>
      </c>
      <c r="G256">
        <v>34338792</v>
      </c>
      <c r="H256">
        <v>32922422</v>
      </c>
      <c r="I256">
        <v>32910828</v>
      </c>
    </row>
    <row r="257" spans="1:9" x14ac:dyDescent="0.25">
      <c r="A257" t="s">
        <v>345</v>
      </c>
      <c r="B257">
        <v>1486401</v>
      </c>
      <c r="C257">
        <v>1168178</v>
      </c>
      <c r="D257">
        <v>1171384</v>
      </c>
      <c r="E257">
        <v>1171384</v>
      </c>
      <c r="F257">
        <v>1737786</v>
      </c>
      <c r="G257">
        <v>1737786</v>
      </c>
      <c r="H257">
        <v>1486401</v>
      </c>
      <c r="I257">
        <v>1482283</v>
      </c>
    </row>
    <row r="258" spans="1:9" x14ac:dyDescent="0.25">
      <c r="A258" t="s">
        <v>346</v>
      </c>
      <c r="B258">
        <v>677273</v>
      </c>
      <c r="C258">
        <v>556807</v>
      </c>
      <c r="D258">
        <v>550421</v>
      </c>
      <c r="E258">
        <v>550421</v>
      </c>
      <c r="F258">
        <v>745222</v>
      </c>
      <c r="G258">
        <v>745222</v>
      </c>
      <c r="H258">
        <v>677273</v>
      </c>
      <c r="I258">
        <v>685104</v>
      </c>
    </row>
    <row r="259" spans="1:9" x14ac:dyDescent="0.25">
      <c r="A259" t="s">
        <v>347</v>
      </c>
    </row>
    <row r="260" spans="1:9" x14ac:dyDescent="0.25">
      <c r="A260" t="s">
        <v>348</v>
      </c>
      <c r="B260">
        <v>0</v>
      </c>
      <c r="C260">
        <v>0</v>
      </c>
      <c r="D260">
        <v>0</v>
      </c>
      <c r="E260">
        <v>0</v>
      </c>
      <c r="F260">
        <v>0</v>
      </c>
      <c r="G260">
        <v>0</v>
      </c>
      <c r="H260">
        <v>0</v>
      </c>
      <c r="I260">
        <v>0</v>
      </c>
    </row>
    <row r="261" spans="1:9" x14ac:dyDescent="0.25">
      <c r="A261" t="s">
        <v>349</v>
      </c>
    </row>
    <row r="262" spans="1:9" x14ac:dyDescent="0.25">
      <c r="A262" t="s">
        <v>350</v>
      </c>
      <c r="B262">
        <v>21780152</v>
      </c>
      <c r="C262">
        <v>19161636</v>
      </c>
      <c r="D262">
        <v>19173656</v>
      </c>
      <c r="E262">
        <v>19173656</v>
      </c>
      <c r="F262">
        <v>22634385</v>
      </c>
      <c r="G262">
        <v>22634385</v>
      </c>
      <c r="H262">
        <v>21780152</v>
      </c>
      <c r="I262">
        <v>21764994</v>
      </c>
    </row>
    <row r="263" spans="1:9" x14ac:dyDescent="0.25">
      <c r="A263" t="s">
        <v>351</v>
      </c>
      <c r="B263">
        <v>17202659</v>
      </c>
      <c r="C263">
        <v>15416875</v>
      </c>
      <c r="D263">
        <v>15422167</v>
      </c>
      <c r="E263">
        <v>15422167</v>
      </c>
      <c r="F263">
        <v>17551638</v>
      </c>
      <c r="G263">
        <v>17551638</v>
      </c>
      <c r="H263">
        <v>17202659</v>
      </c>
      <c r="I263">
        <v>17196042</v>
      </c>
    </row>
    <row r="264" spans="1:9" x14ac:dyDescent="0.25">
      <c r="A264" t="s">
        <v>352</v>
      </c>
      <c r="B264">
        <v>4072613</v>
      </c>
      <c r="C264">
        <v>3260780</v>
      </c>
      <c r="D264">
        <v>3267508</v>
      </c>
      <c r="E264">
        <v>3267508</v>
      </c>
      <c r="F264">
        <v>4576097</v>
      </c>
      <c r="G264">
        <v>4576097</v>
      </c>
      <c r="H264">
        <v>4072613</v>
      </c>
      <c r="I264">
        <v>4064072</v>
      </c>
    </row>
    <row r="265" spans="1:9" x14ac:dyDescent="0.25">
      <c r="A265" t="s">
        <v>353</v>
      </c>
    </row>
    <row r="266" spans="1:9" x14ac:dyDescent="0.25">
      <c r="A266" t="s">
        <v>354</v>
      </c>
      <c r="B266">
        <v>504881</v>
      </c>
      <c r="C266">
        <v>483982</v>
      </c>
      <c r="D266">
        <v>483982</v>
      </c>
      <c r="E266">
        <v>483982</v>
      </c>
      <c r="F266">
        <v>506650</v>
      </c>
      <c r="G266">
        <v>506650</v>
      </c>
      <c r="H266">
        <v>504881</v>
      </c>
      <c r="I266">
        <v>504881</v>
      </c>
    </row>
    <row r="267" spans="1:9" x14ac:dyDescent="0.25">
      <c r="A267" t="s">
        <v>355</v>
      </c>
    </row>
    <row r="268" spans="1:9" x14ac:dyDescent="0.25">
      <c r="A268" t="s">
        <v>356</v>
      </c>
      <c r="B268">
        <v>788075</v>
      </c>
      <c r="C268">
        <v>650463</v>
      </c>
      <c r="D268">
        <v>652144</v>
      </c>
      <c r="E268">
        <v>650615</v>
      </c>
      <c r="F268">
        <v>828481</v>
      </c>
      <c r="G268">
        <v>826611</v>
      </c>
      <c r="H268">
        <v>786279</v>
      </c>
      <c r="I268">
        <v>786098</v>
      </c>
    </row>
    <row r="269" spans="1:9" x14ac:dyDescent="0.25">
      <c r="A269" t="s">
        <v>357</v>
      </c>
      <c r="B269">
        <v>902075</v>
      </c>
      <c r="C269">
        <v>768084</v>
      </c>
      <c r="D269">
        <v>769889</v>
      </c>
      <c r="E269">
        <v>768360</v>
      </c>
      <c r="F269">
        <v>938363</v>
      </c>
      <c r="G269">
        <v>936493</v>
      </c>
      <c r="H269">
        <v>900280</v>
      </c>
      <c r="I269">
        <v>899947</v>
      </c>
    </row>
    <row r="270" spans="1:9" x14ac:dyDescent="0.25">
      <c r="A270" t="s">
        <v>358</v>
      </c>
      <c r="B270">
        <v>17334</v>
      </c>
      <c r="C270">
        <v>13599</v>
      </c>
      <c r="D270">
        <v>13638</v>
      </c>
      <c r="E270">
        <v>13638</v>
      </c>
      <c r="F270">
        <v>19922</v>
      </c>
      <c r="G270">
        <v>19922</v>
      </c>
      <c r="H270">
        <v>17334</v>
      </c>
      <c r="I270">
        <v>17284</v>
      </c>
    </row>
    <row r="271" spans="1:9" x14ac:dyDescent="0.25">
      <c r="A271" t="s">
        <v>359</v>
      </c>
      <c r="B271">
        <v>17228</v>
      </c>
      <c r="C271">
        <v>14106</v>
      </c>
      <c r="D271">
        <v>13946</v>
      </c>
      <c r="E271">
        <v>13946</v>
      </c>
      <c r="F271">
        <v>19026</v>
      </c>
      <c r="G271">
        <v>19026</v>
      </c>
      <c r="H271">
        <v>17228</v>
      </c>
      <c r="I271">
        <v>17425</v>
      </c>
    </row>
    <row r="272" spans="1:9" x14ac:dyDescent="0.25">
      <c r="A272" t="s">
        <v>360</v>
      </c>
    </row>
    <row r="273" spans="1:9" x14ac:dyDescent="0.25">
      <c r="A273" t="s">
        <v>361</v>
      </c>
      <c r="B273">
        <v>-148563</v>
      </c>
      <c r="C273">
        <v>-145326</v>
      </c>
      <c r="D273">
        <v>-145329</v>
      </c>
      <c r="E273">
        <v>-145329</v>
      </c>
      <c r="F273">
        <v>-148831</v>
      </c>
      <c r="G273">
        <v>-148831</v>
      </c>
      <c r="H273">
        <v>-148563</v>
      </c>
      <c r="I273">
        <v>-148559</v>
      </c>
    </row>
    <row r="274" spans="1:9" x14ac:dyDescent="0.25">
      <c r="A274" t="s">
        <v>362</v>
      </c>
    </row>
    <row r="275" spans="1:9" x14ac:dyDescent="0.25">
      <c r="A275" t="s">
        <v>363</v>
      </c>
      <c r="B275">
        <v>60481321</v>
      </c>
      <c r="C275">
        <v>52732046</v>
      </c>
      <c r="D275">
        <v>52804330</v>
      </c>
      <c r="E275">
        <v>52748517</v>
      </c>
      <c r="F275">
        <v>62481448</v>
      </c>
      <c r="G275">
        <v>62416188</v>
      </c>
      <c r="H275">
        <v>60417481</v>
      </c>
      <c r="I275">
        <v>60396801</v>
      </c>
    </row>
    <row r="276" spans="1:9" x14ac:dyDescent="0.25">
      <c r="A276" t="s">
        <v>364</v>
      </c>
      <c r="B276">
        <v>38701169</v>
      </c>
      <c r="C276">
        <v>33570409</v>
      </c>
      <c r="D276">
        <v>33630674</v>
      </c>
      <c r="E276">
        <v>33574861</v>
      </c>
      <c r="F276">
        <v>39847063</v>
      </c>
      <c r="G276">
        <v>39781803</v>
      </c>
      <c r="H276">
        <v>38637329</v>
      </c>
      <c r="I276">
        <v>38631806</v>
      </c>
    </row>
    <row r="277" spans="1:9" x14ac:dyDescent="0.25">
      <c r="A277" t="s">
        <v>365</v>
      </c>
      <c r="B277">
        <v>37107455</v>
      </c>
      <c r="C277">
        <v>32311892</v>
      </c>
      <c r="D277">
        <v>32370100</v>
      </c>
      <c r="E277">
        <v>32314286</v>
      </c>
      <c r="F277">
        <v>37993157</v>
      </c>
      <c r="G277">
        <v>37927897</v>
      </c>
      <c r="H277">
        <v>37043615</v>
      </c>
      <c r="I277">
        <v>37040833</v>
      </c>
    </row>
    <row r="278" spans="1:9" x14ac:dyDescent="0.25">
      <c r="A278" t="s">
        <v>366</v>
      </c>
      <c r="B278">
        <v>1486401</v>
      </c>
      <c r="C278">
        <v>1168178</v>
      </c>
      <c r="D278">
        <v>1171384</v>
      </c>
      <c r="E278">
        <v>1171384</v>
      </c>
      <c r="F278">
        <v>1737786</v>
      </c>
      <c r="G278">
        <v>1737786</v>
      </c>
      <c r="H278">
        <v>1486401</v>
      </c>
      <c r="I278">
        <v>1482283</v>
      </c>
    </row>
    <row r="279" spans="1:9" x14ac:dyDescent="0.25">
      <c r="A279" t="s">
        <v>367</v>
      </c>
      <c r="B279">
        <v>107313</v>
      </c>
      <c r="C279">
        <v>90340</v>
      </c>
      <c r="D279">
        <v>89191</v>
      </c>
      <c r="E279">
        <v>89191</v>
      </c>
      <c r="F279">
        <v>116119</v>
      </c>
      <c r="G279">
        <v>116119</v>
      </c>
      <c r="H279">
        <v>107313</v>
      </c>
      <c r="I279">
        <v>108690</v>
      </c>
    </row>
    <row r="280" spans="1:9" x14ac:dyDescent="0.25">
      <c r="A280" t="s">
        <v>368</v>
      </c>
    </row>
    <row r="281" spans="1:9" x14ac:dyDescent="0.25">
      <c r="A281" t="s">
        <v>369</v>
      </c>
      <c r="B281">
        <v>0</v>
      </c>
      <c r="C281">
        <v>0</v>
      </c>
      <c r="D281">
        <v>0</v>
      </c>
      <c r="E281">
        <v>0</v>
      </c>
      <c r="F281">
        <v>0</v>
      </c>
      <c r="G281">
        <v>0</v>
      </c>
      <c r="H281">
        <v>0</v>
      </c>
      <c r="I281">
        <v>0</v>
      </c>
    </row>
    <row r="282" spans="1:9" x14ac:dyDescent="0.25">
      <c r="A282" t="s">
        <v>370</v>
      </c>
    </row>
    <row r="283" spans="1:9" x14ac:dyDescent="0.25">
      <c r="A283" t="s">
        <v>371</v>
      </c>
      <c r="B283">
        <v>21780152</v>
      </c>
      <c r="C283">
        <v>19161636</v>
      </c>
      <c r="D283">
        <v>19173656</v>
      </c>
      <c r="E283">
        <v>19173656</v>
      </c>
      <c r="F283">
        <v>22634385</v>
      </c>
      <c r="G283">
        <v>22634385</v>
      </c>
      <c r="H283">
        <v>21780152</v>
      </c>
      <c r="I283">
        <v>21764994</v>
      </c>
    </row>
    <row r="284" spans="1:9" x14ac:dyDescent="0.25">
      <c r="A284" t="s">
        <v>372</v>
      </c>
      <c r="B284">
        <v>17202659</v>
      </c>
      <c r="C284">
        <v>15416875</v>
      </c>
      <c r="D284">
        <v>15422167</v>
      </c>
      <c r="E284">
        <v>15422167</v>
      </c>
      <c r="F284">
        <v>17551638</v>
      </c>
      <c r="G284">
        <v>17551638</v>
      </c>
      <c r="H284">
        <v>17202659</v>
      </c>
      <c r="I284">
        <v>17196042</v>
      </c>
    </row>
    <row r="285" spans="1:9" x14ac:dyDescent="0.25">
      <c r="A285" t="s">
        <v>373</v>
      </c>
      <c r="B285">
        <v>4072613</v>
      </c>
      <c r="C285">
        <v>3260780</v>
      </c>
      <c r="D285">
        <v>3267508</v>
      </c>
      <c r="E285">
        <v>3267508</v>
      </c>
      <c r="F285">
        <v>4576097</v>
      </c>
      <c r="G285">
        <v>4576097</v>
      </c>
      <c r="H285">
        <v>4072613</v>
      </c>
      <c r="I285">
        <v>4064072</v>
      </c>
    </row>
    <row r="286" spans="1:9" x14ac:dyDescent="0.25">
      <c r="A286" t="s">
        <v>374</v>
      </c>
    </row>
    <row r="287" spans="1:9" x14ac:dyDescent="0.25">
      <c r="A287" t="s">
        <v>375</v>
      </c>
      <c r="B287">
        <v>504881</v>
      </c>
      <c r="C287">
        <v>483982</v>
      </c>
      <c r="D287">
        <v>483982</v>
      </c>
      <c r="E287">
        <v>483982</v>
      </c>
      <c r="F287">
        <v>506650</v>
      </c>
      <c r="G287">
        <v>506650</v>
      </c>
      <c r="H287">
        <v>504881</v>
      </c>
      <c r="I287">
        <v>504881</v>
      </c>
    </row>
    <row r="288" spans="1:9" x14ac:dyDescent="0.25">
      <c r="A288" t="s">
        <v>376</v>
      </c>
    </row>
    <row r="289" spans="1:9" x14ac:dyDescent="0.25">
      <c r="A289" t="s">
        <v>377</v>
      </c>
      <c r="B289">
        <v>985680</v>
      </c>
      <c r="C289">
        <v>841993</v>
      </c>
      <c r="D289">
        <v>843789</v>
      </c>
      <c r="E289">
        <v>842088</v>
      </c>
      <c r="F289">
        <v>1011429</v>
      </c>
      <c r="G289">
        <v>1009443</v>
      </c>
      <c r="H289">
        <v>983733</v>
      </c>
      <c r="I289">
        <v>983621</v>
      </c>
    </row>
    <row r="290" spans="1:9" x14ac:dyDescent="0.25">
      <c r="A290" t="s">
        <v>378</v>
      </c>
      <c r="B290">
        <v>1115415</v>
      </c>
      <c r="C290">
        <v>972478</v>
      </c>
      <c r="D290">
        <v>974253</v>
      </c>
      <c r="E290">
        <v>972552</v>
      </c>
      <c r="F290">
        <v>1138730</v>
      </c>
      <c r="G290">
        <v>1136744</v>
      </c>
      <c r="H290">
        <v>1113468</v>
      </c>
      <c r="I290">
        <v>1113383</v>
      </c>
    </row>
    <row r="291" spans="1:9" x14ac:dyDescent="0.25">
      <c r="A291" t="s">
        <v>379</v>
      </c>
      <c r="B291">
        <v>17334</v>
      </c>
      <c r="C291">
        <v>13599</v>
      </c>
      <c r="D291">
        <v>13638</v>
      </c>
      <c r="E291">
        <v>13638</v>
      </c>
      <c r="F291">
        <v>19922</v>
      </c>
      <c r="G291">
        <v>19922</v>
      </c>
      <c r="H291">
        <v>17334</v>
      </c>
      <c r="I291">
        <v>17284</v>
      </c>
    </row>
    <row r="292" spans="1:9" x14ac:dyDescent="0.25">
      <c r="A292" t="s">
        <v>380</v>
      </c>
      <c r="B292">
        <v>1493</v>
      </c>
      <c r="C292">
        <v>1241</v>
      </c>
      <c r="D292">
        <v>1226</v>
      </c>
      <c r="E292">
        <v>1226</v>
      </c>
      <c r="F292">
        <v>1608</v>
      </c>
      <c r="G292">
        <v>1608</v>
      </c>
      <c r="H292">
        <v>1493</v>
      </c>
      <c r="I292">
        <v>1512</v>
      </c>
    </row>
    <row r="293" spans="1:9" x14ac:dyDescent="0.25">
      <c r="A293" t="s">
        <v>381</v>
      </c>
    </row>
    <row r="294" spans="1:9" x14ac:dyDescent="0.25">
      <c r="A294" t="s">
        <v>382</v>
      </c>
      <c r="B294">
        <v>-148563</v>
      </c>
      <c r="C294">
        <v>-145326</v>
      </c>
      <c r="D294">
        <v>-145329</v>
      </c>
      <c r="E294">
        <v>-145329</v>
      </c>
      <c r="F294">
        <v>-148831</v>
      </c>
      <c r="G294">
        <v>-148831</v>
      </c>
      <c r="H294">
        <v>-148563</v>
      </c>
      <c r="I294">
        <v>-148559</v>
      </c>
    </row>
    <row r="295" spans="1:9" x14ac:dyDescent="0.25">
      <c r="A295" t="s">
        <v>383</v>
      </c>
    </row>
    <row r="296" spans="1:9" x14ac:dyDescent="0.25">
      <c r="A296" t="s">
        <v>384</v>
      </c>
      <c r="B296">
        <v>54234675</v>
      </c>
      <c r="C296">
        <v>46663565</v>
      </c>
      <c r="D296">
        <v>46731073</v>
      </c>
      <c r="E296">
        <v>46681122</v>
      </c>
      <c r="F296">
        <v>56677712</v>
      </c>
      <c r="G296">
        <v>56616777</v>
      </c>
      <c r="H296">
        <v>54176163</v>
      </c>
      <c r="I296">
        <v>54154105</v>
      </c>
    </row>
    <row r="297" spans="1:9" x14ac:dyDescent="0.25">
      <c r="A297" t="s">
        <v>385</v>
      </c>
      <c r="B297">
        <v>32454523</v>
      </c>
      <c r="C297">
        <v>27501929</v>
      </c>
      <c r="D297">
        <v>27557416</v>
      </c>
      <c r="E297">
        <v>27507465</v>
      </c>
      <c r="F297">
        <v>34043327</v>
      </c>
      <c r="G297">
        <v>33982392</v>
      </c>
      <c r="H297">
        <v>32396010</v>
      </c>
      <c r="I297">
        <v>32389111</v>
      </c>
    </row>
    <row r="298" spans="1:9" x14ac:dyDescent="0.25">
      <c r="A298" t="s">
        <v>386</v>
      </c>
      <c r="B298">
        <v>30369150</v>
      </c>
      <c r="C298">
        <v>25839828</v>
      </c>
      <c r="D298">
        <v>25898091</v>
      </c>
      <c r="E298">
        <v>25848140</v>
      </c>
      <c r="F298">
        <v>31648834</v>
      </c>
      <c r="G298">
        <v>31587899</v>
      </c>
      <c r="H298">
        <v>30310637</v>
      </c>
      <c r="I298">
        <v>30300527</v>
      </c>
    </row>
    <row r="299" spans="1:9" x14ac:dyDescent="0.25">
      <c r="A299" t="s">
        <v>387</v>
      </c>
      <c r="B299">
        <v>1460451</v>
      </c>
      <c r="C299">
        <v>1147761</v>
      </c>
      <c r="D299">
        <v>1150907</v>
      </c>
      <c r="E299">
        <v>1150907</v>
      </c>
      <c r="F299">
        <v>1707683</v>
      </c>
      <c r="G299">
        <v>1707683</v>
      </c>
      <c r="H299">
        <v>1460451</v>
      </c>
      <c r="I299">
        <v>1456409</v>
      </c>
    </row>
    <row r="300" spans="1:9" x14ac:dyDescent="0.25">
      <c r="A300" t="s">
        <v>388</v>
      </c>
      <c r="B300">
        <v>624922</v>
      </c>
      <c r="C300">
        <v>514340</v>
      </c>
      <c r="D300">
        <v>508417</v>
      </c>
      <c r="E300">
        <v>508417</v>
      </c>
      <c r="F300">
        <v>686809</v>
      </c>
      <c r="G300">
        <v>686809</v>
      </c>
      <c r="H300">
        <v>624922</v>
      </c>
      <c r="I300">
        <v>632175</v>
      </c>
    </row>
    <row r="301" spans="1:9" x14ac:dyDescent="0.25">
      <c r="A301" t="s">
        <v>389</v>
      </c>
    </row>
    <row r="302" spans="1:9" x14ac:dyDescent="0.25">
      <c r="A302" t="s">
        <v>390</v>
      </c>
      <c r="B302">
        <v>0</v>
      </c>
      <c r="C302">
        <v>0</v>
      </c>
      <c r="D302">
        <v>0</v>
      </c>
      <c r="E302">
        <v>0</v>
      </c>
      <c r="F302">
        <v>0</v>
      </c>
      <c r="G302">
        <v>0</v>
      </c>
      <c r="H302">
        <v>0</v>
      </c>
      <c r="I302">
        <v>0</v>
      </c>
    </row>
    <row r="303" spans="1:9" x14ac:dyDescent="0.25">
      <c r="A303" t="s">
        <v>391</v>
      </c>
    </row>
    <row r="304" spans="1:9" x14ac:dyDescent="0.25">
      <c r="A304" t="s">
        <v>350</v>
      </c>
      <c r="B304">
        <v>21780152</v>
      </c>
      <c r="C304">
        <v>19161636</v>
      </c>
      <c r="D304">
        <v>19173656</v>
      </c>
      <c r="E304">
        <v>19173656</v>
      </c>
      <c r="F304">
        <v>22634385</v>
      </c>
      <c r="G304">
        <v>22634385</v>
      </c>
      <c r="H304">
        <v>21780152</v>
      </c>
      <c r="I304">
        <v>21764994</v>
      </c>
    </row>
    <row r="305" spans="1:9" x14ac:dyDescent="0.25">
      <c r="A305" t="s">
        <v>351</v>
      </c>
      <c r="B305">
        <v>17202659</v>
      </c>
      <c r="C305">
        <v>15416875</v>
      </c>
      <c r="D305">
        <v>15422167</v>
      </c>
      <c r="E305">
        <v>15422167</v>
      </c>
      <c r="F305">
        <v>17551638</v>
      </c>
      <c r="G305">
        <v>17551638</v>
      </c>
      <c r="H305">
        <v>17202659</v>
      </c>
      <c r="I305">
        <v>17196042</v>
      </c>
    </row>
    <row r="306" spans="1:9" x14ac:dyDescent="0.25">
      <c r="A306" t="s">
        <v>352</v>
      </c>
      <c r="B306">
        <v>4072613</v>
      </c>
      <c r="C306">
        <v>3260780</v>
      </c>
      <c r="D306">
        <v>3267508</v>
      </c>
      <c r="E306">
        <v>3267508</v>
      </c>
      <c r="F306">
        <v>4576097</v>
      </c>
      <c r="G306">
        <v>4576097</v>
      </c>
      <c r="H306">
        <v>4072613</v>
      </c>
      <c r="I306">
        <v>4064072</v>
      </c>
    </row>
    <row r="307" spans="1:9" x14ac:dyDescent="0.25">
      <c r="A307" t="s">
        <v>353</v>
      </c>
    </row>
    <row r="308" spans="1:9" x14ac:dyDescent="0.25">
      <c r="A308" t="s">
        <v>354</v>
      </c>
      <c r="B308">
        <v>504881</v>
      </c>
      <c r="C308">
        <v>483982</v>
      </c>
      <c r="D308">
        <v>483982</v>
      </c>
      <c r="E308">
        <v>483982</v>
      </c>
      <c r="F308">
        <v>506650</v>
      </c>
      <c r="G308">
        <v>506650</v>
      </c>
      <c r="H308">
        <v>504881</v>
      </c>
      <c r="I308">
        <v>504881</v>
      </c>
    </row>
    <row r="309" spans="1:9" x14ac:dyDescent="0.25">
      <c r="A309" t="s">
        <v>355</v>
      </c>
    </row>
    <row r="310" spans="1:9" x14ac:dyDescent="0.25">
      <c r="A310" t="s">
        <v>392</v>
      </c>
      <c r="B310">
        <v>1166526</v>
      </c>
      <c r="C310">
        <v>975396</v>
      </c>
      <c r="D310">
        <v>977733</v>
      </c>
      <c r="E310">
        <v>975587</v>
      </c>
      <c r="F310">
        <v>1220934</v>
      </c>
      <c r="G310">
        <v>1218326</v>
      </c>
      <c r="H310">
        <v>1164015</v>
      </c>
      <c r="I310">
        <v>1163789</v>
      </c>
    </row>
    <row r="311" spans="1:9" x14ac:dyDescent="0.25">
      <c r="A311" t="s">
        <v>393</v>
      </c>
      <c r="B311">
        <v>1264771</v>
      </c>
      <c r="C311">
        <v>1080400</v>
      </c>
      <c r="D311">
        <v>1082912</v>
      </c>
      <c r="E311">
        <v>1080766</v>
      </c>
      <c r="F311">
        <v>1313043</v>
      </c>
      <c r="G311">
        <v>1310434</v>
      </c>
      <c r="H311">
        <v>1262261</v>
      </c>
      <c r="I311">
        <v>1261822</v>
      </c>
    </row>
    <row r="312" spans="1:9" x14ac:dyDescent="0.25">
      <c r="A312" t="s">
        <v>394</v>
      </c>
      <c r="B312">
        <v>25973</v>
      </c>
      <c r="C312">
        <v>20384</v>
      </c>
      <c r="D312">
        <v>20443</v>
      </c>
      <c r="E312">
        <v>20443</v>
      </c>
      <c r="F312">
        <v>29888</v>
      </c>
      <c r="G312">
        <v>29888</v>
      </c>
      <c r="H312">
        <v>25973</v>
      </c>
      <c r="I312">
        <v>25898</v>
      </c>
    </row>
    <row r="313" spans="1:9" x14ac:dyDescent="0.25">
      <c r="A313" t="s">
        <v>395</v>
      </c>
      <c r="B313">
        <v>24345</v>
      </c>
      <c r="C313">
        <v>19937</v>
      </c>
      <c r="D313">
        <v>19708</v>
      </c>
      <c r="E313">
        <v>19708</v>
      </c>
      <c r="F313">
        <v>26834</v>
      </c>
      <c r="G313">
        <v>26834</v>
      </c>
      <c r="H313">
        <v>24345</v>
      </c>
      <c r="I313">
        <v>24628</v>
      </c>
    </row>
    <row r="314" spans="1:9" x14ac:dyDescent="0.25">
      <c r="A314" t="s">
        <v>396</v>
      </c>
    </row>
    <row r="315" spans="1:9" x14ac:dyDescent="0.25">
      <c r="A315" t="s">
        <v>397</v>
      </c>
      <c r="B315">
        <v>-148563</v>
      </c>
      <c r="C315">
        <v>-145326</v>
      </c>
      <c r="D315">
        <v>-145329</v>
      </c>
      <c r="E315">
        <v>-145329</v>
      </c>
      <c r="F315">
        <v>-148831</v>
      </c>
      <c r="G315">
        <v>-148831</v>
      </c>
      <c r="H315">
        <v>-148563</v>
      </c>
      <c r="I315">
        <v>-148559</v>
      </c>
    </row>
    <row r="316" spans="1:9" x14ac:dyDescent="0.25">
      <c r="A316" t="s">
        <v>398</v>
      </c>
    </row>
    <row r="317" spans="1:9" x14ac:dyDescent="0.25">
      <c r="A317" t="s">
        <v>399</v>
      </c>
      <c r="B317">
        <v>59283864</v>
      </c>
      <c r="C317">
        <v>51697133</v>
      </c>
      <c r="D317">
        <v>51767528</v>
      </c>
      <c r="E317">
        <v>51713451</v>
      </c>
      <c r="F317">
        <v>61247875</v>
      </c>
      <c r="G317">
        <v>61184665</v>
      </c>
      <c r="H317">
        <v>59222022</v>
      </c>
      <c r="I317">
        <v>59201525</v>
      </c>
    </row>
    <row r="318" spans="1:9" x14ac:dyDescent="0.25">
      <c r="A318" t="s">
        <v>400</v>
      </c>
      <c r="B318">
        <v>37503711</v>
      </c>
      <c r="C318">
        <v>32535497</v>
      </c>
      <c r="D318">
        <v>32593872</v>
      </c>
      <c r="E318">
        <v>32539795</v>
      </c>
      <c r="F318">
        <v>38613490</v>
      </c>
      <c r="G318">
        <v>38550280</v>
      </c>
      <c r="H318">
        <v>37441870</v>
      </c>
      <c r="I318">
        <v>37436530</v>
      </c>
    </row>
    <row r="319" spans="1:9" x14ac:dyDescent="0.25">
      <c r="A319" t="s">
        <v>401</v>
      </c>
      <c r="B319">
        <v>35936985</v>
      </c>
      <c r="C319">
        <v>31298226</v>
      </c>
      <c r="D319">
        <v>31354592</v>
      </c>
      <c r="E319">
        <v>31300515</v>
      </c>
      <c r="F319">
        <v>36790814</v>
      </c>
      <c r="G319">
        <v>36727604</v>
      </c>
      <c r="H319">
        <v>35875144</v>
      </c>
      <c r="I319">
        <v>35872484</v>
      </c>
    </row>
    <row r="320" spans="1:9" x14ac:dyDescent="0.25">
      <c r="A320" t="s">
        <v>402</v>
      </c>
      <c r="B320">
        <v>1460451</v>
      </c>
      <c r="C320">
        <v>1147761</v>
      </c>
      <c r="D320">
        <v>1150907</v>
      </c>
      <c r="E320">
        <v>1150907</v>
      </c>
      <c r="F320">
        <v>1707683</v>
      </c>
      <c r="G320">
        <v>1707683</v>
      </c>
      <c r="H320">
        <v>1460451</v>
      </c>
      <c r="I320">
        <v>1456409</v>
      </c>
    </row>
    <row r="321" spans="1:9" x14ac:dyDescent="0.25">
      <c r="A321" t="s">
        <v>403</v>
      </c>
      <c r="B321">
        <v>106275</v>
      </c>
      <c r="C321">
        <v>89510</v>
      </c>
      <c r="D321">
        <v>88372</v>
      </c>
      <c r="E321">
        <v>88372</v>
      </c>
      <c r="F321">
        <v>114993</v>
      </c>
      <c r="G321">
        <v>114993</v>
      </c>
      <c r="H321">
        <v>106275</v>
      </c>
      <c r="I321">
        <v>107637</v>
      </c>
    </row>
    <row r="322" spans="1:9" x14ac:dyDescent="0.25">
      <c r="A322" t="s">
        <v>404</v>
      </c>
    </row>
    <row r="323" spans="1:9" x14ac:dyDescent="0.25">
      <c r="A323" t="s">
        <v>405</v>
      </c>
      <c r="B323">
        <v>0</v>
      </c>
      <c r="C323">
        <v>0</v>
      </c>
      <c r="D323">
        <v>0</v>
      </c>
      <c r="E323">
        <v>0</v>
      </c>
      <c r="F323">
        <v>0</v>
      </c>
      <c r="G323">
        <v>0</v>
      </c>
      <c r="H323">
        <v>0</v>
      </c>
      <c r="I323">
        <v>0</v>
      </c>
    </row>
    <row r="324" spans="1:9" x14ac:dyDescent="0.25">
      <c r="A324" t="s">
        <v>406</v>
      </c>
    </row>
    <row r="325" spans="1:9" x14ac:dyDescent="0.25">
      <c r="A325" t="s">
        <v>371</v>
      </c>
      <c r="B325">
        <v>21780152</v>
      </c>
      <c r="C325">
        <v>19161636</v>
      </c>
      <c r="D325">
        <v>19173656</v>
      </c>
      <c r="E325">
        <v>19173656</v>
      </c>
      <c r="F325">
        <v>22634385</v>
      </c>
      <c r="G325">
        <v>22634385</v>
      </c>
      <c r="H325">
        <v>21780152</v>
      </c>
      <c r="I325">
        <v>21764994</v>
      </c>
    </row>
    <row r="326" spans="1:9" x14ac:dyDescent="0.25">
      <c r="A326" t="s">
        <v>372</v>
      </c>
      <c r="B326">
        <v>17202659</v>
      </c>
      <c r="C326">
        <v>15416875</v>
      </c>
      <c r="D326">
        <v>15422167</v>
      </c>
      <c r="E326">
        <v>15422167</v>
      </c>
      <c r="F326">
        <v>17551638</v>
      </c>
      <c r="G326">
        <v>17551638</v>
      </c>
      <c r="H326">
        <v>17202659</v>
      </c>
      <c r="I326">
        <v>17196042</v>
      </c>
    </row>
    <row r="327" spans="1:9" x14ac:dyDescent="0.25">
      <c r="A327" t="s">
        <v>373</v>
      </c>
      <c r="B327">
        <v>4072613</v>
      </c>
      <c r="C327">
        <v>3260780</v>
      </c>
      <c r="D327">
        <v>3267508</v>
      </c>
      <c r="E327">
        <v>3267508</v>
      </c>
      <c r="F327">
        <v>4576097</v>
      </c>
      <c r="G327">
        <v>4576097</v>
      </c>
      <c r="H327">
        <v>4072613</v>
      </c>
      <c r="I327">
        <v>4064072</v>
      </c>
    </row>
    <row r="328" spans="1:9" x14ac:dyDescent="0.25">
      <c r="A328" t="s">
        <v>374</v>
      </c>
    </row>
    <row r="329" spans="1:9" x14ac:dyDescent="0.25">
      <c r="A329" t="s">
        <v>375</v>
      </c>
      <c r="B329">
        <v>504881</v>
      </c>
      <c r="C329">
        <v>483982</v>
      </c>
      <c r="D329">
        <v>483982</v>
      </c>
      <c r="E329">
        <v>483982</v>
      </c>
      <c r="F329">
        <v>506650</v>
      </c>
      <c r="G329">
        <v>506650</v>
      </c>
      <c r="H329">
        <v>504881</v>
      </c>
      <c r="I329">
        <v>504881</v>
      </c>
    </row>
    <row r="330" spans="1:9" x14ac:dyDescent="0.25">
      <c r="A330" t="s">
        <v>376</v>
      </c>
    </row>
    <row r="331" spans="1:9" x14ac:dyDescent="0.25">
      <c r="A331" t="s">
        <v>407</v>
      </c>
      <c r="B331">
        <v>1546838</v>
      </c>
      <c r="C331">
        <v>1330769</v>
      </c>
      <c r="D331">
        <v>1333471</v>
      </c>
      <c r="E331">
        <v>1330913</v>
      </c>
      <c r="F331">
        <v>1585060</v>
      </c>
      <c r="G331">
        <v>1582075</v>
      </c>
      <c r="H331">
        <v>1543911</v>
      </c>
      <c r="I331">
        <v>1543742</v>
      </c>
    </row>
    <row r="332" spans="1:9" x14ac:dyDescent="0.25">
      <c r="A332" t="s">
        <v>408</v>
      </c>
      <c r="B332">
        <v>1667071</v>
      </c>
      <c r="C332">
        <v>1453783</v>
      </c>
      <c r="D332">
        <v>1456454</v>
      </c>
      <c r="E332">
        <v>1453896</v>
      </c>
      <c r="F332">
        <v>1701462</v>
      </c>
      <c r="G332">
        <v>1698476</v>
      </c>
      <c r="H332">
        <v>1664144</v>
      </c>
      <c r="I332">
        <v>1664015</v>
      </c>
    </row>
    <row r="333" spans="1:9" x14ac:dyDescent="0.25">
      <c r="A333" t="s">
        <v>409</v>
      </c>
      <c r="B333">
        <v>25973</v>
      </c>
      <c r="C333">
        <v>20384</v>
      </c>
      <c r="D333">
        <v>20443</v>
      </c>
      <c r="E333">
        <v>20443</v>
      </c>
      <c r="F333">
        <v>29888</v>
      </c>
      <c r="G333">
        <v>29888</v>
      </c>
      <c r="H333">
        <v>25973</v>
      </c>
      <c r="I333">
        <v>25898</v>
      </c>
    </row>
    <row r="334" spans="1:9" x14ac:dyDescent="0.25">
      <c r="A334" t="s">
        <v>410</v>
      </c>
      <c r="B334">
        <v>2357</v>
      </c>
      <c r="C334">
        <v>1926</v>
      </c>
      <c r="D334">
        <v>1903</v>
      </c>
      <c r="E334">
        <v>1903</v>
      </c>
      <c r="F334">
        <v>2542</v>
      </c>
      <c r="G334">
        <v>2542</v>
      </c>
      <c r="H334">
        <v>2357</v>
      </c>
      <c r="I334">
        <v>2387</v>
      </c>
    </row>
    <row r="335" spans="1:9" x14ac:dyDescent="0.25">
      <c r="A335" t="s">
        <v>411</v>
      </c>
    </row>
    <row r="336" spans="1:9" x14ac:dyDescent="0.25">
      <c r="A336" t="s">
        <v>412</v>
      </c>
      <c r="B336">
        <v>-148563</v>
      </c>
      <c r="C336">
        <v>-145326</v>
      </c>
      <c r="D336">
        <v>-145329</v>
      </c>
      <c r="E336">
        <v>-145329</v>
      </c>
      <c r="F336">
        <v>-148831</v>
      </c>
      <c r="G336">
        <v>-148831</v>
      </c>
      <c r="H336">
        <v>-148563</v>
      </c>
      <c r="I336">
        <v>-148559</v>
      </c>
    </row>
    <row r="337" spans="1:9" x14ac:dyDescent="0.25">
      <c r="A337" t="s">
        <v>413</v>
      </c>
    </row>
    <row r="338" spans="1:9" x14ac:dyDescent="0.25">
      <c r="A338" t="s">
        <v>414</v>
      </c>
      <c r="B338">
        <v>52454615</v>
      </c>
      <c r="C338">
        <v>45066883</v>
      </c>
      <c r="D338">
        <v>45134926</v>
      </c>
      <c r="E338">
        <v>45093588</v>
      </c>
      <c r="F338">
        <v>55097440</v>
      </c>
      <c r="G338">
        <v>55047883</v>
      </c>
      <c r="H338">
        <v>52406673</v>
      </c>
      <c r="I338">
        <v>52372922</v>
      </c>
    </row>
    <row r="339" spans="1:9" x14ac:dyDescent="0.25">
      <c r="A339" t="s">
        <v>415</v>
      </c>
      <c r="B339">
        <v>30674463</v>
      </c>
      <c r="C339">
        <v>25905247</v>
      </c>
      <c r="D339">
        <v>25961270</v>
      </c>
      <c r="E339">
        <v>25919931</v>
      </c>
      <c r="F339">
        <v>32463055</v>
      </c>
      <c r="G339">
        <v>32413498</v>
      </c>
      <c r="H339">
        <v>30626521</v>
      </c>
      <c r="I339">
        <v>30607928</v>
      </c>
    </row>
    <row r="340" spans="1:9" x14ac:dyDescent="0.25">
      <c r="A340" t="s">
        <v>416</v>
      </c>
      <c r="B340">
        <v>24058529</v>
      </c>
      <c r="C340">
        <v>20689959</v>
      </c>
      <c r="D340">
        <v>20737148</v>
      </c>
      <c r="E340">
        <v>20695809</v>
      </c>
      <c r="F340">
        <v>24872575</v>
      </c>
      <c r="G340">
        <v>24823017</v>
      </c>
      <c r="H340">
        <v>24010587</v>
      </c>
      <c r="I340">
        <v>24003571</v>
      </c>
    </row>
    <row r="341" spans="1:9" x14ac:dyDescent="0.25">
      <c r="A341" t="s">
        <v>417</v>
      </c>
      <c r="B341">
        <v>6077771</v>
      </c>
      <c r="C341">
        <v>4769769</v>
      </c>
      <c r="D341">
        <v>4783711</v>
      </c>
      <c r="E341">
        <v>4783711</v>
      </c>
      <c r="F341">
        <v>7004002</v>
      </c>
      <c r="G341">
        <v>7004002</v>
      </c>
      <c r="H341">
        <v>6077771</v>
      </c>
      <c r="I341">
        <v>6060006</v>
      </c>
    </row>
    <row r="342" spans="1:9" x14ac:dyDescent="0.25">
      <c r="A342" t="s">
        <v>418</v>
      </c>
      <c r="B342">
        <v>538163</v>
      </c>
      <c r="C342">
        <v>445519</v>
      </c>
      <c r="D342">
        <v>440411</v>
      </c>
      <c r="E342">
        <v>440411</v>
      </c>
      <c r="F342">
        <v>586479</v>
      </c>
      <c r="G342">
        <v>586479</v>
      </c>
      <c r="H342">
        <v>538163</v>
      </c>
      <c r="I342">
        <v>544351</v>
      </c>
    </row>
    <row r="343" spans="1:9" x14ac:dyDescent="0.25">
      <c r="A343" t="s">
        <v>419</v>
      </c>
    </row>
    <row r="344" spans="1:9" x14ac:dyDescent="0.25">
      <c r="A344" t="s">
        <v>420</v>
      </c>
      <c r="B344">
        <v>0</v>
      </c>
      <c r="C344">
        <v>0</v>
      </c>
      <c r="D344">
        <v>0</v>
      </c>
      <c r="E344">
        <v>0</v>
      </c>
      <c r="F344">
        <v>0</v>
      </c>
      <c r="G344">
        <v>0</v>
      </c>
      <c r="H344">
        <v>0</v>
      </c>
      <c r="I344">
        <v>0</v>
      </c>
    </row>
    <row r="345" spans="1:9" x14ac:dyDescent="0.25">
      <c r="A345" t="s">
        <v>421</v>
      </c>
    </row>
    <row r="346" spans="1:9" x14ac:dyDescent="0.25">
      <c r="A346" t="s">
        <v>422</v>
      </c>
      <c r="B346">
        <v>21780152</v>
      </c>
      <c r="C346">
        <v>19161636</v>
      </c>
      <c r="D346">
        <v>19173656</v>
      </c>
      <c r="E346">
        <v>19173656</v>
      </c>
      <c r="F346">
        <v>22634385</v>
      </c>
      <c r="G346">
        <v>22634385</v>
      </c>
      <c r="H346">
        <v>21780152</v>
      </c>
      <c r="I346">
        <v>21764994</v>
      </c>
    </row>
    <row r="347" spans="1:9" x14ac:dyDescent="0.25">
      <c r="A347" t="s">
        <v>423</v>
      </c>
      <c r="B347">
        <v>17202659</v>
      </c>
      <c r="C347">
        <v>15416875</v>
      </c>
      <c r="D347">
        <v>15422167</v>
      </c>
      <c r="E347">
        <v>15422167</v>
      </c>
      <c r="F347">
        <v>17551638</v>
      </c>
      <c r="G347">
        <v>17551638</v>
      </c>
      <c r="H347">
        <v>17202659</v>
      </c>
      <c r="I347">
        <v>17196042</v>
      </c>
    </row>
    <row r="348" spans="1:9" x14ac:dyDescent="0.25">
      <c r="A348" t="s">
        <v>424</v>
      </c>
      <c r="B348">
        <v>4072613</v>
      </c>
      <c r="C348">
        <v>3260780</v>
      </c>
      <c r="D348">
        <v>3267508</v>
      </c>
      <c r="E348">
        <v>3267508</v>
      </c>
      <c r="F348">
        <v>4576097</v>
      </c>
      <c r="G348">
        <v>4576097</v>
      </c>
      <c r="H348">
        <v>4072613</v>
      </c>
      <c r="I348">
        <v>4064072</v>
      </c>
    </row>
    <row r="349" spans="1:9" x14ac:dyDescent="0.25">
      <c r="A349" t="s">
        <v>425</v>
      </c>
    </row>
    <row r="350" spans="1:9" x14ac:dyDescent="0.25">
      <c r="A350" t="s">
        <v>426</v>
      </c>
      <c r="B350">
        <v>504881</v>
      </c>
      <c r="C350">
        <v>483982</v>
      </c>
      <c r="D350">
        <v>483982</v>
      </c>
      <c r="E350">
        <v>483982</v>
      </c>
      <c r="F350">
        <v>506650</v>
      </c>
      <c r="G350">
        <v>506650</v>
      </c>
      <c r="H350">
        <v>504881</v>
      </c>
      <c r="I350">
        <v>504881</v>
      </c>
    </row>
    <row r="351" spans="1:9" x14ac:dyDescent="0.25">
      <c r="A351" t="s">
        <v>427</v>
      </c>
    </row>
    <row r="352" spans="1:9" x14ac:dyDescent="0.25">
      <c r="A352" t="s">
        <v>428</v>
      </c>
      <c r="B352">
        <v>56522626</v>
      </c>
      <c r="C352">
        <v>48991700</v>
      </c>
      <c r="D352">
        <v>49062638</v>
      </c>
      <c r="E352">
        <v>49017592</v>
      </c>
      <c r="F352">
        <v>58883710</v>
      </c>
      <c r="G352">
        <v>58831448</v>
      </c>
      <c r="H352">
        <v>56471314</v>
      </c>
      <c r="I352">
        <v>56438572</v>
      </c>
    </row>
    <row r="353" spans="1:9" x14ac:dyDescent="0.25">
      <c r="A353" t="s">
        <v>429</v>
      </c>
      <c r="B353">
        <v>34742473</v>
      </c>
      <c r="C353">
        <v>29830063</v>
      </c>
      <c r="D353">
        <v>29888981</v>
      </c>
      <c r="E353">
        <v>29843936</v>
      </c>
      <c r="F353">
        <v>36249326</v>
      </c>
      <c r="G353">
        <v>36197063</v>
      </c>
      <c r="H353">
        <v>34691162</v>
      </c>
      <c r="I353">
        <v>34673578</v>
      </c>
    </row>
    <row r="354" spans="1:9" x14ac:dyDescent="0.25">
      <c r="A354" t="s">
        <v>430</v>
      </c>
      <c r="B354">
        <v>28298967</v>
      </c>
      <c r="C354">
        <v>24769631</v>
      </c>
      <c r="D354">
        <v>24816113</v>
      </c>
      <c r="E354">
        <v>24771068</v>
      </c>
      <c r="F354">
        <v>28845029</v>
      </c>
      <c r="G354">
        <v>28792767</v>
      </c>
      <c r="H354">
        <v>28247656</v>
      </c>
      <c r="I354">
        <v>28246009</v>
      </c>
    </row>
    <row r="355" spans="1:9" x14ac:dyDescent="0.25">
      <c r="A355" t="s">
        <v>431</v>
      </c>
      <c r="B355">
        <v>6342166</v>
      </c>
      <c r="C355">
        <v>4974851</v>
      </c>
      <c r="D355">
        <v>4988372</v>
      </c>
      <c r="E355">
        <v>4988372</v>
      </c>
      <c r="F355">
        <v>7295280</v>
      </c>
      <c r="G355">
        <v>7295280</v>
      </c>
      <c r="H355">
        <v>6342166</v>
      </c>
      <c r="I355">
        <v>6324933</v>
      </c>
    </row>
    <row r="356" spans="1:9" x14ac:dyDescent="0.25">
      <c r="A356" t="s">
        <v>432</v>
      </c>
      <c r="B356">
        <v>101340</v>
      </c>
      <c r="C356">
        <v>85582</v>
      </c>
      <c r="D356">
        <v>84496</v>
      </c>
      <c r="E356">
        <v>84496</v>
      </c>
      <c r="F356">
        <v>109016</v>
      </c>
      <c r="G356">
        <v>109016</v>
      </c>
      <c r="H356">
        <v>101340</v>
      </c>
      <c r="I356">
        <v>102636</v>
      </c>
    </row>
    <row r="357" spans="1:9" x14ac:dyDescent="0.25">
      <c r="A357" t="s">
        <v>433</v>
      </c>
    </row>
    <row r="358" spans="1:9" x14ac:dyDescent="0.25">
      <c r="A358" t="s">
        <v>434</v>
      </c>
      <c r="B358">
        <v>0</v>
      </c>
      <c r="C358">
        <v>0</v>
      </c>
      <c r="D358">
        <v>0</v>
      </c>
      <c r="E358">
        <v>0</v>
      </c>
      <c r="F358">
        <v>0</v>
      </c>
      <c r="G358">
        <v>0</v>
      </c>
      <c r="H358">
        <v>0</v>
      </c>
      <c r="I358">
        <v>0</v>
      </c>
    </row>
    <row r="359" spans="1:9" x14ac:dyDescent="0.25">
      <c r="A359" t="s">
        <v>435</v>
      </c>
    </row>
    <row r="360" spans="1:9" x14ac:dyDescent="0.25">
      <c r="A360" t="s">
        <v>436</v>
      </c>
      <c r="B360">
        <v>21780152</v>
      </c>
      <c r="C360">
        <v>19161636</v>
      </c>
      <c r="D360">
        <v>19173656</v>
      </c>
      <c r="E360">
        <v>19173656</v>
      </c>
      <c r="F360">
        <v>22634385</v>
      </c>
      <c r="G360">
        <v>22634385</v>
      </c>
      <c r="H360">
        <v>21780152</v>
      </c>
      <c r="I360">
        <v>21764994</v>
      </c>
    </row>
    <row r="361" spans="1:9" x14ac:dyDescent="0.25">
      <c r="A361" t="s">
        <v>437</v>
      </c>
      <c r="B361">
        <v>17202659</v>
      </c>
      <c r="C361">
        <v>15416875</v>
      </c>
      <c r="D361">
        <v>15422167</v>
      </c>
      <c r="E361">
        <v>15422167</v>
      </c>
      <c r="F361">
        <v>17551638</v>
      </c>
      <c r="G361">
        <v>17551638</v>
      </c>
      <c r="H361">
        <v>17202659</v>
      </c>
      <c r="I361">
        <v>17196042</v>
      </c>
    </row>
    <row r="362" spans="1:9" x14ac:dyDescent="0.25">
      <c r="A362" t="s">
        <v>438</v>
      </c>
      <c r="B362">
        <v>4072613</v>
      </c>
      <c r="C362">
        <v>3260780</v>
      </c>
      <c r="D362">
        <v>3267508</v>
      </c>
      <c r="E362">
        <v>3267508</v>
      </c>
      <c r="F362">
        <v>4576097</v>
      </c>
      <c r="G362">
        <v>4576097</v>
      </c>
      <c r="H362">
        <v>4072613</v>
      </c>
      <c r="I362">
        <v>4064072</v>
      </c>
    </row>
    <row r="363" spans="1:9" x14ac:dyDescent="0.25">
      <c r="A363" t="s">
        <v>439</v>
      </c>
    </row>
    <row r="364" spans="1:9" x14ac:dyDescent="0.25">
      <c r="A364" t="s">
        <v>440</v>
      </c>
      <c r="B364">
        <v>504881</v>
      </c>
      <c r="C364">
        <v>483982</v>
      </c>
      <c r="D364">
        <v>483982</v>
      </c>
      <c r="E364">
        <v>483982</v>
      </c>
      <c r="F364">
        <v>506650</v>
      </c>
      <c r="G364">
        <v>506650</v>
      </c>
      <c r="H364">
        <v>504881</v>
      </c>
      <c r="I364">
        <v>504881</v>
      </c>
    </row>
    <row r="365" spans="1:9" x14ac:dyDescent="0.25">
      <c r="A365" t="s">
        <v>441</v>
      </c>
    </row>
    <row r="366" spans="1:9" x14ac:dyDescent="0.25">
      <c r="A366" t="s">
        <v>442</v>
      </c>
      <c r="B366">
        <v>6.1400000000000003E-2</v>
      </c>
      <c r="C366">
        <v>6.5000000000000002E-2</v>
      </c>
      <c r="D366">
        <v>6.5000000000000002E-2</v>
      </c>
      <c r="E366">
        <v>6.5000000000000002E-2</v>
      </c>
      <c r="F366">
        <v>5.6399999999999999E-2</v>
      </c>
      <c r="G366">
        <v>5.6399999999999999E-2</v>
      </c>
      <c r="H366">
        <v>6.1400000000000003E-2</v>
      </c>
      <c r="I366">
        <v>6.1400000000000003E-2</v>
      </c>
    </row>
    <row r="367" spans="1:9" x14ac:dyDescent="0.25">
      <c r="A367" t="s">
        <v>443</v>
      </c>
      <c r="B367">
        <v>-0.51829999999999998</v>
      </c>
      <c r="C367">
        <v>-0.40970000000000001</v>
      </c>
      <c r="D367">
        <v>-0.40989999999999999</v>
      </c>
      <c r="E367">
        <v>-0.4098</v>
      </c>
      <c r="F367">
        <v>-0.62309999999999999</v>
      </c>
      <c r="G367">
        <v>-0.623</v>
      </c>
      <c r="H367">
        <v>-0.51819999999999999</v>
      </c>
      <c r="I367">
        <v>-0.5181</v>
      </c>
    </row>
    <row r="368" spans="1:9" x14ac:dyDescent="0.25">
      <c r="A368" t="s">
        <v>444</v>
      </c>
      <c r="B368">
        <v>0.45169999999999999</v>
      </c>
      <c r="C368">
        <v>0.45169999999999999</v>
      </c>
      <c r="D368">
        <v>0.45169999999999999</v>
      </c>
      <c r="E368">
        <v>0.45169999999999999</v>
      </c>
      <c r="F368">
        <v>0.4516</v>
      </c>
      <c r="G368">
        <v>0.4516</v>
      </c>
      <c r="H368">
        <v>0.45169999999999999</v>
      </c>
      <c r="I368">
        <v>0.45169999999999999</v>
      </c>
    </row>
    <row r="369" spans="1:9" x14ac:dyDescent="0.25">
      <c r="A369" t="s">
        <v>147</v>
      </c>
      <c r="B369">
        <v>64490164</v>
      </c>
      <c r="F369">
        <v>64490164</v>
      </c>
      <c r="G369">
        <v>64413453</v>
      </c>
      <c r="H369">
        <v>64413453</v>
      </c>
      <c r="I369">
        <v>64380446</v>
      </c>
    </row>
    <row r="370" spans="1:9" x14ac:dyDescent="0.25">
      <c r="A370" t="s">
        <v>148</v>
      </c>
      <c r="B370">
        <v>42167310</v>
      </c>
      <c r="F370">
        <v>42167310</v>
      </c>
      <c r="G370">
        <v>42090598</v>
      </c>
      <c r="H370">
        <v>42090598</v>
      </c>
      <c r="I370">
        <v>42078359</v>
      </c>
    </row>
    <row r="371" spans="1:9" x14ac:dyDescent="0.25">
      <c r="A371" t="s">
        <v>445</v>
      </c>
      <c r="B371">
        <v>39135755</v>
      </c>
      <c r="F371">
        <v>39135755</v>
      </c>
      <c r="G371">
        <v>39059043</v>
      </c>
      <c r="H371">
        <v>39059043</v>
      </c>
      <c r="I371">
        <v>39042980</v>
      </c>
    </row>
    <row r="372" spans="1:9" x14ac:dyDescent="0.25">
      <c r="A372" t="s">
        <v>446</v>
      </c>
      <c r="B372">
        <v>2107581</v>
      </c>
      <c r="F372">
        <v>2107581</v>
      </c>
      <c r="G372">
        <v>2107581</v>
      </c>
      <c r="H372">
        <v>2107581</v>
      </c>
      <c r="I372">
        <v>2100954</v>
      </c>
    </row>
    <row r="373" spans="1:9" x14ac:dyDescent="0.25">
      <c r="A373" t="s">
        <v>447</v>
      </c>
      <c r="B373">
        <v>923974</v>
      </c>
      <c r="F373">
        <v>923974</v>
      </c>
      <c r="G373">
        <v>923974</v>
      </c>
      <c r="H373">
        <v>923974</v>
      </c>
      <c r="I373">
        <v>934425</v>
      </c>
    </row>
    <row r="374" spans="1:9" x14ac:dyDescent="0.25">
      <c r="A374" t="s">
        <v>448</v>
      </c>
    </row>
    <row r="375" spans="1:9" x14ac:dyDescent="0.25">
      <c r="A375" t="s">
        <v>449</v>
      </c>
      <c r="B375">
        <v>0</v>
      </c>
      <c r="F375">
        <v>0</v>
      </c>
      <c r="G375">
        <v>0</v>
      </c>
      <c r="H375">
        <v>0</v>
      </c>
      <c r="I375">
        <v>0</v>
      </c>
    </row>
    <row r="376" spans="1:9" x14ac:dyDescent="0.25">
      <c r="A376" t="s">
        <v>450</v>
      </c>
    </row>
    <row r="377" spans="1:9" x14ac:dyDescent="0.25">
      <c r="A377" t="s">
        <v>149</v>
      </c>
      <c r="B377">
        <v>22322854</v>
      </c>
      <c r="F377">
        <v>22322854</v>
      </c>
      <c r="G377">
        <v>22322854</v>
      </c>
      <c r="H377">
        <v>22322854</v>
      </c>
      <c r="I377">
        <v>22302087</v>
      </c>
    </row>
    <row r="378" spans="1:9" x14ac:dyDescent="0.25">
      <c r="A378" t="s">
        <v>150</v>
      </c>
      <c r="B378">
        <v>16818094</v>
      </c>
      <c r="F378">
        <v>16818094</v>
      </c>
      <c r="G378">
        <v>16818094</v>
      </c>
      <c r="H378">
        <v>16818094</v>
      </c>
      <c r="I378">
        <v>16809529</v>
      </c>
    </row>
    <row r="379" spans="1:9" x14ac:dyDescent="0.25">
      <c r="A379" t="s">
        <v>151</v>
      </c>
      <c r="B379">
        <v>5011150</v>
      </c>
      <c r="F379">
        <v>5011150</v>
      </c>
      <c r="G379">
        <v>5011150</v>
      </c>
      <c r="H379">
        <v>5011150</v>
      </c>
      <c r="I379">
        <v>4998948</v>
      </c>
    </row>
    <row r="380" spans="1:9" x14ac:dyDescent="0.25">
      <c r="A380" t="s">
        <v>152</v>
      </c>
    </row>
    <row r="381" spans="1:9" x14ac:dyDescent="0.25">
      <c r="A381" t="s">
        <v>153</v>
      </c>
      <c r="B381">
        <v>493610</v>
      </c>
      <c r="F381">
        <v>493610</v>
      </c>
      <c r="G381">
        <v>493610</v>
      </c>
      <c r="H381">
        <v>493610</v>
      </c>
      <c r="I381">
        <v>493610</v>
      </c>
    </row>
    <row r="382" spans="1:9" x14ac:dyDescent="0.25">
      <c r="A382" t="s">
        <v>154</v>
      </c>
    </row>
    <row r="383" spans="1:9" x14ac:dyDescent="0.25">
      <c r="A383" t="s">
        <v>155</v>
      </c>
      <c r="B383">
        <v>59157726</v>
      </c>
      <c r="F383">
        <v>59157726</v>
      </c>
      <c r="G383">
        <v>59091734</v>
      </c>
      <c r="H383">
        <v>59091734</v>
      </c>
      <c r="I383">
        <v>59060789</v>
      </c>
    </row>
    <row r="384" spans="1:9" x14ac:dyDescent="0.25">
      <c r="A384" t="s">
        <v>156</v>
      </c>
      <c r="B384">
        <v>36834872</v>
      </c>
      <c r="F384">
        <v>36834872</v>
      </c>
      <c r="G384">
        <v>36768880</v>
      </c>
      <c r="H384">
        <v>36768880</v>
      </c>
      <c r="I384">
        <v>36758702</v>
      </c>
    </row>
    <row r="385" spans="1:9" x14ac:dyDescent="0.25">
      <c r="A385" t="s">
        <v>451</v>
      </c>
      <c r="B385">
        <v>33985275</v>
      </c>
      <c r="F385">
        <v>33985275</v>
      </c>
      <c r="G385">
        <v>33919284</v>
      </c>
      <c r="H385">
        <v>33919284</v>
      </c>
      <c r="I385">
        <v>33906402</v>
      </c>
    </row>
    <row r="386" spans="1:9" x14ac:dyDescent="0.25">
      <c r="A386" t="s">
        <v>452</v>
      </c>
      <c r="B386">
        <v>2045602</v>
      </c>
      <c r="F386">
        <v>2045602</v>
      </c>
      <c r="G386">
        <v>2045602</v>
      </c>
      <c r="H386">
        <v>2045602</v>
      </c>
      <c r="I386">
        <v>2039182</v>
      </c>
    </row>
    <row r="387" spans="1:9" x14ac:dyDescent="0.25">
      <c r="A387" t="s">
        <v>453</v>
      </c>
      <c r="B387">
        <v>803994</v>
      </c>
      <c r="F387">
        <v>803994</v>
      </c>
      <c r="G387">
        <v>803994</v>
      </c>
      <c r="H387">
        <v>803994</v>
      </c>
      <c r="I387">
        <v>813118</v>
      </c>
    </row>
    <row r="388" spans="1:9" x14ac:dyDescent="0.25">
      <c r="A388" t="s">
        <v>454</v>
      </c>
    </row>
    <row r="389" spans="1:9" x14ac:dyDescent="0.25">
      <c r="A389" t="s">
        <v>455</v>
      </c>
      <c r="B389">
        <v>0</v>
      </c>
      <c r="F389">
        <v>0</v>
      </c>
      <c r="G389">
        <v>0</v>
      </c>
      <c r="H389">
        <v>0</v>
      </c>
      <c r="I389">
        <v>0</v>
      </c>
    </row>
    <row r="390" spans="1:9" x14ac:dyDescent="0.25">
      <c r="A390" t="s">
        <v>456</v>
      </c>
    </row>
    <row r="391" spans="1:9" x14ac:dyDescent="0.25">
      <c r="A391" t="s">
        <v>157</v>
      </c>
      <c r="B391">
        <v>22322854</v>
      </c>
      <c r="F391">
        <v>22322854</v>
      </c>
      <c r="G391">
        <v>22322854</v>
      </c>
      <c r="H391">
        <v>22322854</v>
      </c>
      <c r="I391">
        <v>22302087</v>
      </c>
    </row>
    <row r="392" spans="1:9" x14ac:dyDescent="0.25">
      <c r="A392" t="s">
        <v>158</v>
      </c>
      <c r="B392">
        <v>16818094</v>
      </c>
      <c r="F392">
        <v>16818094</v>
      </c>
      <c r="G392">
        <v>16818094</v>
      </c>
      <c r="H392">
        <v>16818094</v>
      </c>
      <c r="I392">
        <v>16809529</v>
      </c>
    </row>
    <row r="393" spans="1:9" x14ac:dyDescent="0.25">
      <c r="A393" t="s">
        <v>159</v>
      </c>
      <c r="B393">
        <v>5011150</v>
      </c>
      <c r="F393">
        <v>5011150</v>
      </c>
      <c r="G393">
        <v>5011150</v>
      </c>
      <c r="H393">
        <v>5011150</v>
      </c>
      <c r="I393">
        <v>4998948</v>
      </c>
    </row>
    <row r="394" spans="1:9" x14ac:dyDescent="0.25">
      <c r="A394" t="s">
        <v>160</v>
      </c>
    </row>
    <row r="395" spans="1:9" x14ac:dyDescent="0.25">
      <c r="A395" t="s">
        <v>161</v>
      </c>
      <c r="B395">
        <v>493610</v>
      </c>
      <c r="F395">
        <v>493610</v>
      </c>
      <c r="G395">
        <v>493610</v>
      </c>
      <c r="H395">
        <v>493610</v>
      </c>
      <c r="I395">
        <v>493610</v>
      </c>
    </row>
    <row r="396" spans="1:9" x14ac:dyDescent="0.25">
      <c r="A396" t="s">
        <v>162</v>
      </c>
    </row>
    <row r="397" spans="1:9" x14ac:dyDescent="0.25">
      <c r="A397" t="s">
        <v>163</v>
      </c>
      <c r="B397">
        <v>821568</v>
      </c>
      <c r="F397">
        <v>821568</v>
      </c>
      <c r="G397">
        <v>819720</v>
      </c>
      <c r="H397">
        <v>819720</v>
      </c>
      <c r="I397">
        <v>819515</v>
      </c>
    </row>
    <row r="398" spans="1:9" x14ac:dyDescent="0.25">
      <c r="A398" t="s">
        <v>457</v>
      </c>
      <c r="B398">
        <v>924971</v>
      </c>
      <c r="F398">
        <v>924971</v>
      </c>
      <c r="G398">
        <v>923123</v>
      </c>
      <c r="H398">
        <v>923123</v>
      </c>
      <c r="I398">
        <v>922758</v>
      </c>
    </row>
    <row r="399" spans="1:9" x14ac:dyDescent="0.25">
      <c r="A399" t="s">
        <v>458</v>
      </c>
      <c r="B399">
        <v>22749</v>
      </c>
      <c r="F399">
        <v>22749</v>
      </c>
      <c r="G399">
        <v>22749</v>
      </c>
      <c r="H399">
        <v>22749</v>
      </c>
      <c r="I399">
        <v>22675</v>
      </c>
    </row>
    <row r="400" spans="1:9" x14ac:dyDescent="0.25">
      <c r="A400" t="s">
        <v>459</v>
      </c>
      <c r="B400">
        <v>20681</v>
      </c>
      <c r="F400">
        <v>20681</v>
      </c>
      <c r="G400">
        <v>20681</v>
      </c>
      <c r="H400">
        <v>20681</v>
      </c>
      <c r="I400">
        <v>20912</v>
      </c>
    </row>
    <row r="401" spans="1:9" x14ac:dyDescent="0.25">
      <c r="A401" t="s">
        <v>460</v>
      </c>
    </row>
    <row r="402" spans="1:9" x14ac:dyDescent="0.25">
      <c r="A402" t="s">
        <v>461</v>
      </c>
      <c r="B402">
        <v>-146834</v>
      </c>
      <c r="F402">
        <v>-146834</v>
      </c>
      <c r="G402">
        <v>-146834</v>
      </c>
      <c r="H402">
        <v>-146834</v>
      </c>
      <c r="I402">
        <v>-146830</v>
      </c>
    </row>
    <row r="403" spans="1:9" x14ac:dyDescent="0.25">
      <c r="A403" t="s">
        <v>462</v>
      </c>
    </row>
    <row r="404" spans="1:9" x14ac:dyDescent="0.25">
      <c r="A404" t="s">
        <v>164</v>
      </c>
      <c r="B404">
        <v>55627399</v>
      </c>
      <c r="F404">
        <v>55627399</v>
      </c>
      <c r="G404">
        <v>55568578</v>
      </c>
      <c r="H404">
        <v>55568578</v>
      </c>
      <c r="I404">
        <v>55539029</v>
      </c>
    </row>
    <row r="405" spans="1:9" x14ac:dyDescent="0.25">
      <c r="A405" t="s">
        <v>165</v>
      </c>
      <c r="B405">
        <v>32385125</v>
      </c>
      <c r="F405">
        <v>32385125</v>
      </c>
      <c r="G405">
        <v>32337714</v>
      </c>
      <c r="H405">
        <v>32337714</v>
      </c>
      <c r="I405">
        <v>32310994</v>
      </c>
    </row>
    <row r="406" spans="1:9" x14ac:dyDescent="0.25">
      <c r="A406" t="s">
        <v>463</v>
      </c>
      <c r="B406">
        <v>23796650</v>
      </c>
      <c r="F406">
        <v>23796650</v>
      </c>
      <c r="G406">
        <v>23749239</v>
      </c>
      <c r="H406">
        <v>23749239</v>
      </c>
      <c r="I406">
        <v>23742040</v>
      </c>
    </row>
    <row r="407" spans="1:9" x14ac:dyDescent="0.25">
      <c r="A407" t="s">
        <v>464</v>
      </c>
      <c r="B407">
        <v>7975307</v>
      </c>
      <c r="F407">
        <v>7975307</v>
      </c>
      <c r="G407">
        <v>7975307</v>
      </c>
      <c r="H407">
        <v>7975307</v>
      </c>
      <c r="I407">
        <v>7948870</v>
      </c>
    </row>
    <row r="408" spans="1:9" x14ac:dyDescent="0.25">
      <c r="A408" t="s">
        <v>465</v>
      </c>
      <c r="B408">
        <v>613168</v>
      </c>
      <c r="F408">
        <v>613168</v>
      </c>
      <c r="G408">
        <v>613168</v>
      </c>
      <c r="H408">
        <v>613168</v>
      </c>
      <c r="I408">
        <v>620084</v>
      </c>
    </row>
    <row r="409" spans="1:9" x14ac:dyDescent="0.25">
      <c r="A409" t="s">
        <v>466</v>
      </c>
    </row>
    <row r="410" spans="1:9" x14ac:dyDescent="0.25">
      <c r="A410" t="s">
        <v>467</v>
      </c>
      <c r="B410">
        <v>0</v>
      </c>
      <c r="F410">
        <v>0</v>
      </c>
      <c r="G410">
        <v>0</v>
      </c>
      <c r="H410">
        <v>0</v>
      </c>
      <c r="I410">
        <v>0</v>
      </c>
    </row>
    <row r="411" spans="1:9" x14ac:dyDescent="0.25">
      <c r="A411" t="s">
        <v>468</v>
      </c>
    </row>
    <row r="412" spans="1:9" x14ac:dyDescent="0.25">
      <c r="A412" t="s">
        <v>166</v>
      </c>
      <c r="B412">
        <v>33304545</v>
      </c>
      <c r="F412">
        <v>33304545</v>
      </c>
      <c r="G412">
        <v>33245724</v>
      </c>
      <c r="H412">
        <v>33245724</v>
      </c>
      <c r="I412">
        <v>33236942</v>
      </c>
    </row>
    <row r="413" spans="1:9" x14ac:dyDescent="0.25">
      <c r="A413" t="s">
        <v>469</v>
      </c>
      <c r="B413">
        <v>30574560</v>
      </c>
      <c r="F413">
        <v>30574560</v>
      </c>
      <c r="G413">
        <v>30515739</v>
      </c>
      <c r="H413">
        <v>30515739</v>
      </c>
      <c r="I413">
        <v>30505010</v>
      </c>
    </row>
    <row r="414" spans="1:9" x14ac:dyDescent="0.25">
      <c r="A414" t="s">
        <v>470</v>
      </c>
      <c r="B414">
        <v>2006339</v>
      </c>
      <c r="F414">
        <v>2006339</v>
      </c>
      <c r="G414">
        <v>2006339</v>
      </c>
      <c r="H414">
        <v>2006339</v>
      </c>
      <c r="I414">
        <v>2000049</v>
      </c>
    </row>
    <row r="415" spans="1:9" x14ac:dyDescent="0.25">
      <c r="A415" t="s">
        <v>471</v>
      </c>
      <c r="B415">
        <v>723647</v>
      </c>
      <c r="F415">
        <v>723647</v>
      </c>
      <c r="G415">
        <v>723647</v>
      </c>
      <c r="H415">
        <v>723647</v>
      </c>
      <c r="I415">
        <v>731883</v>
      </c>
    </row>
    <row r="416" spans="1:9" x14ac:dyDescent="0.25">
      <c r="A416" t="s">
        <v>472</v>
      </c>
    </row>
    <row r="417" spans="1:9" x14ac:dyDescent="0.25">
      <c r="A417" t="s">
        <v>473</v>
      </c>
      <c r="B417">
        <v>0</v>
      </c>
      <c r="F417">
        <v>0</v>
      </c>
      <c r="G417">
        <v>0</v>
      </c>
      <c r="H417">
        <v>0</v>
      </c>
      <c r="I417">
        <v>0</v>
      </c>
    </row>
    <row r="418" spans="1:9" x14ac:dyDescent="0.25">
      <c r="A418" t="s">
        <v>474</v>
      </c>
    </row>
    <row r="419" spans="1:9" x14ac:dyDescent="0.25">
      <c r="A419" t="s">
        <v>167</v>
      </c>
      <c r="B419">
        <v>22322854</v>
      </c>
      <c r="F419">
        <v>22322854</v>
      </c>
      <c r="G419">
        <v>22322854</v>
      </c>
      <c r="H419">
        <v>22322854</v>
      </c>
      <c r="I419">
        <v>22302087</v>
      </c>
    </row>
    <row r="420" spans="1:9" x14ac:dyDescent="0.25">
      <c r="A420" t="s">
        <v>168</v>
      </c>
      <c r="B420">
        <v>16818094</v>
      </c>
      <c r="F420">
        <v>16818094</v>
      </c>
      <c r="G420">
        <v>16818094</v>
      </c>
      <c r="H420">
        <v>16818094</v>
      </c>
      <c r="I420">
        <v>16809529</v>
      </c>
    </row>
    <row r="421" spans="1:9" x14ac:dyDescent="0.25">
      <c r="A421" t="s">
        <v>169</v>
      </c>
      <c r="B421">
        <v>5011150</v>
      </c>
      <c r="F421">
        <v>5011150</v>
      </c>
      <c r="G421">
        <v>5011150</v>
      </c>
      <c r="H421">
        <v>5011150</v>
      </c>
      <c r="I421">
        <v>4998948</v>
      </c>
    </row>
    <row r="422" spans="1:9" x14ac:dyDescent="0.25">
      <c r="A422" t="s">
        <v>170</v>
      </c>
    </row>
    <row r="423" spans="1:9" x14ac:dyDescent="0.25">
      <c r="A423" t="s">
        <v>171</v>
      </c>
      <c r="B423">
        <v>493610</v>
      </c>
      <c r="F423">
        <v>493610</v>
      </c>
      <c r="G423">
        <v>493610</v>
      </c>
      <c r="H423">
        <v>493610</v>
      </c>
      <c r="I423">
        <v>493610</v>
      </c>
    </row>
    <row r="424" spans="1:9" x14ac:dyDescent="0.25">
      <c r="A424" t="s">
        <v>172</v>
      </c>
    </row>
    <row r="425" spans="1:9" x14ac:dyDescent="0.25">
      <c r="A425" t="s">
        <v>173</v>
      </c>
      <c r="B425">
        <v>1185913</v>
      </c>
      <c r="F425">
        <v>1185913</v>
      </c>
      <c r="G425">
        <v>1183387</v>
      </c>
      <c r="H425">
        <v>1183387</v>
      </c>
      <c r="I425">
        <v>1183146</v>
      </c>
    </row>
    <row r="426" spans="1:9" x14ac:dyDescent="0.25">
      <c r="A426" t="s">
        <v>475</v>
      </c>
      <c r="B426">
        <v>1269989</v>
      </c>
      <c r="F426">
        <v>1269989</v>
      </c>
      <c r="G426">
        <v>1267463</v>
      </c>
      <c r="H426">
        <v>1267463</v>
      </c>
      <c r="I426">
        <v>1267007</v>
      </c>
    </row>
    <row r="427" spans="1:9" x14ac:dyDescent="0.25">
      <c r="A427" t="s">
        <v>476</v>
      </c>
      <c r="B427">
        <v>34281</v>
      </c>
      <c r="F427">
        <v>34281</v>
      </c>
      <c r="G427">
        <v>34281</v>
      </c>
      <c r="H427">
        <v>34281</v>
      </c>
      <c r="I427">
        <v>34169</v>
      </c>
    </row>
    <row r="428" spans="1:9" x14ac:dyDescent="0.25">
      <c r="A428" t="s">
        <v>477</v>
      </c>
      <c r="B428">
        <v>28476</v>
      </c>
      <c r="F428">
        <v>28476</v>
      </c>
      <c r="G428">
        <v>28476</v>
      </c>
      <c r="H428">
        <v>28476</v>
      </c>
      <c r="I428">
        <v>28800</v>
      </c>
    </row>
    <row r="429" spans="1:9" x14ac:dyDescent="0.25">
      <c r="A429" t="s">
        <v>478</v>
      </c>
    </row>
    <row r="430" spans="1:9" x14ac:dyDescent="0.25">
      <c r="A430" t="s">
        <v>479</v>
      </c>
      <c r="B430">
        <v>-146834</v>
      </c>
      <c r="F430">
        <v>-146834</v>
      </c>
      <c r="G430">
        <v>-146834</v>
      </c>
      <c r="H430">
        <v>-146834</v>
      </c>
      <c r="I430">
        <v>-146830</v>
      </c>
    </row>
    <row r="431" spans="1:9" x14ac:dyDescent="0.25">
      <c r="A431" t="s">
        <v>480</v>
      </c>
    </row>
    <row r="432" spans="1:9" x14ac:dyDescent="0.25">
      <c r="A432" t="s">
        <v>481</v>
      </c>
      <c r="B432">
        <v>45920853</v>
      </c>
      <c r="F432">
        <v>45920853</v>
      </c>
      <c r="G432">
        <v>45871756</v>
      </c>
      <c r="H432">
        <v>45871756</v>
      </c>
      <c r="I432">
        <v>45855120</v>
      </c>
    </row>
    <row r="433" spans="1:9" x14ac:dyDescent="0.25">
      <c r="A433" t="s">
        <v>482</v>
      </c>
      <c r="B433">
        <v>25390640</v>
      </c>
      <c r="F433">
        <v>25390640</v>
      </c>
      <c r="G433">
        <v>25349903</v>
      </c>
      <c r="H433">
        <v>25349903</v>
      </c>
      <c r="I433">
        <v>25336095</v>
      </c>
    </row>
    <row r="434" spans="1:9" x14ac:dyDescent="0.25">
      <c r="A434" t="s">
        <v>483</v>
      </c>
      <c r="B434">
        <v>20434378</v>
      </c>
      <c r="F434">
        <v>20434378</v>
      </c>
      <c r="G434">
        <v>20393641</v>
      </c>
      <c r="H434">
        <v>20393641</v>
      </c>
      <c r="I434">
        <v>20387920</v>
      </c>
    </row>
    <row r="435" spans="1:9" x14ac:dyDescent="0.25">
      <c r="A435" t="s">
        <v>484</v>
      </c>
      <c r="B435">
        <v>4529992</v>
      </c>
      <c r="F435">
        <v>4529992</v>
      </c>
      <c r="G435">
        <v>4529992</v>
      </c>
      <c r="H435">
        <v>4529992</v>
      </c>
      <c r="I435">
        <v>4516970</v>
      </c>
    </row>
    <row r="436" spans="1:9" x14ac:dyDescent="0.25">
      <c r="A436" t="s">
        <v>485</v>
      </c>
      <c r="B436">
        <v>426270</v>
      </c>
      <c r="F436">
        <v>426270</v>
      </c>
      <c r="G436">
        <v>426270</v>
      </c>
      <c r="H436">
        <v>426270</v>
      </c>
      <c r="I436">
        <v>431205</v>
      </c>
    </row>
    <row r="437" spans="1:9" x14ac:dyDescent="0.25">
      <c r="A437" t="s">
        <v>486</v>
      </c>
    </row>
    <row r="438" spans="1:9" x14ac:dyDescent="0.25">
      <c r="A438" t="s">
        <v>487</v>
      </c>
      <c r="B438">
        <v>0</v>
      </c>
      <c r="F438">
        <v>0</v>
      </c>
      <c r="G438">
        <v>0</v>
      </c>
      <c r="H438">
        <v>0</v>
      </c>
      <c r="I438">
        <v>0</v>
      </c>
    </row>
    <row r="439" spans="1:9" x14ac:dyDescent="0.25">
      <c r="A439" t="s">
        <v>488</v>
      </c>
    </row>
    <row r="440" spans="1:9" x14ac:dyDescent="0.25">
      <c r="A440" t="s">
        <v>489</v>
      </c>
      <c r="B440">
        <v>27023689</v>
      </c>
      <c r="F440">
        <v>27023689</v>
      </c>
      <c r="G440">
        <v>26974592</v>
      </c>
      <c r="H440">
        <v>26974592</v>
      </c>
      <c r="I440">
        <v>26969304</v>
      </c>
    </row>
    <row r="441" spans="1:9" x14ac:dyDescent="0.25">
      <c r="A441" t="s">
        <v>490</v>
      </c>
      <c r="B441">
        <v>25448610</v>
      </c>
      <c r="F441">
        <v>25448610</v>
      </c>
      <c r="G441">
        <v>25399512</v>
      </c>
      <c r="H441">
        <v>25399512</v>
      </c>
      <c r="I441">
        <v>25391422</v>
      </c>
    </row>
    <row r="442" spans="1:9" x14ac:dyDescent="0.25">
      <c r="A442" t="s">
        <v>491</v>
      </c>
      <c r="B442">
        <v>1084708</v>
      </c>
      <c r="F442">
        <v>1084708</v>
      </c>
      <c r="G442">
        <v>1084708</v>
      </c>
      <c r="H442">
        <v>1084708</v>
      </c>
      <c r="I442">
        <v>1081786</v>
      </c>
    </row>
    <row r="443" spans="1:9" x14ac:dyDescent="0.25">
      <c r="A443" t="s">
        <v>492</v>
      </c>
      <c r="B443">
        <v>490372</v>
      </c>
      <c r="F443">
        <v>490372</v>
      </c>
      <c r="G443">
        <v>490372</v>
      </c>
      <c r="H443">
        <v>490372</v>
      </c>
      <c r="I443">
        <v>496095</v>
      </c>
    </row>
    <row r="444" spans="1:9" x14ac:dyDescent="0.25">
      <c r="A444" t="s">
        <v>493</v>
      </c>
    </row>
    <row r="445" spans="1:9" x14ac:dyDescent="0.25">
      <c r="A445" t="s">
        <v>494</v>
      </c>
      <c r="B445">
        <v>0</v>
      </c>
      <c r="F445">
        <v>0</v>
      </c>
      <c r="G445">
        <v>0</v>
      </c>
      <c r="H445">
        <v>0</v>
      </c>
      <c r="I445">
        <v>0</v>
      </c>
    </row>
    <row r="446" spans="1:9" x14ac:dyDescent="0.25">
      <c r="A446" t="s">
        <v>495</v>
      </c>
    </row>
    <row r="447" spans="1:9" x14ac:dyDescent="0.25">
      <c r="A447" t="s">
        <v>496</v>
      </c>
      <c r="B447">
        <v>18897164</v>
      </c>
      <c r="F447">
        <v>18897164</v>
      </c>
      <c r="G447">
        <v>18897164</v>
      </c>
      <c r="H447">
        <v>18897164</v>
      </c>
      <c r="I447">
        <v>18885816</v>
      </c>
    </row>
    <row r="448" spans="1:9" x14ac:dyDescent="0.25">
      <c r="A448" t="s">
        <v>497</v>
      </c>
      <c r="B448">
        <v>15288604</v>
      </c>
      <c r="F448">
        <v>15288604</v>
      </c>
      <c r="G448">
        <v>15288604</v>
      </c>
      <c r="H448">
        <v>15288604</v>
      </c>
      <c r="I448">
        <v>15283574</v>
      </c>
    </row>
    <row r="449" spans="1:9" x14ac:dyDescent="0.25">
      <c r="A449" t="s">
        <v>498</v>
      </c>
      <c r="B449">
        <v>3125620</v>
      </c>
      <c r="F449">
        <v>3125620</v>
      </c>
      <c r="G449">
        <v>3125620</v>
      </c>
      <c r="H449">
        <v>3125620</v>
      </c>
      <c r="I449">
        <v>3119301</v>
      </c>
    </row>
    <row r="450" spans="1:9" x14ac:dyDescent="0.25">
      <c r="A450" t="s">
        <v>499</v>
      </c>
    </row>
    <row r="451" spans="1:9" x14ac:dyDescent="0.25">
      <c r="A451" t="s">
        <v>500</v>
      </c>
      <c r="B451">
        <v>482940</v>
      </c>
      <c r="F451">
        <v>482940</v>
      </c>
      <c r="G451">
        <v>482940</v>
      </c>
      <c r="H451">
        <v>482940</v>
      </c>
      <c r="I451">
        <v>482940</v>
      </c>
    </row>
    <row r="452" spans="1:9" x14ac:dyDescent="0.25">
      <c r="A452" t="s">
        <v>501</v>
      </c>
    </row>
    <row r="453" spans="1:9" x14ac:dyDescent="0.25">
      <c r="A453" t="s">
        <v>502</v>
      </c>
      <c r="B453">
        <v>964165</v>
      </c>
      <c r="F453">
        <v>964165</v>
      </c>
      <c r="G453">
        <v>962041</v>
      </c>
      <c r="H453">
        <v>962041</v>
      </c>
      <c r="I453">
        <v>961853</v>
      </c>
    </row>
    <row r="454" spans="1:9" x14ac:dyDescent="0.25">
      <c r="A454" t="s">
        <v>503</v>
      </c>
      <c r="B454">
        <v>1072323</v>
      </c>
      <c r="F454">
        <v>1072323</v>
      </c>
      <c r="G454">
        <v>1070198</v>
      </c>
      <c r="H454">
        <v>1070198</v>
      </c>
      <c r="I454">
        <v>1069838</v>
      </c>
    </row>
    <row r="455" spans="1:9" x14ac:dyDescent="0.25">
      <c r="A455" t="s">
        <v>504</v>
      </c>
      <c r="B455">
        <v>19592</v>
      </c>
      <c r="F455">
        <v>19592</v>
      </c>
      <c r="G455">
        <v>19592</v>
      </c>
      <c r="H455">
        <v>19592</v>
      </c>
      <c r="I455">
        <v>19536</v>
      </c>
    </row>
    <row r="456" spans="1:9" x14ac:dyDescent="0.25">
      <c r="A456" t="s">
        <v>505</v>
      </c>
      <c r="B456">
        <v>19085</v>
      </c>
      <c r="F456">
        <v>19085</v>
      </c>
      <c r="G456">
        <v>19085</v>
      </c>
      <c r="H456">
        <v>19085</v>
      </c>
      <c r="I456">
        <v>19308</v>
      </c>
    </row>
    <row r="457" spans="1:9" x14ac:dyDescent="0.25">
      <c r="A457" t="s">
        <v>506</v>
      </c>
    </row>
    <row r="458" spans="1:9" x14ac:dyDescent="0.25">
      <c r="A458" t="s">
        <v>507</v>
      </c>
      <c r="B458">
        <v>-146834</v>
      </c>
      <c r="F458">
        <v>-146834</v>
      </c>
      <c r="G458">
        <v>-146834</v>
      </c>
      <c r="H458">
        <v>-146834</v>
      </c>
      <c r="I458">
        <v>-146830</v>
      </c>
    </row>
    <row r="459" spans="1:9" x14ac:dyDescent="0.25">
      <c r="A459" t="s">
        <v>508</v>
      </c>
    </row>
    <row r="460" spans="1:9" x14ac:dyDescent="0.25">
      <c r="A460" t="s">
        <v>174</v>
      </c>
      <c r="B460">
        <v>5268977</v>
      </c>
      <c r="F460">
        <v>5268977</v>
      </c>
      <c r="G460">
        <v>5267151</v>
      </c>
      <c r="H460">
        <v>5267151</v>
      </c>
      <c r="I460">
        <v>5267185</v>
      </c>
    </row>
    <row r="461" spans="1:9" x14ac:dyDescent="0.25">
      <c r="A461" t="s">
        <v>175</v>
      </c>
      <c r="B461">
        <v>833593</v>
      </c>
      <c r="F461">
        <v>833593</v>
      </c>
      <c r="G461">
        <v>831767</v>
      </c>
      <c r="H461">
        <v>831767</v>
      </c>
      <c r="I461">
        <v>831805</v>
      </c>
    </row>
    <row r="462" spans="1:9" x14ac:dyDescent="0.25">
      <c r="A462" t="s">
        <v>509</v>
      </c>
      <c r="B462">
        <v>830794</v>
      </c>
      <c r="F462">
        <v>830794</v>
      </c>
      <c r="G462">
        <v>828968</v>
      </c>
      <c r="H462">
        <v>828968</v>
      </c>
      <c r="I462">
        <v>828968</v>
      </c>
    </row>
    <row r="463" spans="1:9" x14ac:dyDescent="0.25">
      <c r="A463" t="s">
        <v>510</v>
      </c>
      <c r="B463">
        <v>0</v>
      </c>
      <c r="F463">
        <v>0</v>
      </c>
      <c r="G463">
        <v>0</v>
      </c>
      <c r="H463">
        <v>0</v>
      </c>
      <c r="I463">
        <v>0</v>
      </c>
    </row>
    <row r="464" spans="1:9" x14ac:dyDescent="0.25">
      <c r="A464" t="s">
        <v>511</v>
      </c>
      <c r="B464">
        <v>2799</v>
      </c>
      <c r="F464">
        <v>2799</v>
      </c>
      <c r="G464">
        <v>2799</v>
      </c>
      <c r="H464">
        <v>2799</v>
      </c>
      <c r="I464">
        <v>2837</v>
      </c>
    </row>
    <row r="465" spans="1:9" x14ac:dyDescent="0.25">
      <c r="A465" t="s">
        <v>512</v>
      </c>
    </row>
    <row r="466" spans="1:9" x14ac:dyDescent="0.25">
      <c r="A466" t="s">
        <v>513</v>
      </c>
      <c r="B466">
        <v>0</v>
      </c>
      <c r="F466">
        <v>0</v>
      </c>
      <c r="G466">
        <v>0</v>
      </c>
      <c r="H466">
        <v>0</v>
      </c>
      <c r="I466">
        <v>0</v>
      </c>
    </row>
    <row r="467" spans="1:9" x14ac:dyDescent="0.25">
      <c r="A467" t="s">
        <v>514</v>
      </c>
    </row>
    <row r="468" spans="1:9" x14ac:dyDescent="0.25">
      <c r="A468" t="s">
        <v>176</v>
      </c>
      <c r="B468">
        <v>4435384</v>
      </c>
      <c r="F468">
        <v>4435384</v>
      </c>
      <c r="G468">
        <v>4435384</v>
      </c>
      <c r="H468">
        <v>4435384</v>
      </c>
      <c r="I468">
        <v>4435380</v>
      </c>
    </row>
    <row r="469" spans="1:9" x14ac:dyDescent="0.25">
      <c r="A469" t="s">
        <v>177</v>
      </c>
      <c r="B469">
        <v>4169345</v>
      </c>
      <c r="F469">
        <v>4169345</v>
      </c>
      <c r="G469">
        <v>4169345</v>
      </c>
      <c r="H469">
        <v>4169345</v>
      </c>
      <c r="I469">
        <v>4169341</v>
      </c>
    </row>
    <row r="470" spans="1:9" x14ac:dyDescent="0.25">
      <c r="A470" t="s">
        <v>178</v>
      </c>
      <c r="B470">
        <v>0</v>
      </c>
      <c r="F470">
        <v>0</v>
      </c>
      <c r="G470">
        <v>0</v>
      </c>
      <c r="H470">
        <v>0</v>
      </c>
      <c r="I470">
        <v>0</v>
      </c>
    </row>
    <row r="471" spans="1:9" x14ac:dyDescent="0.25">
      <c r="A471" t="s">
        <v>179</v>
      </c>
    </row>
    <row r="472" spans="1:9" x14ac:dyDescent="0.25">
      <c r="A472" t="s">
        <v>180</v>
      </c>
      <c r="B472">
        <v>266039</v>
      </c>
      <c r="F472">
        <v>266039</v>
      </c>
      <c r="G472">
        <v>266039</v>
      </c>
      <c r="H472">
        <v>266039</v>
      </c>
      <c r="I472">
        <v>266039</v>
      </c>
    </row>
    <row r="473" spans="1:9" x14ac:dyDescent="0.25">
      <c r="A473" t="s">
        <v>181</v>
      </c>
    </row>
    <row r="474" spans="1:9" x14ac:dyDescent="0.25">
      <c r="A474" t="s">
        <v>515</v>
      </c>
      <c r="B474">
        <v>4.2500000000000003E-2</v>
      </c>
      <c r="F474">
        <v>4.2500000000000003E-2</v>
      </c>
      <c r="G474">
        <v>4.2500000000000003E-2</v>
      </c>
      <c r="H474">
        <v>4.2500000000000003E-2</v>
      </c>
      <c r="I474">
        <v>4.2500000000000003E-2</v>
      </c>
    </row>
    <row r="475" spans="1:9" x14ac:dyDescent="0.25">
      <c r="A475" t="s">
        <v>516</v>
      </c>
      <c r="B475">
        <v>-0.95079999999999998</v>
      </c>
      <c r="F475">
        <v>-0.95079999999999998</v>
      </c>
      <c r="G475">
        <v>-0.9506</v>
      </c>
      <c r="H475">
        <v>-0.9506</v>
      </c>
      <c r="I475">
        <v>-0.95050000000000001</v>
      </c>
    </row>
    <row r="476" spans="1:9" x14ac:dyDescent="0.25">
      <c r="A476" t="s">
        <v>517</v>
      </c>
      <c r="B476">
        <v>0.45179999999999998</v>
      </c>
      <c r="F476">
        <v>0.45179999999999998</v>
      </c>
      <c r="G476">
        <v>0.45179999999999998</v>
      </c>
      <c r="H476">
        <v>0.45179999999999998</v>
      </c>
      <c r="I476">
        <v>0.45179999999999998</v>
      </c>
    </row>
    <row r="477" spans="1:9" x14ac:dyDescent="0.25">
      <c r="A477" t="s">
        <v>182</v>
      </c>
      <c r="B477" t="s">
        <v>772</v>
      </c>
      <c r="C477" t="s">
        <v>773</v>
      </c>
      <c r="D477" t="s">
        <v>774</v>
      </c>
      <c r="E477" t="s">
        <v>775</v>
      </c>
      <c r="F477" t="s">
        <v>776</v>
      </c>
      <c r="G477" t="s">
        <v>777</v>
      </c>
      <c r="H477" t="s">
        <v>778</v>
      </c>
      <c r="I477" t="s">
        <v>779</v>
      </c>
    </row>
    <row r="478" spans="1:9" x14ac:dyDescent="0.25">
      <c r="A478" t="s">
        <v>183</v>
      </c>
      <c r="B478" t="s">
        <v>772</v>
      </c>
      <c r="C478" t="s">
        <v>773</v>
      </c>
      <c r="D478" t="s">
        <v>774</v>
      </c>
      <c r="E478" t="s">
        <v>775</v>
      </c>
      <c r="F478" t="s">
        <v>776</v>
      </c>
      <c r="G478" t="s">
        <v>777</v>
      </c>
      <c r="H478" t="s">
        <v>778</v>
      </c>
      <c r="I478" t="s">
        <v>779</v>
      </c>
    </row>
    <row r="479" spans="1:9" x14ac:dyDescent="0.25">
      <c r="A479" t="s">
        <v>184</v>
      </c>
      <c r="B479" s="75">
        <v>41640</v>
      </c>
      <c r="C479" s="75">
        <v>41640</v>
      </c>
      <c r="D479" s="75">
        <v>41640</v>
      </c>
      <c r="E479" s="75">
        <v>41640</v>
      </c>
      <c r="F479" s="75">
        <v>41640</v>
      </c>
      <c r="G479" s="75">
        <v>41640</v>
      </c>
      <c r="H479" s="75">
        <v>41640</v>
      </c>
      <c r="I479" s="75">
        <v>41640</v>
      </c>
    </row>
    <row r="480" spans="1:9" x14ac:dyDescent="0.25">
      <c r="A480" t="s">
        <v>185</v>
      </c>
      <c r="B480" s="76" t="s">
        <v>763</v>
      </c>
      <c r="C480" s="76" t="s">
        <v>764</v>
      </c>
      <c r="D480" s="76" t="s">
        <v>765</v>
      </c>
      <c r="E480" s="76" t="s">
        <v>766</v>
      </c>
      <c r="F480" s="76" t="s">
        <v>767</v>
      </c>
      <c r="G480" s="76" t="s">
        <v>768</v>
      </c>
      <c r="H480" s="76" t="s">
        <v>769</v>
      </c>
      <c r="I480" s="76" t="s">
        <v>770</v>
      </c>
    </row>
    <row r="481" spans="1:9" x14ac:dyDescent="0.25">
      <c r="A481" t="s">
        <v>186</v>
      </c>
      <c r="B481" t="s">
        <v>771</v>
      </c>
      <c r="C481" t="s">
        <v>771</v>
      </c>
      <c r="D481" t="s">
        <v>771</v>
      </c>
      <c r="E481" t="s">
        <v>771</v>
      </c>
      <c r="F481" t="s">
        <v>771</v>
      </c>
      <c r="G481" t="s">
        <v>771</v>
      </c>
      <c r="H481" t="s">
        <v>771</v>
      </c>
      <c r="I481" t="s">
        <v>771</v>
      </c>
    </row>
    <row r="482" spans="1:9" x14ac:dyDescent="0.25">
      <c r="A482" t="s">
        <v>187</v>
      </c>
      <c r="B482" t="s">
        <v>518</v>
      </c>
      <c r="C482" t="s">
        <v>518</v>
      </c>
      <c r="D482" t="s">
        <v>518</v>
      </c>
      <c r="E482" t="s">
        <v>518</v>
      </c>
      <c r="F482" t="s">
        <v>518</v>
      </c>
      <c r="G482" t="s">
        <v>518</v>
      </c>
      <c r="H482" t="s">
        <v>518</v>
      </c>
      <c r="I482" t="s">
        <v>518</v>
      </c>
    </row>
    <row r="483" spans="1:9" x14ac:dyDescent="0.25">
      <c r="A483" t="s">
        <v>188</v>
      </c>
      <c r="B483" t="s">
        <v>189</v>
      </c>
      <c r="C483" t="s">
        <v>189</v>
      </c>
      <c r="D483" t="s">
        <v>189</v>
      </c>
      <c r="E483" t="s">
        <v>189</v>
      </c>
      <c r="F483" t="s">
        <v>189</v>
      </c>
      <c r="G483" t="s">
        <v>189</v>
      </c>
      <c r="H483" t="s">
        <v>189</v>
      </c>
      <c r="I483" t="s">
        <v>189</v>
      </c>
    </row>
    <row r="484" spans="1:9" x14ac:dyDescent="0.25">
      <c r="A484" t="s">
        <v>190</v>
      </c>
      <c r="B484" t="s">
        <v>643</v>
      </c>
      <c r="C484" t="s">
        <v>644</v>
      </c>
      <c r="D484" t="s">
        <v>645</v>
      </c>
      <c r="E484" t="s">
        <v>645</v>
      </c>
      <c r="F484" t="s">
        <v>646</v>
      </c>
      <c r="G484" t="s">
        <v>647</v>
      </c>
      <c r="H484" t="s">
        <v>647</v>
      </c>
      <c r="I484" t="s">
        <v>647</v>
      </c>
    </row>
    <row r="485" spans="1:9" x14ac:dyDescent="0.25">
      <c r="A485" t="s">
        <v>191</v>
      </c>
      <c r="B485" t="s">
        <v>648</v>
      </c>
      <c r="C485" t="s">
        <v>649</v>
      </c>
      <c r="D485" t="s">
        <v>649</v>
      </c>
      <c r="E485" t="s">
        <v>649</v>
      </c>
      <c r="F485" t="s">
        <v>650</v>
      </c>
      <c r="G485" t="s">
        <v>650</v>
      </c>
      <c r="H485" t="s">
        <v>650</v>
      </c>
      <c r="I485" t="s">
        <v>650</v>
      </c>
    </row>
    <row r="486" spans="1:9" x14ac:dyDescent="0.25">
      <c r="A486" t="s">
        <v>192</v>
      </c>
      <c r="B486" t="s">
        <v>780</v>
      </c>
      <c r="C486" t="s">
        <v>781</v>
      </c>
      <c r="D486" t="s">
        <v>782</v>
      </c>
      <c r="E486" t="s">
        <v>782</v>
      </c>
      <c r="F486" t="s">
        <v>783</v>
      </c>
      <c r="G486" t="s">
        <v>783</v>
      </c>
      <c r="H486" t="s">
        <v>780</v>
      </c>
      <c r="I486" t="s">
        <v>784</v>
      </c>
    </row>
    <row r="487" spans="1:9" x14ac:dyDescent="0.25">
      <c r="A487" t="s">
        <v>520</v>
      </c>
      <c r="B487" t="s">
        <v>651</v>
      </c>
      <c r="C487" t="s">
        <v>652</v>
      </c>
      <c r="D487" t="s">
        <v>652</v>
      </c>
      <c r="E487" t="s">
        <v>652</v>
      </c>
      <c r="F487" t="s">
        <v>521</v>
      </c>
      <c r="G487" t="s">
        <v>521</v>
      </c>
      <c r="H487" t="s">
        <v>651</v>
      </c>
      <c r="I487" t="s">
        <v>651</v>
      </c>
    </row>
    <row r="488" spans="1:9" x14ac:dyDescent="0.25">
      <c r="A488" t="s">
        <v>522</v>
      </c>
      <c r="B488" t="s">
        <v>653</v>
      </c>
      <c r="C488" t="s">
        <v>652</v>
      </c>
      <c r="D488" t="s">
        <v>652</v>
      </c>
      <c r="E488" t="s">
        <v>652</v>
      </c>
      <c r="F488" t="s">
        <v>523</v>
      </c>
      <c r="G488" t="s">
        <v>523</v>
      </c>
      <c r="H488" t="s">
        <v>653</v>
      </c>
      <c r="I488" t="s">
        <v>653</v>
      </c>
    </row>
    <row r="489" spans="1:9" x14ac:dyDescent="0.25">
      <c r="A489" t="s">
        <v>524</v>
      </c>
      <c r="B489" t="s">
        <v>651</v>
      </c>
      <c r="C489" t="s">
        <v>652</v>
      </c>
      <c r="D489" t="s">
        <v>652</v>
      </c>
      <c r="E489" t="s">
        <v>652</v>
      </c>
      <c r="F489" t="s">
        <v>521</v>
      </c>
      <c r="G489" t="s">
        <v>521</v>
      </c>
      <c r="H489" t="s">
        <v>651</v>
      </c>
      <c r="I489" t="s">
        <v>651</v>
      </c>
    </row>
    <row r="490" spans="1:9" x14ac:dyDescent="0.25">
      <c r="A490" t="s">
        <v>193</v>
      </c>
      <c r="B490">
        <v>0.04</v>
      </c>
      <c r="C490">
        <v>0.04</v>
      </c>
      <c r="D490">
        <v>0.04</v>
      </c>
      <c r="E490">
        <v>0.04</v>
      </c>
      <c r="F490">
        <v>0.04</v>
      </c>
      <c r="G490">
        <v>0.04</v>
      </c>
      <c r="H490">
        <v>0.04</v>
      </c>
      <c r="I490">
        <v>0.04</v>
      </c>
    </row>
    <row r="491" spans="1:9" x14ac:dyDescent="0.25">
      <c r="A491" t="s">
        <v>525</v>
      </c>
      <c r="B491" t="s">
        <v>653</v>
      </c>
      <c r="C491" t="s">
        <v>652</v>
      </c>
      <c r="D491" t="s">
        <v>652</v>
      </c>
      <c r="E491" t="s">
        <v>652</v>
      </c>
      <c r="F491" t="s">
        <v>523</v>
      </c>
      <c r="G491" t="s">
        <v>523</v>
      </c>
      <c r="H491" t="s">
        <v>653</v>
      </c>
      <c r="I491" t="s">
        <v>653</v>
      </c>
    </row>
    <row r="492" spans="1:9" x14ac:dyDescent="0.25">
      <c r="A492" t="s">
        <v>195</v>
      </c>
      <c r="B492" t="s">
        <v>643</v>
      </c>
      <c r="C492" t="s">
        <v>194</v>
      </c>
      <c r="D492" t="s">
        <v>194</v>
      </c>
      <c r="E492" t="s">
        <v>194</v>
      </c>
      <c r="F492" t="s">
        <v>646</v>
      </c>
      <c r="G492" t="s">
        <v>654</v>
      </c>
      <c r="H492" t="s">
        <v>654</v>
      </c>
      <c r="I492" t="s">
        <v>654</v>
      </c>
    </row>
    <row r="493" spans="1:9" x14ac:dyDescent="0.25">
      <c r="A493" t="s">
        <v>196</v>
      </c>
      <c r="B493" t="s">
        <v>648</v>
      </c>
      <c r="C493" t="s">
        <v>194</v>
      </c>
      <c r="D493" t="s">
        <v>194</v>
      </c>
      <c r="E493" t="s">
        <v>194</v>
      </c>
      <c r="F493" t="s">
        <v>650</v>
      </c>
      <c r="G493" t="s">
        <v>650</v>
      </c>
      <c r="H493" t="s">
        <v>650</v>
      </c>
      <c r="I493" t="s">
        <v>650</v>
      </c>
    </row>
    <row r="494" spans="1:9" x14ac:dyDescent="0.25">
      <c r="A494" t="s">
        <v>197</v>
      </c>
      <c r="B494" t="s">
        <v>785</v>
      </c>
      <c r="C494" t="s">
        <v>189</v>
      </c>
      <c r="D494" t="s">
        <v>189</v>
      </c>
      <c r="E494" t="s">
        <v>189</v>
      </c>
      <c r="F494" t="s">
        <v>785</v>
      </c>
      <c r="G494" t="s">
        <v>785</v>
      </c>
      <c r="H494" t="s">
        <v>785</v>
      </c>
      <c r="I494" t="s">
        <v>785</v>
      </c>
    </row>
    <row r="495" spans="1:9" x14ac:dyDescent="0.25">
      <c r="A495" t="s">
        <v>199</v>
      </c>
      <c r="B495">
        <v>4.2500000000000003E-2</v>
      </c>
      <c r="F495">
        <v>4.2500000000000003E-2</v>
      </c>
      <c r="G495">
        <v>4.2500000000000003E-2</v>
      </c>
      <c r="H495">
        <v>4.2500000000000003E-2</v>
      </c>
      <c r="I495">
        <v>4.2500000000000003E-2</v>
      </c>
    </row>
    <row r="496" spans="1:9" x14ac:dyDescent="0.25">
      <c r="A496" t="s">
        <v>200</v>
      </c>
      <c r="B496">
        <v>0.04</v>
      </c>
      <c r="F496">
        <v>0.04</v>
      </c>
      <c r="G496">
        <v>0.04</v>
      </c>
      <c r="H496">
        <v>0.04</v>
      </c>
      <c r="I496">
        <v>0.04</v>
      </c>
    </row>
    <row r="497" spans="1:9" x14ac:dyDescent="0.25">
      <c r="A497" t="s">
        <v>527</v>
      </c>
      <c r="B497">
        <v>4.2500000000000003E-2</v>
      </c>
      <c r="F497">
        <v>4.2500000000000003E-2</v>
      </c>
      <c r="G497">
        <v>4.2500000000000003E-2</v>
      </c>
      <c r="H497">
        <v>4.2500000000000003E-2</v>
      </c>
      <c r="I497">
        <v>4.2500000000000003E-2</v>
      </c>
    </row>
    <row r="498" spans="1:9" x14ac:dyDescent="0.25">
      <c r="A498" t="s">
        <v>528</v>
      </c>
      <c r="B498">
        <v>6.7500000000000004E-2</v>
      </c>
      <c r="F498">
        <v>6.7500000000000004E-2</v>
      </c>
      <c r="G498">
        <v>6.7500000000000004E-2</v>
      </c>
      <c r="H498">
        <v>6.7500000000000004E-2</v>
      </c>
      <c r="I498">
        <v>6.7500000000000004E-2</v>
      </c>
    </row>
    <row r="500" spans="1:9" x14ac:dyDescent="0.25">
      <c r="A500" t="s">
        <v>529</v>
      </c>
    </row>
    <row r="501" spans="1:9" x14ac:dyDescent="0.25">
      <c r="A501" t="s">
        <v>198</v>
      </c>
    </row>
    <row r="503" spans="1:9" x14ac:dyDescent="0.25">
      <c r="A503" t="s">
        <v>530</v>
      </c>
    </row>
    <row r="504" spans="1:9" x14ac:dyDescent="0.25">
      <c r="A504" t="s">
        <v>655</v>
      </c>
    </row>
  </sheetData>
  <phoneticPr fontId="0" type="noConversion"/>
  <pageMargins left="0.75" right="0.75" top="1" bottom="1" header="0.5" footer="0.5"/>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C231"/>
  <sheetViews>
    <sheetView workbookViewId="0">
      <pane xSplit="1" ySplit="5" topLeftCell="B114" activePane="bottomRight" state="frozen"/>
      <selection pane="topRight" activeCell="B1" sqref="B1"/>
      <selection pane="bottomLeft" activeCell="A6" sqref="A6"/>
      <selection pane="bottomRight" activeCell="D134" sqref="D134"/>
    </sheetView>
  </sheetViews>
  <sheetFormatPr defaultRowHeight="12.5" x14ac:dyDescent="0.25"/>
  <cols>
    <col min="1" max="1" width="39.7265625" customWidth="1"/>
    <col min="2" max="3" width="12.81640625" customWidth="1"/>
  </cols>
  <sheetData>
    <row r="1" spans="1:3" x14ac:dyDescent="0.25">
      <c r="A1" s="76" t="s">
        <v>657</v>
      </c>
    </row>
    <row r="2" spans="1:3" x14ac:dyDescent="0.25">
      <c r="A2" t="s">
        <v>532</v>
      </c>
    </row>
    <row r="5" spans="1:3" x14ac:dyDescent="0.25">
      <c r="A5" t="s">
        <v>59</v>
      </c>
      <c r="B5" s="76" t="s">
        <v>793</v>
      </c>
      <c r="C5" s="76" t="s">
        <v>794</v>
      </c>
    </row>
    <row r="6" spans="1:3" x14ac:dyDescent="0.25">
      <c r="A6" t="s">
        <v>283</v>
      </c>
      <c r="B6">
        <v>203</v>
      </c>
      <c r="C6">
        <v>203</v>
      </c>
    </row>
    <row r="7" spans="1:3" x14ac:dyDescent="0.25">
      <c r="A7" t="s">
        <v>60</v>
      </c>
      <c r="B7">
        <v>5757405</v>
      </c>
      <c r="C7">
        <v>5757405</v>
      </c>
    </row>
    <row r="8" spans="1:3" x14ac:dyDescent="0.25">
      <c r="A8" t="s">
        <v>284</v>
      </c>
      <c r="B8">
        <v>50.57</v>
      </c>
      <c r="C8">
        <v>50.57</v>
      </c>
    </row>
    <row r="9" spans="1:3" x14ac:dyDescent="0.25">
      <c r="A9" t="s">
        <v>61</v>
      </c>
      <c r="B9">
        <v>16.48</v>
      </c>
      <c r="C9">
        <v>16.48</v>
      </c>
    </row>
    <row r="10" spans="1:3" x14ac:dyDescent="0.25">
      <c r="A10" t="s">
        <v>62</v>
      </c>
      <c r="B10">
        <v>77.83</v>
      </c>
      <c r="C10">
        <v>77.83</v>
      </c>
    </row>
    <row r="11" spans="1:3" x14ac:dyDescent="0.25">
      <c r="A11" t="s">
        <v>63</v>
      </c>
      <c r="B11">
        <v>8.43</v>
      </c>
    </row>
    <row r="12" spans="1:3" x14ac:dyDescent="0.25">
      <c r="A12" t="s">
        <v>64</v>
      </c>
      <c r="B12">
        <v>1711.18</v>
      </c>
    </row>
    <row r="13" spans="1:3" x14ac:dyDescent="0.25">
      <c r="A13" t="s">
        <v>285</v>
      </c>
      <c r="B13">
        <v>63.18</v>
      </c>
      <c r="C13">
        <v>63.18</v>
      </c>
    </row>
    <row r="14" spans="1:3" x14ac:dyDescent="0.25">
      <c r="A14" t="s">
        <v>65</v>
      </c>
      <c r="B14">
        <v>199</v>
      </c>
      <c r="C14">
        <v>199</v>
      </c>
    </row>
    <row r="15" spans="1:3" x14ac:dyDescent="0.25">
      <c r="A15" t="s">
        <v>66</v>
      </c>
      <c r="B15">
        <v>5421340</v>
      </c>
      <c r="C15">
        <v>5421340</v>
      </c>
    </row>
    <row r="16" spans="1:3" x14ac:dyDescent="0.25">
      <c r="A16" t="s">
        <v>67</v>
      </c>
      <c r="B16">
        <v>102</v>
      </c>
      <c r="C16">
        <v>102</v>
      </c>
    </row>
    <row r="17" spans="1:3" x14ac:dyDescent="0.25">
      <c r="A17" t="s">
        <v>68</v>
      </c>
      <c r="B17">
        <v>39</v>
      </c>
      <c r="C17">
        <v>39</v>
      </c>
    </row>
    <row r="18" spans="1:3" x14ac:dyDescent="0.25">
      <c r="A18" t="s">
        <v>69</v>
      </c>
      <c r="B18">
        <v>60</v>
      </c>
      <c r="C18">
        <v>60</v>
      </c>
    </row>
    <row r="19" spans="1:3" x14ac:dyDescent="0.25">
      <c r="A19" t="s">
        <v>70</v>
      </c>
    </row>
    <row r="20" spans="1:3" x14ac:dyDescent="0.25">
      <c r="A20" t="s">
        <v>71</v>
      </c>
      <c r="B20">
        <v>3</v>
      </c>
      <c r="C20">
        <v>3</v>
      </c>
    </row>
    <row r="21" spans="1:3" x14ac:dyDescent="0.25">
      <c r="A21" t="s">
        <v>72</v>
      </c>
    </row>
    <row r="22" spans="1:3" x14ac:dyDescent="0.25">
      <c r="A22" t="s">
        <v>73</v>
      </c>
      <c r="B22">
        <v>55.08</v>
      </c>
      <c r="C22">
        <v>55.08</v>
      </c>
    </row>
    <row r="23" spans="1:3" x14ac:dyDescent="0.25">
      <c r="A23" t="s">
        <v>74</v>
      </c>
      <c r="B23">
        <v>63.88</v>
      </c>
      <c r="C23">
        <v>63.88</v>
      </c>
    </row>
    <row r="24" spans="1:3" x14ac:dyDescent="0.25">
      <c r="A24" t="s">
        <v>75</v>
      </c>
      <c r="B24">
        <v>49.65</v>
      </c>
      <c r="C24">
        <v>49.65</v>
      </c>
    </row>
    <row r="25" spans="1:3" x14ac:dyDescent="0.25">
      <c r="A25" t="s">
        <v>76</v>
      </c>
    </row>
    <row r="26" spans="1:3" x14ac:dyDescent="0.25">
      <c r="A26" t="s">
        <v>77</v>
      </c>
      <c r="B26">
        <v>49.39</v>
      </c>
      <c r="C26">
        <v>49.39</v>
      </c>
    </row>
    <row r="27" spans="1:3" x14ac:dyDescent="0.25">
      <c r="A27" t="s">
        <v>78</v>
      </c>
    </row>
    <row r="28" spans="1:3" x14ac:dyDescent="0.25">
      <c r="A28" t="s">
        <v>79</v>
      </c>
      <c r="B28">
        <v>71.569999999999993</v>
      </c>
      <c r="C28">
        <v>71.569999999999993</v>
      </c>
    </row>
    <row r="29" spans="1:3" x14ac:dyDescent="0.25">
      <c r="A29" t="s">
        <v>80</v>
      </c>
      <c r="B29">
        <v>74.36</v>
      </c>
      <c r="C29">
        <v>74.36</v>
      </c>
    </row>
    <row r="30" spans="1:3" x14ac:dyDescent="0.25">
      <c r="A30" t="s">
        <v>81</v>
      </c>
      <c r="B30">
        <v>71.67</v>
      </c>
      <c r="C30">
        <v>71.67</v>
      </c>
    </row>
    <row r="31" spans="1:3" x14ac:dyDescent="0.25">
      <c r="A31" t="s">
        <v>82</v>
      </c>
    </row>
    <row r="32" spans="1:3" x14ac:dyDescent="0.25">
      <c r="A32" t="s">
        <v>83</v>
      </c>
      <c r="B32">
        <v>33.33</v>
      </c>
      <c r="C32">
        <v>33.33</v>
      </c>
    </row>
    <row r="33" spans="1:3" x14ac:dyDescent="0.25">
      <c r="A33" t="s">
        <v>84</v>
      </c>
    </row>
    <row r="34" spans="1:3" x14ac:dyDescent="0.25">
      <c r="A34" t="s">
        <v>85</v>
      </c>
      <c r="B34">
        <v>4435746</v>
      </c>
      <c r="C34">
        <v>4435746</v>
      </c>
    </row>
    <row r="35" spans="1:3" x14ac:dyDescent="0.25">
      <c r="A35" t="s">
        <v>86</v>
      </c>
      <c r="B35">
        <v>4169708</v>
      </c>
      <c r="C35">
        <v>4169708</v>
      </c>
    </row>
    <row r="36" spans="1:3" x14ac:dyDescent="0.25">
      <c r="A36" t="s">
        <v>87</v>
      </c>
      <c r="B36">
        <v>0</v>
      </c>
      <c r="C36">
        <v>0</v>
      </c>
    </row>
    <row r="37" spans="1:3" x14ac:dyDescent="0.25">
      <c r="A37" t="s">
        <v>88</v>
      </c>
    </row>
    <row r="38" spans="1:3" x14ac:dyDescent="0.25">
      <c r="A38" t="s">
        <v>89</v>
      </c>
      <c r="B38">
        <v>266039</v>
      </c>
      <c r="C38">
        <v>266039</v>
      </c>
    </row>
    <row r="39" spans="1:3" x14ac:dyDescent="0.25">
      <c r="A39" t="s">
        <v>90</v>
      </c>
    </row>
    <row r="40" spans="1:3" x14ac:dyDescent="0.25">
      <c r="A40" t="s">
        <v>91</v>
      </c>
      <c r="B40">
        <v>646097</v>
      </c>
      <c r="C40">
        <v>646097</v>
      </c>
    </row>
    <row r="41" spans="1:3" x14ac:dyDescent="0.25">
      <c r="A41" t="s">
        <v>92</v>
      </c>
      <c r="B41">
        <v>0</v>
      </c>
      <c r="C41">
        <v>0</v>
      </c>
    </row>
    <row r="42" spans="1:3" x14ac:dyDescent="0.25">
      <c r="A42" t="s">
        <v>93</v>
      </c>
      <c r="B42">
        <v>646097</v>
      </c>
      <c r="C42">
        <v>646097</v>
      </c>
    </row>
    <row r="43" spans="1:3" x14ac:dyDescent="0.25">
      <c r="A43" t="s">
        <v>94</v>
      </c>
    </row>
    <row r="44" spans="1:3" x14ac:dyDescent="0.25">
      <c r="A44" t="s">
        <v>95</v>
      </c>
      <c r="B44">
        <v>0</v>
      </c>
      <c r="C44">
        <v>0</v>
      </c>
    </row>
    <row r="45" spans="1:3" x14ac:dyDescent="0.25">
      <c r="A45" t="s">
        <v>96</v>
      </c>
    </row>
    <row r="46" spans="1:3" x14ac:dyDescent="0.25">
      <c r="A46" t="s">
        <v>97</v>
      </c>
      <c r="B46">
        <v>5081843</v>
      </c>
      <c r="C46">
        <v>5081843</v>
      </c>
    </row>
    <row r="47" spans="1:3" x14ac:dyDescent="0.25">
      <c r="A47" t="s">
        <v>98</v>
      </c>
      <c r="B47">
        <v>4169708</v>
      </c>
      <c r="C47">
        <v>4169708</v>
      </c>
    </row>
    <row r="48" spans="1:3" x14ac:dyDescent="0.25">
      <c r="A48" t="s">
        <v>99</v>
      </c>
      <c r="B48">
        <v>646097</v>
      </c>
      <c r="C48">
        <v>646097</v>
      </c>
    </row>
    <row r="49" spans="1:3" x14ac:dyDescent="0.25">
      <c r="A49" t="s">
        <v>100</v>
      </c>
    </row>
    <row r="50" spans="1:3" x14ac:dyDescent="0.25">
      <c r="A50" t="s">
        <v>101</v>
      </c>
      <c r="B50">
        <v>266039</v>
      </c>
      <c r="C50">
        <v>266039</v>
      </c>
    </row>
    <row r="51" spans="1:3" x14ac:dyDescent="0.25">
      <c r="A51" t="s">
        <v>102</v>
      </c>
    </row>
    <row r="52" spans="1:3" x14ac:dyDescent="0.25">
      <c r="A52" t="s">
        <v>103</v>
      </c>
      <c r="B52">
        <v>0</v>
      </c>
      <c r="C52">
        <v>0</v>
      </c>
    </row>
    <row r="53" spans="1:3" x14ac:dyDescent="0.25">
      <c r="A53" t="s">
        <v>104</v>
      </c>
      <c r="B53">
        <v>0</v>
      </c>
      <c r="C53">
        <v>0</v>
      </c>
    </row>
    <row r="54" spans="1:3" x14ac:dyDescent="0.25">
      <c r="A54" t="s">
        <v>105</v>
      </c>
      <c r="B54">
        <v>0</v>
      </c>
      <c r="C54">
        <v>0</v>
      </c>
    </row>
    <row r="55" spans="1:3" x14ac:dyDescent="0.25">
      <c r="A55" t="s">
        <v>106</v>
      </c>
    </row>
    <row r="56" spans="1:3" x14ac:dyDescent="0.25">
      <c r="A56" t="s">
        <v>107</v>
      </c>
      <c r="B56">
        <v>0</v>
      </c>
      <c r="C56">
        <v>0</v>
      </c>
    </row>
    <row r="57" spans="1:3" x14ac:dyDescent="0.25">
      <c r="A57" t="s">
        <v>108</v>
      </c>
    </row>
    <row r="58" spans="1:3" x14ac:dyDescent="0.25">
      <c r="A58" t="s">
        <v>109</v>
      </c>
      <c r="B58">
        <v>0</v>
      </c>
      <c r="C58">
        <v>0</v>
      </c>
    </row>
    <row r="59" spans="1:3" x14ac:dyDescent="0.25">
      <c r="A59" t="s">
        <v>110</v>
      </c>
      <c r="B59">
        <v>0</v>
      </c>
      <c r="C59">
        <v>0</v>
      </c>
    </row>
    <row r="60" spans="1:3" x14ac:dyDescent="0.25">
      <c r="A60" t="s">
        <v>111</v>
      </c>
      <c r="B60">
        <v>0</v>
      </c>
      <c r="C60">
        <v>0</v>
      </c>
    </row>
    <row r="61" spans="1:3" x14ac:dyDescent="0.25">
      <c r="A61" t="s">
        <v>112</v>
      </c>
    </row>
    <row r="62" spans="1:3" x14ac:dyDescent="0.25">
      <c r="A62" t="s">
        <v>113</v>
      </c>
      <c r="B62">
        <v>0</v>
      </c>
      <c r="C62">
        <v>0</v>
      </c>
    </row>
    <row r="63" spans="1:3" x14ac:dyDescent="0.25">
      <c r="A63" t="s">
        <v>114</v>
      </c>
    </row>
    <row r="64" spans="1:3" x14ac:dyDescent="0.25">
      <c r="A64" t="s">
        <v>115</v>
      </c>
      <c r="B64">
        <v>32.840000000000003</v>
      </c>
    </row>
    <row r="65" spans="1:3" x14ac:dyDescent="0.25">
      <c r="A65" t="s">
        <v>116</v>
      </c>
      <c r="B65">
        <v>28.95</v>
      </c>
    </row>
    <row r="66" spans="1:3" x14ac:dyDescent="0.25">
      <c r="A66" t="s">
        <v>117</v>
      </c>
      <c r="B66">
        <v>31.54</v>
      </c>
    </row>
    <row r="67" spans="1:3" x14ac:dyDescent="0.25">
      <c r="A67" t="s">
        <v>118</v>
      </c>
      <c r="B67">
        <v>6666.06</v>
      </c>
    </row>
    <row r="68" spans="1:3" x14ac:dyDescent="0.25">
      <c r="A68" t="s">
        <v>119</v>
      </c>
      <c r="B68">
        <v>2953.24</v>
      </c>
    </row>
    <row r="69" spans="1:3" x14ac:dyDescent="0.25">
      <c r="A69" t="s">
        <v>120</v>
      </c>
      <c r="B69">
        <v>9619.31</v>
      </c>
    </row>
    <row r="70" spans="1:3" x14ac:dyDescent="0.25">
      <c r="A70" t="s">
        <v>121</v>
      </c>
      <c r="B70">
        <v>54504475</v>
      </c>
      <c r="C70">
        <v>52911540</v>
      </c>
    </row>
    <row r="71" spans="1:3" x14ac:dyDescent="0.25">
      <c r="A71" t="s">
        <v>122</v>
      </c>
      <c r="B71">
        <v>34894264</v>
      </c>
      <c r="C71">
        <v>33749903</v>
      </c>
    </row>
    <row r="72" spans="1:3" x14ac:dyDescent="0.25">
      <c r="A72" t="s">
        <v>541</v>
      </c>
      <c r="B72">
        <v>33095218</v>
      </c>
      <c r="C72">
        <v>31914338</v>
      </c>
    </row>
    <row r="73" spans="1:3" x14ac:dyDescent="0.25">
      <c r="A73" t="s">
        <v>542</v>
      </c>
      <c r="B73">
        <v>1169151</v>
      </c>
      <c r="C73">
        <v>1204276</v>
      </c>
    </row>
    <row r="74" spans="1:3" x14ac:dyDescent="0.25">
      <c r="A74" t="s">
        <v>543</v>
      </c>
      <c r="B74">
        <v>629894</v>
      </c>
      <c r="C74">
        <v>631289</v>
      </c>
    </row>
    <row r="75" spans="1:3" x14ac:dyDescent="0.25">
      <c r="A75" t="s">
        <v>544</v>
      </c>
    </row>
    <row r="76" spans="1:3" x14ac:dyDescent="0.25">
      <c r="A76" t="s">
        <v>545</v>
      </c>
      <c r="B76">
        <v>0</v>
      </c>
      <c r="C76">
        <v>0</v>
      </c>
    </row>
    <row r="77" spans="1:3" x14ac:dyDescent="0.25">
      <c r="A77" t="s">
        <v>546</v>
      </c>
    </row>
    <row r="78" spans="1:3" x14ac:dyDescent="0.25">
      <c r="A78" t="s">
        <v>123</v>
      </c>
      <c r="B78">
        <v>19610212</v>
      </c>
      <c r="C78">
        <v>19161636</v>
      </c>
    </row>
    <row r="79" spans="1:3" x14ac:dyDescent="0.25">
      <c r="A79" t="s">
        <v>547</v>
      </c>
      <c r="B79">
        <v>15860285</v>
      </c>
      <c r="C79">
        <v>15416875</v>
      </c>
    </row>
    <row r="80" spans="1:3" x14ac:dyDescent="0.25">
      <c r="A80" t="s">
        <v>548</v>
      </c>
      <c r="B80">
        <v>3259320</v>
      </c>
      <c r="C80">
        <v>3260780</v>
      </c>
    </row>
    <row r="81" spans="1:3" x14ac:dyDescent="0.25">
      <c r="A81" t="s">
        <v>549</v>
      </c>
    </row>
    <row r="82" spans="1:3" x14ac:dyDescent="0.25">
      <c r="A82" t="s">
        <v>550</v>
      </c>
      <c r="B82">
        <v>490607</v>
      </c>
      <c r="C82">
        <v>483982</v>
      </c>
    </row>
    <row r="83" spans="1:3" x14ac:dyDescent="0.25">
      <c r="A83" t="s">
        <v>551</v>
      </c>
    </row>
    <row r="84" spans="1:3" x14ac:dyDescent="0.25">
      <c r="A84" t="s">
        <v>132</v>
      </c>
      <c r="B84">
        <v>50355087</v>
      </c>
      <c r="C84">
        <v>48910101</v>
      </c>
    </row>
    <row r="85" spans="1:3" x14ac:dyDescent="0.25">
      <c r="A85" t="s">
        <v>133</v>
      </c>
      <c r="B85">
        <v>30744876</v>
      </c>
      <c r="C85">
        <v>29748465</v>
      </c>
    </row>
    <row r="86" spans="1:3" x14ac:dyDescent="0.25">
      <c r="A86" t="s">
        <v>586</v>
      </c>
      <c r="B86">
        <v>29054871</v>
      </c>
      <c r="C86">
        <v>28023480</v>
      </c>
    </row>
    <row r="87" spans="1:3" x14ac:dyDescent="0.25">
      <c r="A87" t="s">
        <v>587</v>
      </c>
      <c r="B87">
        <v>1133780</v>
      </c>
      <c r="C87">
        <v>1168178</v>
      </c>
    </row>
    <row r="88" spans="1:3" x14ac:dyDescent="0.25">
      <c r="A88" t="s">
        <v>588</v>
      </c>
      <c r="B88">
        <v>556225</v>
      </c>
      <c r="C88">
        <v>556807</v>
      </c>
    </row>
    <row r="89" spans="1:3" x14ac:dyDescent="0.25">
      <c r="A89" t="s">
        <v>589</v>
      </c>
    </row>
    <row r="90" spans="1:3" x14ac:dyDescent="0.25">
      <c r="A90" t="s">
        <v>590</v>
      </c>
      <c r="B90">
        <v>0</v>
      </c>
      <c r="C90">
        <v>0</v>
      </c>
    </row>
    <row r="91" spans="1:3" x14ac:dyDescent="0.25">
      <c r="A91" t="s">
        <v>591</v>
      </c>
    </row>
    <row r="92" spans="1:3" x14ac:dyDescent="0.25">
      <c r="A92" t="s">
        <v>134</v>
      </c>
      <c r="B92">
        <v>19610212</v>
      </c>
      <c r="C92">
        <v>19161636</v>
      </c>
    </row>
    <row r="93" spans="1:3" x14ac:dyDescent="0.25">
      <c r="A93" t="s">
        <v>592</v>
      </c>
      <c r="B93">
        <v>15860285</v>
      </c>
      <c r="C93">
        <v>15416875</v>
      </c>
    </row>
    <row r="94" spans="1:3" x14ac:dyDescent="0.25">
      <c r="A94" t="s">
        <v>593</v>
      </c>
      <c r="B94">
        <v>3259320</v>
      </c>
      <c r="C94">
        <v>3260780</v>
      </c>
    </row>
    <row r="95" spans="1:3" x14ac:dyDescent="0.25">
      <c r="A95" t="s">
        <v>594</v>
      </c>
    </row>
    <row r="96" spans="1:3" x14ac:dyDescent="0.25">
      <c r="A96" t="s">
        <v>595</v>
      </c>
      <c r="B96">
        <v>490607</v>
      </c>
      <c r="C96">
        <v>483982</v>
      </c>
    </row>
    <row r="97" spans="1:3" x14ac:dyDescent="0.25">
      <c r="A97" t="s">
        <v>596</v>
      </c>
    </row>
    <row r="98" spans="1:3" x14ac:dyDescent="0.25">
      <c r="A98" t="s">
        <v>135</v>
      </c>
      <c r="B98">
        <v>678419</v>
      </c>
      <c r="C98">
        <v>650463</v>
      </c>
    </row>
    <row r="99" spans="1:3" x14ac:dyDescent="0.25">
      <c r="A99" t="s">
        <v>597</v>
      </c>
      <c r="B99">
        <v>797306</v>
      </c>
      <c r="C99">
        <v>768084</v>
      </c>
    </row>
    <row r="100" spans="1:3" x14ac:dyDescent="0.25">
      <c r="A100" t="s">
        <v>598</v>
      </c>
      <c r="B100">
        <v>13414</v>
      </c>
      <c r="C100">
        <v>13599</v>
      </c>
    </row>
    <row r="101" spans="1:3" x14ac:dyDescent="0.25">
      <c r="A101" t="s">
        <v>599</v>
      </c>
      <c r="B101">
        <v>14066</v>
      </c>
      <c r="C101">
        <v>14106</v>
      </c>
    </row>
    <row r="102" spans="1:3" x14ac:dyDescent="0.25">
      <c r="A102" t="s">
        <v>600</v>
      </c>
    </row>
    <row r="103" spans="1:3" x14ac:dyDescent="0.25">
      <c r="A103" t="s">
        <v>601</v>
      </c>
      <c r="B103">
        <v>-146367</v>
      </c>
      <c r="C103">
        <v>-145326</v>
      </c>
    </row>
    <row r="104" spans="1:3" x14ac:dyDescent="0.25">
      <c r="A104" t="s">
        <v>602</v>
      </c>
    </row>
    <row r="105" spans="1:3" x14ac:dyDescent="0.25">
      <c r="A105" t="s">
        <v>136</v>
      </c>
      <c r="B105">
        <v>48026298</v>
      </c>
      <c r="C105">
        <v>46663565</v>
      </c>
    </row>
    <row r="106" spans="1:3" x14ac:dyDescent="0.25">
      <c r="A106" t="s">
        <v>137</v>
      </c>
      <c r="B106">
        <v>28416086</v>
      </c>
      <c r="C106">
        <v>27501929</v>
      </c>
    </row>
    <row r="107" spans="1:3" x14ac:dyDescent="0.25">
      <c r="A107" t="s">
        <v>603</v>
      </c>
      <c r="B107">
        <v>26788143</v>
      </c>
      <c r="C107">
        <v>25839828</v>
      </c>
    </row>
    <row r="108" spans="1:3" x14ac:dyDescent="0.25">
      <c r="A108" t="s">
        <v>604</v>
      </c>
      <c r="B108">
        <v>1113845</v>
      </c>
      <c r="C108">
        <v>1147761</v>
      </c>
    </row>
    <row r="109" spans="1:3" x14ac:dyDescent="0.25">
      <c r="A109" t="s">
        <v>605</v>
      </c>
      <c r="B109">
        <v>514098</v>
      </c>
      <c r="C109">
        <v>514340</v>
      </c>
    </row>
    <row r="110" spans="1:3" x14ac:dyDescent="0.25">
      <c r="A110" t="s">
        <v>606</v>
      </c>
    </row>
    <row r="111" spans="1:3" x14ac:dyDescent="0.25">
      <c r="A111" t="s">
        <v>607</v>
      </c>
      <c r="B111">
        <v>0</v>
      </c>
      <c r="C111">
        <v>0</v>
      </c>
    </row>
    <row r="112" spans="1:3" x14ac:dyDescent="0.25">
      <c r="A112" t="s">
        <v>608</v>
      </c>
    </row>
    <row r="113" spans="1:3" x14ac:dyDescent="0.25">
      <c r="A113" t="s">
        <v>138</v>
      </c>
      <c r="B113">
        <v>19610212</v>
      </c>
      <c r="C113">
        <v>19161636</v>
      </c>
    </row>
    <row r="114" spans="1:3" x14ac:dyDescent="0.25">
      <c r="A114" t="s">
        <v>609</v>
      </c>
      <c r="B114">
        <v>15860285</v>
      </c>
      <c r="C114">
        <v>15416875</v>
      </c>
    </row>
    <row r="115" spans="1:3" x14ac:dyDescent="0.25">
      <c r="A115" t="s">
        <v>610</v>
      </c>
      <c r="B115">
        <v>3259320</v>
      </c>
      <c r="C115">
        <v>3260780</v>
      </c>
    </row>
    <row r="116" spans="1:3" x14ac:dyDescent="0.25">
      <c r="A116" t="s">
        <v>611</v>
      </c>
    </row>
    <row r="117" spans="1:3" x14ac:dyDescent="0.25">
      <c r="A117" t="s">
        <v>612</v>
      </c>
      <c r="B117">
        <v>490607</v>
      </c>
      <c r="C117">
        <v>483982</v>
      </c>
    </row>
    <row r="118" spans="1:3" x14ac:dyDescent="0.25">
      <c r="A118" t="s">
        <v>613</v>
      </c>
    </row>
    <row r="119" spans="1:3" x14ac:dyDescent="0.25">
      <c r="A119" t="s">
        <v>139</v>
      </c>
      <c r="B119">
        <v>1015076</v>
      </c>
      <c r="C119">
        <v>975396</v>
      </c>
    </row>
    <row r="120" spans="1:3" x14ac:dyDescent="0.25">
      <c r="A120" t="s">
        <v>614</v>
      </c>
      <c r="B120">
        <v>1121484</v>
      </c>
      <c r="C120">
        <v>1080400</v>
      </c>
    </row>
    <row r="121" spans="1:3" x14ac:dyDescent="0.25">
      <c r="A121" t="s">
        <v>615</v>
      </c>
      <c r="B121">
        <v>20080</v>
      </c>
      <c r="C121">
        <v>20384</v>
      </c>
    </row>
    <row r="122" spans="1:3" x14ac:dyDescent="0.25">
      <c r="A122" t="s">
        <v>616</v>
      </c>
      <c r="B122">
        <v>19880</v>
      </c>
      <c r="C122">
        <v>19937</v>
      </c>
    </row>
    <row r="123" spans="1:3" x14ac:dyDescent="0.25">
      <c r="A123" t="s">
        <v>617</v>
      </c>
    </row>
    <row r="124" spans="1:3" x14ac:dyDescent="0.25">
      <c r="A124" t="s">
        <v>618</v>
      </c>
      <c r="B124">
        <v>-146367</v>
      </c>
      <c r="C124">
        <v>-145326</v>
      </c>
    </row>
    <row r="125" spans="1:3" x14ac:dyDescent="0.25">
      <c r="A125" t="s">
        <v>619</v>
      </c>
    </row>
    <row r="126" spans="1:3" x14ac:dyDescent="0.25">
      <c r="A126" t="s">
        <v>140</v>
      </c>
      <c r="B126">
        <v>5268903</v>
      </c>
      <c r="C126">
        <v>5267111</v>
      </c>
    </row>
    <row r="127" spans="1:3" x14ac:dyDescent="0.25">
      <c r="A127" t="s">
        <v>141</v>
      </c>
      <c r="B127">
        <v>833519</v>
      </c>
      <c r="C127">
        <v>831731</v>
      </c>
    </row>
    <row r="128" spans="1:3" x14ac:dyDescent="0.25">
      <c r="A128" t="s">
        <v>620</v>
      </c>
      <c r="B128">
        <v>830721</v>
      </c>
      <c r="C128">
        <v>828895</v>
      </c>
    </row>
    <row r="129" spans="1:3" x14ac:dyDescent="0.25">
      <c r="A129" t="s">
        <v>621</v>
      </c>
      <c r="B129">
        <v>0</v>
      </c>
      <c r="C129">
        <v>0</v>
      </c>
    </row>
    <row r="130" spans="1:3" x14ac:dyDescent="0.25">
      <c r="A130" t="s">
        <v>622</v>
      </c>
      <c r="B130">
        <v>2798</v>
      </c>
      <c r="C130">
        <v>2836</v>
      </c>
    </row>
    <row r="131" spans="1:3" x14ac:dyDescent="0.25">
      <c r="A131" t="s">
        <v>623</v>
      </c>
    </row>
    <row r="132" spans="1:3" x14ac:dyDescent="0.25">
      <c r="A132" t="s">
        <v>624</v>
      </c>
      <c r="B132">
        <v>0</v>
      </c>
      <c r="C132">
        <v>0</v>
      </c>
    </row>
    <row r="133" spans="1:3" x14ac:dyDescent="0.25">
      <c r="A133" t="s">
        <v>625</v>
      </c>
    </row>
    <row r="134" spans="1:3" x14ac:dyDescent="0.25">
      <c r="A134" t="s">
        <v>142</v>
      </c>
      <c r="B134">
        <v>4435384</v>
      </c>
      <c r="C134">
        <v>4435380</v>
      </c>
    </row>
    <row r="135" spans="1:3" x14ac:dyDescent="0.25">
      <c r="A135" t="s">
        <v>626</v>
      </c>
      <c r="B135">
        <v>4169345</v>
      </c>
      <c r="C135">
        <v>4169341</v>
      </c>
    </row>
    <row r="136" spans="1:3" x14ac:dyDescent="0.25">
      <c r="A136" t="s">
        <v>627</v>
      </c>
      <c r="B136">
        <v>0</v>
      </c>
      <c r="C136">
        <v>0</v>
      </c>
    </row>
    <row r="137" spans="1:3" x14ac:dyDescent="0.25">
      <c r="A137" t="s">
        <v>628</v>
      </c>
    </row>
    <row r="138" spans="1:3" x14ac:dyDescent="0.25">
      <c r="A138" t="s">
        <v>629</v>
      </c>
      <c r="B138">
        <v>266039</v>
      </c>
      <c r="C138">
        <v>266039</v>
      </c>
    </row>
    <row r="139" spans="1:3" x14ac:dyDescent="0.25">
      <c r="A139" t="s">
        <v>630</v>
      </c>
    </row>
    <row r="140" spans="1:3" x14ac:dyDescent="0.25">
      <c r="A140" t="s">
        <v>144</v>
      </c>
      <c r="B140">
        <v>28769694</v>
      </c>
      <c r="C140">
        <v>28065439</v>
      </c>
    </row>
    <row r="141" spans="1:3" x14ac:dyDescent="0.25">
      <c r="A141" t="s">
        <v>145</v>
      </c>
      <c r="B141">
        <v>1280</v>
      </c>
      <c r="C141">
        <v>1248</v>
      </c>
    </row>
    <row r="142" spans="1:3" x14ac:dyDescent="0.25">
      <c r="A142" t="s">
        <v>146</v>
      </c>
      <c r="B142">
        <v>740036</v>
      </c>
      <c r="C142">
        <v>718206</v>
      </c>
    </row>
    <row r="143" spans="1:3" x14ac:dyDescent="0.25">
      <c r="A143" t="s">
        <v>637</v>
      </c>
      <c r="B143">
        <v>0</v>
      </c>
      <c r="C143">
        <v>0</v>
      </c>
    </row>
    <row r="144" spans="1:3" x14ac:dyDescent="0.25">
      <c r="A144" t="s">
        <v>638</v>
      </c>
      <c r="B144">
        <v>0</v>
      </c>
      <c r="C144">
        <v>0</v>
      </c>
    </row>
    <row r="145" spans="1:3" x14ac:dyDescent="0.25">
      <c r="A145" t="s">
        <v>639</v>
      </c>
      <c r="B145">
        <v>0</v>
      </c>
      <c r="C145">
        <v>0</v>
      </c>
    </row>
    <row r="146" spans="1:3" x14ac:dyDescent="0.25">
      <c r="A146" t="s">
        <v>640</v>
      </c>
    </row>
    <row r="147" spans="1:3" x14ac:dyDescent="0.25">
      <c r="A147" t="s">
        <v>641</v>
      </c>
      <c r="B147">
        <v>740036</v>
      </c>
      <c r="C147">
        <v>718206</v>
      </c>
    </row>
    <row r="148" spans="1:3" x14ac:dyDescent="0.25">
      <c r="A148" t="s">
        <v>642</v>
      </c>
    </row>
    <row r="149" spans="1:3" x14ac:dyDescent="0.25">
      <c r="A149" t="s">
        <v>286</v>
      </c>
      <c r="B149">
        <v>48026298</v>
      </c>
      <c r="C149">
        <v>46663565</v>
      </c>
    </row>
    <row r="150" spans="1:3" x14ac:dyDescent="0.25">
      <c r="A150" t="s">
        <v>287</v>
      </c>
      <c r="B150">
        <v>26621052</v>
      </c>
      <c r="C150">
        <v>25905247</v>
      </c>
    </row>
    <row r="151" spans="1:3" x14ac:dyDescent="0.25">
      <c r="A151" t="s">
        <v>288</v>
      </c>
      <c r="B151">
        <v>21478942</v>
      </c>
      <c r="C151">
        <v>20689959</v>
      </c>
    </row>
    <row r="152" spans="1:3" x14ac:dyDescent="0.25">
      <c r="A152" t="s">
        <v>289</v>
      </c>
      <c r="B152">
        <v>4694665</v>
      </c>
      <c r="C152">
        <v>4769769</v>
      </c>
    </row>
    <row r="153" spans="1:3" x14ac:dyDescent="0.25">
      <c r="A153" t="s">
        <v>290</v>
      </c>
      <c r="B153">
        <v>447445</v>
      </c>
      <c r="C153">
        <v>445519</v>
      </c>
    </row>
    <row r="154" spans="1:3" x14ac:dyDescent="0.25">
      <c r="A154" t="s">
        <v>291</v>
      </c>
    </row>
    <row r="155" spans="1:3" x14ac:dyDescent="0.25">
      <c r="A155" t="s">
        <v>292</v>
      </c>
      <c r="B155">
        <v>0</v>
      </c>
      <c r="C155">
        <v>0</v>
      </c>
    </row>
    <row r="156" spans="1:3" x14ac:dyDescent="0.25">
      <c r="A156" t="s">
        <v>293</v>
      </c>
    </row>
    <row r="157" spans="1:3" x14ac:dyDescent="0.25">
      <c r="A157" t="s">
        <v>294</v>
      </c>
      <c r="B157">
        <v>28416086</v>
      </c>
      <c r="C157">
        <v>27501929</v>
      </c>
    </row>
    <row r="158" spans="1:3" x14ac:dyDescent="0.25">
      <c r="A158" t="s">
        <v>295</v>
      </c>
      <c r="B158">
        <v>26788143</v>
      </c>
      <c r="C158">
        <v>25839828</v>
      </c>
    </row>
    <row r="159" spans="1:3" x14ac:dyDescent="0.25">
      <c r="A159" t="s">
        <v>296</v>
      </c>
      <c r="B159">
        <v>1113845</v>
      </c>
      <c r="C159">
        <v>1147761</v>
      </c>
    </row>
    <row r="160" spans="1:3" x14ac:dyDescent="0.25">
      <c r="A160" t="s">
        <v>297</v>
      </c>
      <c r="B160">
        <v>514098</v>
      </c>
      <c r="C160">
        <v>514340</v>
      </c>
    </row>
    <row r="161" spans="1:3" x14ac:dyDescent="0.25">
      <c r="A161" t="s">
        <v>298</v>
      </c>
    </row>
    <row r="162" spans="1:3" x14ac:dyDescent="0.25">
      <c r="A162" t="s">
        <v>299</v>
      </c>
      <c r="B162">
        <v>0</v>
      </c>
      <c r="C162">
        <v>0</v>
      </c>
    </row>
    <row r="163" spans="1:3" x14ac:dyDescent="0.25">
      <c r="A163" t="s">
        <v>300</v>
      </c>
    </row>
    <row r="164" spans="1:3" x14ac:dyDescent="0.25">
      <c r="A164" t="s">
        <v>301</v>
      </c>
      <c r="B164">
        <v>19610212</v>
      </c>
      <c r="C164">
        <v>19161636</v>
      </c>
    </row>
    <row r="165" spans="1:3" x14ac:dyDescent="0.25">
      <c r="A165" t="s">
        <v>302</v>
      </c>
      <c r="B165">
        <v>15860285</v>
      </c>
      <c r="C165">
        <v>15416875</v>
      </c>
    </row>
    <row r="166" spans="1:3" x14ac:dyDescent="0.25">
      <c r="A166" t="s">
        <v>303</v>
      </c>
      <c r="B166">
        <v>3259320</v>
      </c>
      <c r="C166">
        <v>3260780</v>
      </c>
    </row>
    <row r="167" spans="1:3" x14ac:dyDescent="0.25">
      <c r="A167" t="s">
        <v>304</v>
      </c>
    </row>
    <row r="168" spans="1:3" x14ac:dyDescent="0.25">
      <c r="A168" t="s">
        <v>305</v>
      </c>
      <c r="B168">
        <v>490607</v>
      </c>
      <c r="C168">
        <v>483982</v>
      </c>
    </row>
    <row r="169" spans="1:3" x14ac:dyDescent="0.25">
      <c r="A169" t="s">
        <v>306</v>
      </c>
    </row>
    <row r="170" spans="1:3" x14ac:dyDescent="0.25">
      <c r="A170" t="s">
        <v>307</v>
      </c>
      <c r="B170">
        <v>1015076</v>
      </c>
      <c r="C170">
        <v>975396</v>
      </c>
    </row>
    <row r="171" spans="1:3" x14ac:dyDescent="0.25">
      <c r="A171" t="s">
        <v>308</v>
      </c>
      <c r="B171">
        <v>1121484</v>
      </c>
      <c r="C171">
        <v>1080400</v>
      </c>
    </row>
    <row r="172" spans="1:3" x14ac:dyDescent="0.25">
      <c r="A172" t="s">
        <v>309</v>
      </c>
      <c r="B172">
        <v>20080</v>
      </c>
      <c r="C172">
        <v>20384</v>
      </c>
    </row>
    <row r="173" spans="1:3" x14ac:dyDescent="0.25">
      <c r="A173" t="s">
        <v>310</v>
      </c>
      <c r="B173">
        <v>19880</v>
      </c>
      <c r="C173">
        <v>19937</v>
      </c>
    </row>
    <row r="174" spans="1:3" x14ac:dyDescent="0.25">
      <c r="A174" t="s">
        <v>311</v>
      </c>
    </row>
    <row r="175" spans="1:3" x14ac:dyDescent="0.25">
      <c r="A175" t="s">
        <v>312</v>
      </c>
      <c r="B175">
        <v>-146367</v>
      </c>
      <c r="C175">
        <v>-145326</v>
      </c>
    </row>
    <row r="176" spans="1:3" x14ac:dyDescent="0.25">
      <c r="A176" t="s">
        <v>313</v>
      </c>
    </row>
    <row r="177" spans="1:2" x14ac:dyDescent="0.25">
      <c r="A177" t="s">
        <v>155</v>
      </c>
      <c r="B177">
        <v>59157726</v>
      </c>
    </row>
    <row r="178" spans="1:2" x14ac:dyDescent="0.25">
      <c r="A178" t="s">
        <v>156</v>
      </c>
      <c r="B178">
        <v>36834872</v>
      </c>
    </row>
    <row r="179" spans="1:2" x14ac:dyDescent="0.25">
      <c r="A179" t="s">
        <v>451</v>
      </c>
      <c r="B179">
        <v>33985275</v>
      </c>
    </row>
    <row r="180" spans="1:2" x14ac:dyDescent="0.25">
      <c r="A180" t="s">
        <v>452</v>
      </c>
      <c r="B180">
        <v>2045602</v>
      </c>
    </row>
    <row r="181" spans="1:2" x14ac:dyDescent="0.25">
      <c r="A181" t="s">
        <v>453</v>
      </c>
      <c r="B181">
        <v>803994</v>
      </c>
    </row>
    <row r="182" spans="1:2" x14ac:dyDescent="0.25">
      <c r="A182" t="s">
        <v>454</v>
      </c>
    </row>
    <row r="183" spans="1:2" x14ac:dyDescent="0.25">
      <c r="A183" t="s">
        <v>455</v>
      </c>
      <c r="B183">
        <v>0</v>
      </c>
    </row>
    <row r="184" spans="1:2" x14ac:dyDescent="0.25">
      <c r="A184" t="s">
        <v>456</v>
      </c>
    </row>
    <row r="185" spans="1:2" x14ac:dyDescent="0.25">
      <c r="A185" t="s">
        <v>157</v>
      </c>
      <c r="B185">
        <v>22322854</v>
      </c>
    </row>
    <row r="186" spans="1:2" x14ac:dyDescent="0.25">
      <c r="A186" t="s">
        <v>158</v>
      </c>
      <c r="B186">
        <v>16818094</v>
      </c>
    </row>
    <row r="187" spans="1:2" x14ac:dyDescent="0.25">
      <c r="A187" t="s">
        <v>159</v>
      </c>
      <c r="B187">
        <v>5011150</v>
      </c>
    </row>
    <row r="188" spans="1:2" x14ac:dyDescent="0.25">
      <c r="A188" t="s">
        <v>160</v>
      </c>
    </row>
    <row r="189" spans="1:2" x14ac:dyDescent="0.25">
      <c r="A189" t="s">
        <v>161</v>
      </c>
      <c r="B189">
        <v>493610</v>
      </c>
    </row>
    <row r="190" spans="1:2" x14ac:dyDescent="0.25">
      <c r="A190" t="s">
        <v>162</v>
      </c>
    </row>
    <row r="191" spans="1:2" x14ac:dyDescent="0.25">
      <c r="A191" t="s">
        <v>163</v>
      </c>
      <c r="B191">
        <v>821568</v>
      </c>
    </row>
    <row r="192" spans="1:2" x14ac:dyDescent="0.25">
      <c r="A192" t="s">
        <v>457</v>
      </c>
      <c r="B192">
        <v>924971</v>
      </c>
    </row>
    <row r="193" spans="1:2" x14ac:dyDescent="0.25">
      <c r="A193" t="s">
        <v>458</v>
      </c>
      <c r="B193">
        <v>22749</v>
      </c>
    </row>
    <row r="194" spans="1:2" x14ac:dyDescent="0.25">
      <c r="A194" t="s">
        <v>459</v>
      </c>
      <c r="B194">
        <v>20681</v>
      </c>
    </row>
    <row r="195" spans="1:2" x14ac:dyDescent="0.25">
      <c r="A195" t="s">
        <v>460</v>
      </c>
    </row>
    <row r="196" spans="1:2" x14ac:dyDescent="0.25">
      <c r="A196" t="s">
        <v>461</v>
      </c>
      <c r="B196">
        <v>-146834</v>
      </c>
    </row>
    <row r="197" spans="1:2" x14ac:dyDescent="0.25">
      <c r="A197" t="s">
        <v>462</v>
      </c>
    </row>
    <row r="198" spans="1:2" x14ac:dyDescent="0.25">
      <c r="A198" t="s">
        <v>174</v>
      </c>
      <c r="B198">
        <v>5268977</v>
      </c>
    </row>
    <row r="199" spans="1:2" x14ac:dyDescent="0.25">
      <c r="A199" t="s">
        <v>175</v>
      </c>
      <c r="B199">
        <v>833593</v>
      </c>
    </row>
    <row r="200" spans="1:2" x14ac:dyDescent="0.25">
      <c r="A200" t="s">
        <v>509</v>
      </c>
      <c r="B200">
        <v>830794</v>
      </c>
    </row>
    <row r="201" spans="1:2" x14ac:dyDescent="0.25">
      <c r="A201" t="s">
        <v>510</v>
      </c>
      <c r="B201">
        <v>0</v>
      </c>
    </row>
    <row r="202" spans="1:2" x14ac:dyDescent="0.25">
      <c r="A202" t="s">
        <v>511</v>
      </c>
      <c r="B202">
        <v>2799</v>
      </c>
    </row>
    <row r="203" spans="1:2" x14ac:dyDescent="0.25">
      <c r="A203" t="s">
        <v>512</v>
      </c>
    </row>
    <row r="204" spans="1:2" x14ac:dyDescent="0.25">
      <c r="A204" t="s">
        <v>513</v>
      </c>
      <c r="B204">
        <v>0</v>
      </c>
    </row>
    <row r="205" spans="1:2" x14ac:dyDescent="0.25">
      <c r="A205" t="s">
        <v>514</v>
      </c>
    </row>
    <row r="206" spans="1:2" x14ac:dyDescent="0.25">
      <c r="A206" t="s">
        <v>176</v>
      </c>
      <c r="B206">
        <v>4435384</v>
      </c>
    </row>
    <row r="207" spans="1:2" x14ac:dyDescent="0.25">
      <c r="A207" t="s">
        <v>177</v>
      </c>
      <c r="B207">
        <v>4169345</v>
      </c>
    </row>
    <row r="208" spans="1:2" x14ac:dyDescent="0.25">
      <c r="A208" t="s">
        <v>178</v>
      </c>
      <c r="B208">
        <v>0</v>
      </c>
    </row>
    <row r="209" spans="1:3" x14ac:dyDescent="0.25">
      <c r="A209" t="s">
        <v>179</v>
      </c>
    </row>
    <row r="210" spans="1:3" x14ac:dyDescent="0.25">
      <c r="A210" t="s">
        <v>180</v>
      </c>
      <c r="B210">
        <v>266039</v>
      </c>
    </row>
    <row r="211" spans="1:3" x14ac:dyDescent="0.25">
      <c r="A211" t="s">
        <v>181</v>
      </c>
    </row>
    <row r="212" spans="1:3" x14ac:dyDescent="0.25">
      <c r="A212" t="s">
        <v>515</v>
      </c>
      <c r="B212">
        <v>4.2500000000000003E-2</v>
      </c>
    </row>
    <row r="213" spans="1:3" x14ac:dyDescent="0.25">
      <c r="A213" t="s">
        <v>516</v>
      </c>
      <c r="B213">
        <v>-0.95079999999999998</v>
      </c>
    </row>
    <row r="214" spans="1:3" x14ac:dyDescent="0.25">
      <c r="A214" t="s">
        <v>517</v>
      </c>
      <c r="B214">
        <v>0.45179999999999998</v>
      </c>
    </row>
    <row r="215" spans="1:3" x14ac:dyDescent="0.25">
      <c r="A215" t="s">
        <v>182</v>
      </c>
      <c r="B215" s="76" t="s">
        <v>795</v>
      </c>
      <c r="C215" s="76" t="s">
        <v>796</v>
      </c>
    </row>
    <row r="216" spans="1:3" x14ac:dyDescent="0.25">
      <c r="A216" t="s">
        <v>183</v>
      </c>
      <c r="B216" s="76" t="s">
        <v>795</v>
      </c>
      <c r="C216" s="76" t="s">
        <v>796</v>
      </c>
    </row>
    <row r="217" spans="1:3" x14ac:dyDescent="0.25">
      <c r="A217" t="s">
        <v>185</v>
      </c>
      <c r="B217" s="76" t="s">
        <v>797</v>
      </c>
      <c r="C217" s="76" t="s">
        <v>798</v>
      </c>
    </row>
    <row r="218" spans="1:3" x14ac:dyDescent="0.25">
      <c r="A218" t="s">
        <v>186</v>
      </c>
      <c r="B218" s="76" t="s">
        <v>799</v>
      </c>
      <c r="C218" s="76" t="s">
        <v>799</v>
      </c>
    </row>
    <row r="219" spans="1:3" x14ac:dyDescent="0.25">
      <c r="A219" t="s">
        <v>187</v>
      </c>
      <c r="B219" s="76" t="s">
        <v>800</v>
      </c>
      <c r="C219" t="str">
        <f>B219</f>
        <v>Valuation Data</v>
      </c>
    </row>
    <row r="220" spans="1:3" x14ac:dyDescent="0.25">
      <c r="A220" t="s">
        <v>188</v>
      </c>
      <c r="B220" t="s">
        <v>189</v>
      </c>
      <c r="C220" t="s">
        <v>189</v>
      </c>
    </row>
    <row r="221" spans="1:3" x14ac:dyDescent="0.25">
      <c r="A221" t="s">
        <v>193</v>
      </c>
      <c r="B221">
        <v>0.04</v>
      </c>
      <c r="C221">
        <v>0.04</v>
      </c>
    </row>
    <row r="222" spans="1:3" x14ac:dyDescent="0.25">
      <c r="A222" t="s">
        <v>199</v>
      </c>
      <c r="B222">
        <v>4.2500000000000003E-2</v>
      </c>
    </row>
    <row r="223" spans="1:3" x14ac:dyDescent="0.25">
      <c r="A223" t="s">
        <v>200</v>
      </c>
      <c r="B223">
        <v>0.04</v>
      </c>
    </row>
    <row r="224" spans="1:3" x14ac:dyDescent="0.25">
      <c r="A224" t="s">
        <v>527</v>
      </c>
      <c r="B224">
        <v>4.2500000000000003E-2</v>
      </c>
    </row>
    <row r="225" spans="1:2" x14ac:dyDescent="0.25">
      <c r="A225" t="s">
        <v>528</v>
      </c>
      <c r="B225">
        <v>6.7500000000000004E-2</v>
      </c>
    </row>
    <row r="227" spans="1:2" x14ac:dyDescent="0.25">
      <c r="A227" t="s">
        <v>529</v>
      </c>
    </row>
    <row r="228" spans="1:2" x14ac:dyDescent="0.25">
      <c r="A228" t="s">
        <v>198</v>
      </c>
    </row>
    <row r="230" spans="1:2" x14ac:dyDescent="0.25">
      <c r="A230" t="s">
        <v>530</v>
      </c>
    </row>
    <row r="231" spans="1:2" x14ac:dyDescent="0.25">
      <c r="A231" t="s">
        <v>655</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16"/>
  <dimension ref="A1:E205"/>
  <sheetViews>
    <sheetView workbookViewId="0">
      <pane xSplit="1" ySplit="5" topLeftCell="B179" activePane="bottomRight" state="frozen"/>
      <selection activeCell="F444" sqref="F444"/>
      <selection pane="topRight" activeCell="F444" sqref="F444"/>
      <selection pane="bottomLeft" activeCell="F444" sqref="F444"/>
      <selection pane="bottomRight" activeCell="A192" sqref="A192"/>
    </sheetView>
  </sheetViews>
  <sheetFormatPr defaultRowHeight="12.5" x14ac:dyDescent="0.25"/>
  <cols>
    <col min="1" max="1" width="42.81640625" customWidth="1"/>
    <col min="2" max="2" width="18.1796875" customWidth="1"/>
    <col min="3" max="5" width="14.1796875" customWidth="1"/>
  </cols>
  <sheetData>
    <row r="1" spans="1:5" x14ac:dyDescent="0.25">
      <c r="A1" s="76" t="s">
        <v>656</v>
      </c>
    </row>
    <row r="2" spans="1:5" x14ac:dyDescent="0.25">
      <c r="A2" t="s">
        <v>278</v>
      </c>
    </row>
    <row r="5" spans="1:5" ht="50" x14ac:dyDescent="0.25">
      <c r="A5" t="s">
        <v>59</v>
      </c>
      <c r="B5" s="169" t="s">
        <v>279</v>
      </c>
      <c r="C5" t="s">
        <v>280</v>
      </c>
      <c r="D5" t="s">
        <v>281</v>
      </c>
      <c r="E5" t="s">
        <v>282</v>
      </c>
    </row>
    <row r="6" spans="1:5" x14ac:dyDescent="0.25">
      <c r="A6" t="s">
        <v>283</v>
      </c>
      <c r="B6">
        <v>49</v>
      </c>
      <c r="C6">
        <v>49</v>
      </c>
      <c r="D6">
        <v>49</v>
      </c>
      <c r="E6">
        <v>49</v>
      </c>
    </row>
    <row r="7" spans="1:5" x14ac:dyDescent="0.25">
      <c r="A7" t="s">
        <v>60</v>
      </c>
      <c r="B7">
        <v>12495000</v>
      </c>
      <c r="C7">
        <v>12495000</v>
      </c>
      <c r="D7">
        <v>12495000</v>
      </c>
      <c r="E7">
        <v>12495000</v>
      </c>
    </row>
    <row r="8" spans="1:5" x14ac:dyDescent="0.25">
      <c r="A8" t="s">
        <v>284</v>
      </c>
      <c r="B8">
        <v>49.52</v>
      </c>
      <c r="C8">
        <v>49.52</v>
      </c>
      <c r="D8">
        <v>49.52</v>
      </c>
      <c r="E8">
        <v>49.52</v>
      </c>
    </row>
    <row r="9" spans="1:5" x14ac:dyDescent="0.25">
      <c r="A9" t="s">
        <v>61</v>
      </c>
      <c r="B9">
        <v>15.99</v>
      </c>
      <c r="C9">
        <v>15.99</v>
      </c>
      <c r="D9">
        <v>15.99</v>
      </c>
      <c r="E9">
        <v>15.99</v>
      </c>
    </row>
    <row r="10" spans="1:5" x14ac:dyDescent="0.25">
      <c r="A10" t="s">
        <v>62</v>
      </c>
      <c r="B10">
        <v>24.49</v>
      </c>
      <c r="C10">
        <v>24.49</v>
      </c>
      <c r="D10">
        <v>24.49</v>
      </c>
      <c r="E10">
        <v>24.49</v>
      </c>
    </row>
    <row r="11" spans="1:5" x14ac:dyDescent="0.25">
      <c r="A11" t="s">
        <v>63</v>
      </c>
      <c r="B11">
        <v>10.09</v>
      </c>
      <c r="C11">
        <v>10.09</v>
      </c>
      <c r="D11">
        <v>10.09</v>
      </c>
      <c r="E11">
        <v>10.09</v>
      </c>
    </row>
    <row r="12" spans="1:5" x14ac:dyDescent="0.25">
      <c r="A12" t="s">
        <v>64</v>
      </c>
      <c r="B12">
        <v>494.46</v>
      </c>
      <c r="C12">
        <v>494.46</v>
      </c>
      <c r="D12">
        <v>494.38</v>
      </c>
      <c r="E12">
        <v>494.38</v>
      </c>
    </row>
    <row r="13" spans="1:5" x14ac:dyDescent="0.25">
      <c r="A13" t="s">
        <v>285</v>
      </c>
    </row>
    <row r="14" spans="1:5" x14ac:dyDescent="0.25">
      <c r="A14" t="s">
        <v>65</v>
      </c>
      <c r="B14">
        <v>47</v>
      </c>
      <c r="C14">
        <v>47</v>
      </c>
      <c r="D14">
        <v>47</v>
      </c>
      <c r="E14">
        <v>47</v>
      </c>
    </row>
    <row r="15" spans="1:5" x14ac:dyDescent="0.25">
      <c r="A15" t="s">
        <v>66</v>
      </c>
      <c r="B15">
        <v>11985000</v>
      </c>
      <c r="C15">
        <v>11985000</v>
      </c>
      <c r="D15">
        <v>11985000</v>
      </c>
      <c r="E15">
        <v>11985000</v>
      </c>
    </row>
    <row r="16" spans="1:5" x14ac:dyDescent="0.25">
      <c r="A16" t="s">
        <v>67</v>
      </c>
      <c r="B16">
        <v>31</v>
      </c>
      <c r="C16">
        <v>31</v>
      </c>
      <c r="D16">
        <v>31</v>
      </c>
      <c r="E16">
        <v>31</v>
      </c>
    </row>
    <row r="17" spans="1:5" x14ac:dyDescent="0.25">
      <c r="A17" t="s">
        <v>68</v>
      </c>
      <c r="B17">
        <v>16</v>
      </c>
      <c r="C17">
        <v>16</v>
      </c>
      <c r="D17">
        <v>16</v>
      </c>
      <c r="E17">
        <v>16</v>
      </c>
    </row>
    <row r="18" spans="1:5" x14ac:dyDescent="0.25">
      <c r="A18" t="s">
        <v>69</v>
      </c>
      <c r="B18">
        <v>11</v>
      </c>
      <c r="C18">
        <v>11</v>
      </c>
      <c r="D18">
        <v>11</v>
      </c>
      <c r="E18">
        <v>11</v>
      </c>
    </row>
    <row r="19" spans="1:5" x14ac:dyDescent="0.25">
      <c r="A19" t="s">
        <v>70</v>
      </c>
    </row>
    <row r="20" spans="1:5" x14ac:dyDescent="0.25">
      <c r="A20" t="s">
        <v>71</v>
      </c>
      <c r="B20">
        <v>4</v>
      </c>
      <c r="C20">
        <v>4</v>
      </c>
      <c r="D20">
        <v>4</v>
      </c>
      <c r="E20">
        <v>4</v>
      </c>
    </row>
    <row r="21" spans="1:5" x14ac:dyDescent="0.25">
      <c r="A21" t="s">
        <v>72</v>
      </c>
    </row>
    <row r="22" spans="1:5" x14ac:dyDescent="0.25">
      <c r="A22" t="s">
        <v>73</v>
      </c>
      <c r="B22">
        <v>69.67</v>
      </c>
      <c r="C22">
        <v>69.67</v>
      </c>
      <c r="D22">
        <v>69.67</v>
      </c>
      <c r="E22">
        <v>69.67</v>
      </c>
    </row>
    <row r="23" spans="1:5" x14ac:dyDescent="0.25">
      <c r="A23" t="s">
        <v>74</v>
      </c>
      <c r="B23">
        <v>79.22</v>
      </c>
      <c r="C23">
        <v>79.22</v>
      </c>
      <c r="D23">
        <v>79.22</v>
      </c>
      <c r="E23">
        <v>79.22</v>
      </c>
    </row>
    <row r="24" spans="1:5" x14ac:dyDescent="0.25">
      <c r="A24" t="s">
        <v>75</v>
      </c>
      <c r="B24">
        <v>50.72</v>
      </c>
      <c r="C24">
        <v>50.72</v>
      </c>
      <c r="D24">
        <v>50.72</v>
      </c>
      <c r="E24">
        <v>50.72</v>
      </c>
    </row>
    <row r="25" spans="1:5" x14ac:dyDescent="0.25">
      <c r="A25" t="s">
        <v>76</v>
      </c>
    </row>
    <row r="26" spans="1:5" x14ac:dyDescent="0.25">
      <c r="A26" t="s">
        <v>77</v>
      </c>
      <c r="B26">
        <v>83.58</v>
      </c>
      <c r="C26">
        <v>83.58</v>
      </c>
      <c r="D26">
        <v>83.58</v>
      </c>
      <c r="E26">
        <v>83.58</v>
      </c>
    </row>
    <row r="27" spans="1:5" x14ac:dyDescent="0.25">
      <c r="A27" t="s">
        <v>78</v>
      </c>
    </row>
    <row r="28" spans="1:5" x14ac:dyDescent="0.25">
      <c r="A28" t="s">
        <v>79</v>
      </c>
      <c r="B28">
        <v>54.84</v>
      </c>
      <c r="C28">
        <v>54.84</v>
      </c>
      <c r="D28">
        <v>54.84</v>
      </c>
      <c r="E28">
        <v>54.84</v>
      </c>
    </row>
    <row r="29" spans="1:5" x14ac:dyDescent="0.25">
      <c r="A29" t="s">
        <v>80</v>
      </c>
      <c r="B29">
        <v>75</v>
      </c>
      <c r="C29">
        <v>75</v>
      </c>
      <c r="D29">
        <v>75</v>
      </c>
      <c r="E29">
        <v>75</v>
      </c>
    </row>
    <row r="30" spans="1:5" x14ac:dyDescent="0.25">
      <c r="A30" t="s">
        <v>81</v>
      </c>
      <c r="B30">
        <v>45.45</v>
      </c>
      <c r="C30">
        <v>45.45</v>
      </c>
      <c r="D30">
        <v>45.45</v>
      </c>
      <c r="E30">
        <v>45.45</v>
      </c>
    </row>
    <row r="31" spans="1:5" x14ac:dyDescent="0.25">
      <c r="A31" t="s">
        <v>82</v>
      </c>
    </row>
    <row r="32" spans="1:5" x14ac:dyDescent="0.25">
      <c r="A32" t="s">
        <v>83</v>
      </c>
      <c r="B32">
        <v>0</v>
      </c>
      <c r="C32">
        <v>0</v>
      </c>
      <c r="D32">
        <v>0</v>
      </c>
      <c r="E32">
        <v>0</v>
      </c>
    </row>
    <row r="33" spans="1:5" x14ac:dyDescent="0.25">
      <c r="A33" t="s">
        <v>84</v>
      </c>
    </row>
    <row r="34" spans="1:5" x14ac:dyDescent="0.25">
      <c r="A34" t="s">
        <v>85</v>
      </c>
      <c r="B34">
        <v>704476</v>
      </c>
      <c r="C34">
        <v>704476</v>
      </c>
      <c r="D34">
        <v>704476</v>
      </c>
      <c r="E34">
        <v>704476</v>
      </c>
    </row>
    <row r="35" spans="1:5" x14ac:dyDescent="0.25">
      <c r="A35" t="s">
        <v>86</v>
      </c>
      <c r="B35">
        <v>655753</v>
      </c>
      <c r="C35">
        <v>655753</v>
      </c>
      <c r="D35">
        <v>655753</v>
      </c>
      <c r="E35">
        <v>655753</v>
      </c>
    </row>
    <row r="36" spans="1:5" x14ac:dyDescent="0.25">
      <c r="A36" t="s">
        <v>87</v>
      </c>
      <c r="B36">
        <v>0</v>
      </c>
      <c r="C36">
        <v>0</v>
      </c>
      <c r="D36">
        <v>0</v>
      </c>
      <c r="E36">
        <v>0</v>
      </c>
    </row>
    <row r="37" spans="1:5" x14ac:dyDescent="0.25">
      <c r="A37" t="s">
        <v>88</v>
      </c>
    </row>
    <row r="38" spans="1:5" x14ac:dyDescent="0.25">
      <c r="A38" t="s">
        <v>89</v>
      </c>
      <c r="B38">
        <v>48723</v>
      </c>
      <c r="C38">
        <v>48723</v>
      </c>
      <c r="D38">
        <v>48723</v>
      </c>
      <c r="E38">
        <v>48723</v>
      </c>
    </row>
    <row r="39" spans="1:5" x14ac:dyDescent="0.25">
      <c r="A39" t="s">
        <v>90</v>
      </c>
    </row>
    <row r="40" spans="1:5" x14ac:dyDescent="0.25">
      <c r="A40" t="s">
        <v>91</v>
      </c>
      <c r="B40">
        <v>97063</v>
      </c>
      <c r="C40">
        <v>97063</v>
      </c>
      <c r="D40">
        <v>97063</v>
      </c>
      <c r="E40">
        <v>97063</v>
      </c>
    </row>
    <row r="41" spans="1:5" x14ac:dyDescent="0.25">
      <c r="A41" t="s">
        <v>92</v>
      </c>
      <c r="B41">
        <v>0</v>
      </c>
      <c r="C41">
        <v>0</v>
      </c>
      <c r="D41">
        <v>0</v>
      </c>
      <c r="E41">
        <v>0</v>
      </c>
    </row>
    <row r="42" spans="1:5" x14ac:dyDescent="0.25">
      <c r="A42" t="s">
        <v>93</v>
      </c>
      <c r="B42">
        <v>97063</v>
      </c>
      <c r="C42">
        <v>97063</v>
      </c>
      <c r="D42">
        <v>97063</v>
      </c>
      <c r="E42">
        <v>97063</v>
      </c>
    </row>
    <row r="43" spans="1:5" x14ac:dyDescent="0.25">
      <c r="A43" t="s">
        <v>94</v>
      </c>
    </row>
    <row r="44" spans="1:5" x14ac:dyDescent="0.25">
      <c r="A44" t="s">
        <v>95</v>
      </c>
      <c r="B44">
        <v>0</v>
      </c>
      <c r="C44">
        <v>0</v>
      </c>
      <c r="D44">
        <v>0</v>
      </c>
      <c r="E44">
        <v>0</v>
      </c>
    </row>
    <row r="45" spans="1:5" x14ac:dyDescent="0.25">
      <c r="A45" t="s">
        <v>96</v>
      </c>
    </row>
    <row r="46" spans="1:5" x14ac:dyDescent="0.25">
      <c r="A46" t="s">
        <v>97</v>
      </c>
      <c r="B46">
        <v>801539</v>
      </c>
      <c r="C46">
        <v>801539</v>
      </c>
      <c r="D46">
        <v>801539</v>
      </c>
      <c r="E46">
        <v>801539</v>
      </c>
    </row>
    <row r="47" spans="1:5" x14ac:dyDescent="0.25">
      <c r="A47" t="s">
        <v>98</v>
      </c>
      <c r="B47">
        <v>655753</v>
      </c>
      <c r="C47">
        <v>655753</v>
      </c>
      <c r="D47">
        <v>655753</v>
      </c>
      <c r="E47">
        <v>655753</v>
      </c>
    </row>
    <row r="48" spans="1:5" x14ac:dyDescent="0.25">
      <c r="A48" t="s">
        <v>99</v>
      </c>
      <c r="B48">
        <v>97063</v>
      </c>
      <c r="C48">
        <v>97063</v>
      </c>
      <c r="D48">
        <v>97063</v>
      </c>
      <c r="E48">
        <v>97063</v>
      </c>
    </row>
    <row r="49" spans="1:5" x14ac:dyDescent="0.25">
      <c r="A49" t="s">
        <v>100</v>
      </c>
    </row>
    <row r="50" spans="1:5" x14ac:dyDescent="0.25">
      <c r="A50" t="s">
        <v>101</v>
      </c>
      <c r="B50">
        <v>48723</v>
      </c>
      <c r="C50">
        <v>48723</v>
      </c>
      <c r="D50">
        <v>48723</v>
      </c>
      <c r="E50">
        <v>48723</v>
      </c>
    </row>
    <row r="51" spans="1:5" x14ac:dyDescent="0.25">
      <c r="A51" t="s">
        <v>102</v>
      </c>
    </row>
    <row r="52" spans="1:5" x14ac:dyDescent="0.25">
      <c r="A52" t="s">
        <v>103</v>
      </c>
      <c r="B52">
        <v>0</v>
      </c>
      <c r="C52">
        <v>0</v>
      </c>
      <c r="D52">
        <v>0</v>
      </c>
      <c r="E52">
        <v>0</v>
      </c>
    </row>
    <row r="53" spans="1:5" x14ac:dyDescent="0.25">
      <c r="A53" t="s">
        <v>104</v>
      </c>
      <c r="B53">
        <v>0</v>
      </c>
      <c r="C53">
        <v>0</v>
      </c>
      <c r="D53">
        <v>0</v>
      </c>
      <c r="E53">
        <v>0</v>
      </c>
    </row>
    <row r="54" spans="1:5" x14ac:dyDescent="0.25">
      <c r="A54" t="s">
        <v>105</v>
      </c>
      <c r="B54">
        <v>0</v>
      </c>
      <c r="C54">
        <v>0</v>
      </c>
      <c r="D54">
        <v>0</v>
      </c>
      <c r="E54">
        <v>0</v>
      </c>
    </row>
    <row r="55" spans="1:5" x14ac:dyDescent="0.25">
      <c r="A55" t="s">
        <v>106</v>
      </c>
    </row>
    <row r="56" spans="1:5" x14ac:dyDescent="0.25">
      <c r="A56" t="s">
        <v>107</v>
      </c>
      <c r="B56">
        <v>0</v>
      </c>
      <c r="C56">
        <v>0</v>
      </c>
      <c r="D56">
        <v>0</v>
      </c>
      <c r="E56">
        <v>0</v>
      </c>
    </row>
    <row r="57" spans="1:5" x14ac:dyDescent="0.25">
      <c r="A57" t="s">
        <v>108</v>
      </c>
    </row>
    <row r="58" spans="1:5" x14ac:dyDescent="0.25">
      <c r="A58" t="s">
        <v>109</v>
      </c>
      <c r="B58">
        <v>4994</v>
      </c>
      <c r="C58">
        <v>4994</v>
      </c>
      <c r="D58">
        <v>4994</v>
      </c>
      <c r="E58">
        <v>4994</v>
      </c>
    </row>
    <row r="59" spans="1:5" x14ac:dyDescent="0.25">
      <c r="A59" t="s">
        <v>110</v>
      </c>
      <c r="B59">
        <v>0</v>
      </c>
      <c r="C59">
        <v>0</v>
      </c>
      <c r="D59">
        <v>0</v>
      </c>
      <c r="E59">
        <v>0</v>
      </c>
    </row>
    <row r="60" spans="1:5" x14ac:dyDescent="0.25">
      <c r="A60" t="s">
        <v>111</v>
      </c>
      <c r="B60">
        <v>4994</v>
      </c>
      <c r="C60">
        <v>4994</v>
      </c>
      <c r="D60">
        <v>4994</v>
      </c>
      <c r="E60">
        <v>4994</v>
      </c>
    </row>
    <row r="61" spans="1:5" x14ac:dyDescent="0.25">
      <c r="A61" t="s">
        <v>112</v>
      </c>
    </row>
    <row r="62" spans="1:5" x14ac:dyDescent="0.25">
      <c r="A62" t="s">
        <v>113</v>
      </c>
      <c r="B62">
        <v>0</v>
      </c>
      <c r="C62">
        <v>0</v>
      </c>
      <c r="D62">
        <v>0</v>
      </c>
      <c r="E62">
        <v>0</v>
      </c>
    </row>
    <row r="63" spans="1:5" x14ac:dyDescent="0.25">
      <c r="A63" t="s">
        <v>114</v>
      </c>
    </row>
    <row r="64" spans="1:5" x14ac:dyDescent="0.25">
      <c r="A64" t="s">
        <v>115</v>
      </c>
      <c r="B64">
        <v>34.96</v>
      </c>
      <c r="C64">
        <v>34.96</v>
      </c>
      <c r="D64">
        <v>34.9</v>
      </c>
      <c r="E64">
        <v>34.9</v>
      </c>
    </row>
    <row r="65" spans="1:5" x14ac:dyDescent="0.25">
      <c r="A65" t="s">
        <v>116</v>
      </c>
      <c r="B65">
        <v>18.32</v>
      </c>
      <c r="C65">
        <v>18.32</v>
      </c>
      <c r="D65">
        <v>18.27</v>
      </c>
      <c r="E65">
        <v>18.27</v>
      </c>
    </row>
    <row r="66" spans="1:5" x14ac:dyDescent="0.25">
      <c r="A66" t="s">
        <v>117</v>
      </c>
      <c r="B66">
        <v>28.51</v>
      </c>
      <c r="C66">
        <v>28.51</v>
      </c>
      <c r="D66">
        <v>28.46</v>
      </c>
      <c r="E66">
        <v>28.46</v>
      </c>
    </row>
    <row r="67" spans="1:5" x14ac:dyDescent="0.25">
      <c r="A67" t="s">
        <v>118</v>
      </c>
      <c r="B67">
        <v>1713.14</v>
      </c>
      <c r="C67">
        <v>1713.14</v>
      </c>
      <c r="D67">
        <v>1710.23</v>
      </c>
      <c r="E67">
        <v>1710.23</v>
      </c>
    </row>
    <row r="68" spans="1:5" x14ac:dyDescent="0.25">
      <c r="A68" t="s">
        <v>119</v>
      </c>
      <c r="B68">
        <v>567.89</v>
      </c>
      <c r="C68">
        <v>567.89</v>
      </c>
      <c r="D68">
        <v>566.52</v>
      </c>
      <c r="E68">
        <v>566.52</v>
      </c>
    </row>
    <row r="69" spans="1:5" x14ac:dyDescent="0.25">
      <c r="A69" t="s">
        <v>120</v>
      </c>
      <c r="B69">
        <v>2281.0300000000002</v>
      </c>
      <c r="C69">
        <v>2281.0300000000002</v>
      </c>
      <c r="D69">
        <v>2276.75</v>
      </c>
      <c r="E69">
        <v>2276.75</v>
      </c>
    </row>
    <row r="70" spans="1:5" x14ac:dyDescent="0.25">
      <c r="A70" t="s">
        <v>147</v>
      </c>
      <c r="B70">
        <v>15747284</v>
      </c>
      <c r="C70">
        <v>16713350</v>
      </c>
      <c r="D70">
        <v>16676995</v>
      </c>
      <c r="E70">
        <v>16677001</v>
      </c>
    </row>
    <row r="71" spans="1:5" x14ac:dyDescent="0.25">
      <c r="A71" t="s">
        <v>148</v>
      </c>
      <c r="B71">
        <v>6820842</v>
      </c>
      <c r="C71">
        <v>7121837</v>
      </c>
      <c r="D71">
        <v>7108394</v>
      </c>
      <c r="E71">
        <v>7108394</v>
      </c>
    </row>
    <row r="72" spans="1:5" x14ac:dyDescent="0.25">
      <c r="A72" t="s">
        <v>445</v>
      </c>
      <c r="B72">
        <v>6441413</v>
      </c>
      <c r="C72">
        <v>6725745</v>
      </c>
      <c r="D72">
        <v>6710935</v>
      </c>
      <c r="E72">
        <v>6710935</v>
      </c>
    </row>
    <row r="73" spans="1:5" x14ac:dyDescent="0.25">
      <c r="A73" t="s">
        <v>446</v>
      </c>
      <c r="B73">
        <v>172878</v>
      </c>
      <c r="C73">
        <v>177806</v>
      </c>
      <c r="D73">
        <v>177427</v>
      </c>
      <c r="E73">
        <v>177427</v>
      </c>
    </row>
    <row r="74" spans="1:5" x14ac:dyDescent="0.25">
      <c r="A74" t="s">
        <v>447</v>
      </c>
      <c r="B74">
        <v>206551</v>
      </c>
      <c r="C74">
        <v>218286</v>
      </c>
      <c r="D74">
        <v>220032</v>
      </c>
      <c r="E74">
        <v>220032</v>
      </c>
    </row>
    <row r="75" spans="1:5" x14ac:dyDescent="0.25">
      <c r="A75" t="s">
        <v>448</v>
      </c>
    </row>
    <row r="76" spans="1:5" x14ac:dyDescent="0.25">
      <c r="A76" t="s">
        <v>449</v>
      </c>
    </row>
    <row r="77" spans="1:5" x14ac:dyDescent="0.25">
      <c r="A77" t="s">
        <v>450</v>
      </c>
    </row>
    <row r="78" spans="1:5" x14ac:dyDescent="0.25">
      <c r="A78" t="s">
        <v>149</v>
      </c>
      <c r="B78">
        <v>8926442</v>
      </c>
      <c r="C78">
        <v>9591514</v>
      </c>
      <c r="D78">
        <v>9568601</v>
      </c>
      <c r="E78">
        <v>9568607</v>
      </c>
    </row>
    <row r="79" spans="1:5" x14ac:dyDescent="0.25">
      <c r="A79" t="s">
        <v>150</v>
      </c>
      <c r="B79">
        <v>7593107</v>
      </c>
      <c r="C79">
        <v>8095722</v>
      </c>
      <c r="D79">
        <v>8075704</v>
      </c>
      <c r="E79">
        <v>8075704</v>
      </c>
    </row>
    <row r="80" spans="1:5" x14ac:dyDescent="0.25">
      <c r="A80" t="s">
        <v>151</v>
      </c>
      <c r="B80">
        <v>1015019</v>
      </c>
      <c r="C80">
        <v>1164700</v>
      </c>
      <c r="D80">
        <v>1162486</v>
      </c>
      <c r="E80">
        <v>1162493</v>
      </c>
    </row>
    <row r="81" spans="1:5" x14ac:dyDescent="0.25">
      <c r="A81" t="s">
        <v>152</v>
      </c>
    </row>
    <row r="82" spans="1:5" x14ac:dyDescent="0.25">
      <c r="A82" t="s">
        <v>153</v>
      </c>
      <c r="B82">
        <v>318316</v>
      </c>
      <c r="C82">
        <v>331092</v>
      </c>
      <c r="D82">
        <v>330411</v>
      </c>
      <c r="E82">
        <v>330411</v>
      </c>
    </row>
    <row r="83" spans="1:5" x14ac:dyDescent="0.25">
      <c r="A83" t="s">
        <v>154</v>
      </c>
    </row>
    <row r="84" spans="1:5" x14ac:dyDescent="0.25">
      <c r="A84" t="s">
        <v>155</v>
      </c>
      <c r="B84">
        <v>15747284</v>
      </c>
      <c r="C84">
        <v>16713350</v>
      </c>
      <c r="D84">
        <v>16676995</v>
      </c>
      <c r="E84">
        <v>16677001</v>
      </c>
    </row>
    <row r="85" spans="1:5" x14ac:dyDescent="0.25">
      <c r="A85" t="s">
        <v>156</v>
      </c>
      <c r="B85">
        <v>6820842</v>
      </c>
      <c r="C85">
        <v>7121837</v>
      </c>
      <c r="D85">
        <v>7108394</v>
      </c>
      <c r="E85">
        <v>7108394</v>
      </c>
    </row>
    <row r="86" spans="1:5" x14ac:dyDescent="0.25">
      <c r="A86" t="s">
        <v>451</v>
      </c>
      <c r="B86">
        <v>6441413</v>
      </c>
      <c r="C86">
        <v>6725745</v>
      </c>
      <c r="D86">
        <v>6710935</v>
      </c>
      <c r="E86">
        <v>6710935</v>
      </c>
    </row>
    <row r="87" spans="1:5" x14ac:dyDescent="0.25">
      <c r="A87" t="s">
        <v>452</v>
      </c>
      <c r="B87">
        <v>172878</v>
      </c>
      <c r="C87">
        <v>177806</v>
      </c>
      <c r="D87">
        <v>177427</v>
      </c>
      <c r="E87">
        <v>177427</v>
      </c>
    </row>
    <row r="88" spans="1:5" x14ac:dyDescent="0.25">
      <c r="A88" t="s">
        <v>453</v>
      </c>
      <c r="B88">
        <v>206551</v>
      </c>
      <c r="C88">
        <v>218286</v>
      </c>
      <c r="D88">
        <v>220032</v>
      </c>
      <c r="E88">
        <v>220032</v>
      </c>
    </row>
    <row r="89" spans="1:5" x14ac:dyDescent="0.25">
      <c r="A89" t="s">
        <v>454</v>
      </c>
    </row>
    <row r="90" spans="1:5" x14ac:dyDescent="0.25">
      <c r="A90" t="s">
        <v>455</v>
      </c>
    </row>
    <row r="91" spans="1:5" x14ac:dyDescent="0.25">
      <c r="A91" t="s">
        <v>456</v>
      </c>
    </row>
    <row r="92" spans="1:5" x14ac:dyDescent="0.25">
      <c r="A92" t="s">
        <v>157</v>
      </c>
      <c r="B92">
        <v>8926442</v>
      </c>
      <c r="C92">
        <v>9591514</v>
      </c>
      <c r="D92">
        <v>9568601</v>
      </c>
      <c r="E92">
        <v>9568607</v>
      </c>
    </row>
    <row r="93" spans="1:5" x14ac:dyDescent="0.25">
      <c r="A93" t="s">
        <v>158</v>
      </c>
      <c r="B93">
        <v>7593107</v>
      </c>
      <c r="C93">
        <v>8095722</v>
      </c>
      <c r="D93">
        <v>8075704</v>
      </c>
      <c r="E93">
        <v>8075704</v>
      </c>
    </row>
    <row r="94" spans="1:5" x14ac:dyDescent="0.25">
      <c r="A94" t="s">
        <v>159</v>
      </c>
      <c r="B94">
        <v>1015019</v>
      </c>
      <c r="C94">
        <v>1164700</v>
      </c>
      <c r="D94">
        <v>1162486</v>
      </c>
      <c r="E94">
        <v>1162493</v>
      </c>
    </row>
    <row r="95" spans="1:5" x14ac:dyDescent="0.25">
      <c r="A95" t="s">
        <v>160</v>
      </c>
    </row>
    <row r="96" spans="1:5" x14ac:dyDescent="0.25">
      <c r="A96" t="s">
        <v>161</v>
      </c>
      <c r="B96">
        <v>318316</v>
      </c>
      <c r="C96">
        <v>331092</v>
      </c>
      <c r="D96">
        <v>330411</v>
      </c>
      <c r="E96">
        <v>330411</v>
      </c>
    </row>
    <row r="97" spans="1:5" x14ac:dyDescent="0.25">
      <c r="A97" t="s">
        <v>162</v>
      </c>
    </row>
    <row r="98" spans="1:5" x14ac:dyDescent="0.25">
      <c r="A98" t="s">
        <v>163</v>
      </c>
      <c r="B98">
        <v>0</v>
      </c>
      <c r="C98">
        <v>0</v>
      </c>
      <c r="D98">
        <v>0</v>
      </c>
      <c r="E98">
        <v>0</v>
      </c>
    </row>
    <row r="99" spans="1:5" x14ac:dyDescent="0.25">
      <c r="A99" t="s">
        <v>457</v>
      </c>
      <c r="B99">
        <v>0</v>
      </c>
      <c r="C99">
        <v>0</v>
      </c>
      <c r="D99">
        <v>0</v>
      </c>
      <c r="E99">
        <v>0</v>
      </c>
    </row>
    <row r="100" spans="1:5" x14ac:dyDescent="0.25">
      <c r="A100" t="s">
        <v>458</v>
      </c>
      <c r="B100">
        <v>0</v>
      </c>
      <c r="C100">
        <v>0</v>
      </c>
      <c r="D100">
        <v>0</v>
      </c>
      <c r="E100">
        <v>0</v>
      </c>
    </row>
    <row r="101" spans="1:5" x14ac:dyDescent="0.25">
      <c r="A101" t="s">
        <v>459</v>
      </c>
      <c r="B101">
        <v>0</v>
      </c>
      <c r="C101">
        <v>0</v>
      </c>
      <c r="D101">
        <v>0</v>
      </c>
      <c r="E101">
        <v>0</v>
      </c>
    </row>
    <row r="102" spans="1:5" x14ac:dyDescent="0.25">
      <c r="A102" t="s">
        <v>460</v>
      </c>
    </row>
    <row r="103" spans="1:5" x14ac:dyDescent="0.25">
      <c r="A103" t="s">
        <v>461</v>
      </c>
    </row>
    <row r="104" spans="1:5" x14ac:dyDescent="0.25">
      <c r="A104" t="s">
        <v>462</v>
      </c>
    </row>
    <row r="105" spans="1:5" x14ac:dyDescent="0.25">
      <c r="A105" t="s">
        <v>164</v>
      </c>
      <c r="B105">
        <v>15747284</v>
      </c>
      <c r="C105">
        <v>16713350</v>
      </c>
      <c r="D105">
        <v>16676995</v>
      </c>
      <c r="E105">
        <v>16677001</v>
      </c>
    </row>
    <row r="106" spans="1:5" x14ac:dyDescent="0.25">
      <c r="A106" t="s">
        <v>165</v>
      </c>
      <c r="B106">
        <v>6061205</v>
      </c>
      <c r="C106">
        <v>6303500</v>
      </c>
      <c r="D106">
        <v>6291995</v>
      </c>
      <c r="E106">
        <v>6291991</v>
      </c>
    </row>
    <row r="107" spans="1:5" x14ac:dyDescent="0.25">
      <c r="A107" t="s">
        <v>463</v>
      </c>
      <c r="B107">
        <v>4071228</v>
      </c>
      <c r="C107">
        <v>4137484</v>
      </c>
      <c r="D107">
        <v>4128881</v>
      </c>
      <c r="E107">
        <v>4128881</v>
      </c>
    </row>
    <row r="108" spans="1:5" x14ac:dyDescent="0.25">
      <c r="A108" t="s">
        <v>464</v>
      </c>
      <c r="B108">
        <v>1849299</v>
      </c>
      <c r="C108">
        <v>2014039</v>
      </c>
      <c r="D108">
        <v>2009909</v>
      </c>
      <c r="E108">
        <v>2009909</v>
      </c>
    </row>
    <row r="109" spans="1:5" x14ac:dyDescent="0.25">
      <c r="A109" t="s">
        <v>465</v>
      </c>
      <c r="B109">
        <v>140677</v>
      </c>
      <c r="C109">
        <v>151977</v>
      </c>
      <c r="D109">
        <v>153204</v>
      </c>
      <c r="E109">
        <v>153201</v>
      </c>
    </row>
    <row r="110" spans="1:5" x14ac:dyDescent="0.25">
      <c r="A110" t="s">
        <v>466</v>
      </c>
    </row>
    <row r="111" spans="1:5" x14ac:dyDescent="0.25">
      <c r="A111" t="s">
        <v>467</v>
      </c>
    </row>
    <row r="112" spans="1:5" x14ac:dyDescent="0.25">
      <c r="A112" t="s">
        <v>468</v>
      </c>
    </row>
    <row r="113" spans="1:5" x14ac:dyDescent="0.25">
      <c r="A113" t="s">
        <v>166</v>
      </c>
      <c r="B113">
        <v>6820842</v>
      </c>
      <c r="C113">
        <v>7121837</v>
      </c>
      <c r="D113">
        <v>7108394</v>
      </c>
      <c r="E113">
        <v>7108394</v>
      </c>
    </row>
    <row r="114" spans="1:5" x14ac:dyDescent="0.25">
      <c r="A114" t="s">
        <v>469</v>
      </c>
      <c r="B114">
        <v>6441413</v>
      </c>
      <c r="C114">
        <v>6725745</v>
      </c>
      <c r="D114">
        <v>6710935</v>
      </c>
      <c r="E114">
        <v>6710935</v>
      </c>
    </row>
    <row r="115" spans="1:5" x14ac:dyDescent="0.25">
      <c r="A115" t="s">
        <v>470</v>
      </c>
      <c r="B115">
        <v>172878</v>
      </c>
      <c r="C115">
        <v>177806</v>
      </c>
      <c r="D115">
        <v>177427</v>
      </c>
      <c r="E115">
        <v>177427</v>
      </c>
    </row>
    <row r="116" spans="1:5" x14ac:dyDescent="0.25">
      <c r="A116" t="s">
        <v>471</v>
      </c>
      <c r="B116">
        <v>206551</v>
      </c>
      <c r="C116">
        <v>218286</v>
      </c>
      <c r="D116">
        <v>220032</v>
      </c>
      <c r="E116">
        <v>220032</v>
      </c>
    </row>
    <row r="117" spans="1:5" x14ac:dyDescent="0.25">
      <c r="A117" t="s">
        <v>472</v>
      </c>
    </row>
    <row r="118" spans="1:5" x14ac:dyDescent="0.25">
      <c r="A118" t="s">
        <v>473</v>
      </c>
    </row>
    <row r="119" spans="1:5" x14ac:dyDescent="0.25">
      <c r="A119" t="s">
        <v>474</v>
      </c>
    </row>
    <row r="120" spans="1:5" x14ac:dyDescent="0.25">
      <c r="A120" t="s">
        <v>167</v>
      </c>
      <c r="B120">
        <v>8926442</v>
      </c>
      <c r="C120">
        <v>9591514</v>
      </c>
      <c r="D120">
        <v>9568601</v>
      </c>
      <c r="E120">
        <v>9568607</v>
      </c>
    </row>
    <row r="121" spans="1:5" x14ac:dyDescent="0.25">
      <c r="A121" t="s">
        <v>168</v>
      </c>
      <c r="B121">
        <v>7593107</v>
      </c>
      <c r="C121">
        <v>8095722</v>
      </c>
      <c r="D121">
        <v>8075704</v>
      </c>
      <c r="E121">
        <v>8075704</v>
      </c>
    </row>
    <row r="122" spans="1:5" x14ac:dyDescent="0.25">
      <c r="A122" t="s">
        <v>169</v>
      </c>
      <c r="B122">
        <v>1015019</v>
      </c>
      <c r="C122">
        <v>1164700</v>
      </c>
      <c r="D122">
        <v>1162486</v>
      </c>
      <c r="E122">
        <v>1162493</v>
      </c>
    </row>
    <row r="123" spans="1:5" x14ac:dyDescent="0.25">
      <c r="A123" t="s">
        <v>170</v>
      </c>
    </row>
    <row r="124" spans="1:5" x14ac:dyDescent="0.25">
      <c r="A124" t="s">
        <v>171</v>
      </c>
      <c r="B124">
        <v>318316</v>
      </c>
      <c r="C124">
        <v>331092</v>
      </c>
      <c r="D124">
        <v>330411</v>
      </c>
      <c r="E124">
        <v>330411</v>
      </c>
    </row>
    <row r="125" spans="1:5" x14ac:dyDescent="0.25">
      <c r="A125" t="s">
        <v>172</v>
      </c>
    </row>
    <row r="126" spans="1:5" x14ac:dyDescent="0.25">
      <c r="A126" t="s">
        <v>173</v>
      </c>
      <c r="B126">
        <v>0</v>
      </c>
      <c r="C126">
        <v>0</v>
      </c>
      <c r="D126">
        <v>0</v>
      </c>
      <c r="E126">
        <v>0</v>
      </c>
    </row>
    <row r="127" spans="1:5" x14ac:dyDescent="0.25">
      <c r="A127" t="s">
        <v>475</v>
      </c>
      <c r="B127">
        <v>0</v>
      </c>
      <c r="C127">
        <v>0</v>
      </c>
      <c r="D127">
        <v>0</v>
      </c>
      <c r="E127">
        <v>0</v>
      </c>
    </row>
    <row r="128" spans="1:5" x14ac:dyDescent="0.25">
      <c r="A128" t="s">
        <v>476</v>
      </c>
      <c r="B128">
        <v>0</v>
      </c>
      <c r="C128">
        <v>0</v>
      </c>
      <c r="D128">
        <v>0</v>
      </c>
      <c r="E128">
        <v>0</v>
      </c>
    </row>
    <row r="129" spans="1:5" x14ac:dyDescent="0.25">
      <c r="A129" t="s">
        <v>477</v>
      </c>
      <c r="B129">
        <v>0</v>
      </c>
      <c r="C129">
        <v>0</v>
      </c>
      <c r="D129">
        <v>0</v>
      </c>
      <c r="E129">
        <v>0</v>
      </c>
    </row>
    <row r="130" spans="1:5" x14ac:dyDescent="0.25">
      <c r="A130" t="s">
        <v>478</v>
      </c>
    </row>
    <row r="131" spans="1:5" x14ac:dyDescent="0.25">
      <c r="A131" t="s">
        <v>479</v>
      </c>
    </row>
    <row r="132" spans="1:5" x14ac:dyDescent="0.25">
      <c r="A132" t="s">
        <v>480</v>
      </c>
    </row>
    <row r="133" spans="1:5" x14ac:dyDescent="0.25">
      <c r="A133" t="s">
        <v>481</v>
      </c>
      <c r="B133">
        <v>13034141</v>
      </c>
      <c r="C133">
        <v>13034141</v>
      </c>
      <c r="D133">
        <v>13009292</v>
      </c>
      <c r="E133">
        <v>13009297</v>
      </c>
    </row>
    <row r="134" spans="1:5" x14ac:dyDescent="0.25">
      <c r="A134" t="s">
        <v>482</v>
      </c>
      <c r="B134">
        <v>5353737</v>
      </c>
      <c r="C134">
        <v>5353737</v>
      </c>
      <c r="D134">
        <v>5343782</v>
      </c>
      <c r="E134">
        <v>5343780</v>
      </c>
    </row>
    <row r="135" spans="1:5" x14ac:dyDescent="0.25">
      <c r="A135" t="s">
        <v>483</v>
      </c>
      <c r="B135">
        <v>3854965</v>
      </c>
      <c r="C135">
        <v>3854965</v>
      </c>
      <c r="D135">
        <v>3846980</v>
      </c>
      <c r="E135">
        <v>3846980</v>
      </c>
    </row>
    <row r="136" spans="1:5" x14ac:dyDescent="0.25">
      <c r="A136" t="s">
        <v>484</v>
      </c>
      <c r="B136">
        <v>1386212</v>
      </c>
      <c r="C136">
        <v>1386212</v>
      </c>
      <c r="D136">
        <v>1383359</v>
      </c>
      <c r="E136">
        <v>1383359</v>
      </c>
    </row>
    <row r="137" spans="1:5" x14ac:dyDescent="0.25">
      <c r="A137" t="s">
        <v>485</v>
      </c>
      <c r="B137">
        <v>112560</v>
      </c>
      <c r="C137">
        <v>112560</v>
      </c>
      <c r="D137">
        <v>113443</v>
      </c>
      <c r="E137">
        <v>113441</v>
      </c>
    </row>
    <row r="138" spans="1:5" x14ac:dyDescent="0.25">
      <c r="A138" t="s">
        <v>486</v>
      </c>
    </row>
    <row r="139" spans="1:5" x14ac:dyDescent="0.25">
      <c r="A139" t="s">
        <v>487</v>
      </c>
    </row>
    <row r="140" spans="1:5" x14ac:dyDescent="0.25">
      <c r="A140" t="s">
        <v>488</v>
      </c>
    </row>
    <row r="141" spans="1:5" x14ac:dyDescent="0.25">
      <c r="A141" t="s">
        <v>489</v>
      </c>
      <c r="B141">
        <v>5943251</v>
      </c>
      <c r="C141">
        <v>5943251</v>
      </c>
      <c r="D141">
        <v>5932143</v>
      </c>
      <c r="E141">
        <v>5932143</v>
      </c>
    </row>
    <row r="142" spans="1:5" x14ac:dyDescent="0.25">
      <c r="A142" t="s">
        <v>490</v>
      </c>
      <c r="B142">
        <v>5612552</v>
      </c>
      <c r="C142">
        <v>5612552</v>
      </c>
      <c r="D142">
        <v>5600386</v>
      </c>
      <c r="E142">
        <v>5600386</v>
      </c>
    </row>
    <row r="143" spans="1:5" x14ac:dyDescent="0.25">
      <c r="A143" t="s">
        <v>491</v>
      </c>
      <c r="B143">
        <v>157495</v>
      </c>
      <c r="C143">
        <v>157495</v>
      </c>
      <c r="D143">
        <v>157160</v>
      </c>
      <c r="E143">
        <v>157160</v>
      </c>
    </row>
    <row r="144" spans="1:5" x14ac:dyDescent="0.25">
      <c r="A144" t="s">
        <v>492</v>
      </c>
      <c r="B144">
        <v>173204</v>
      </c>
      <c r="C144">
        <v>173204</v>
      </c>
      <c r="D144">
        <v>174596</v>
      </c>
      <c r="E144">
        <v>174596</v>
      </c>
    </row>
    <row r="145" spans="1:5" x14ac:dyDescent="0.25">
      <c r="A145" t="s">
        <v>493</v>
      </c>
    </row>
    <row r="146" spans="1:5" x14ac:dyDescent="0.25">
      <c r="A146" t="s">
        <v>494</v>
      </c>
    </row>
    <row r="147" spans="1:5" x14ac:dyDescent="0.25">
      <c r="A147" t="s">
        <v>495</v>
      </c>
    </row>
    <row r="148" spans="1:5" x14ac:dyDescent="0.25">
      <c r="A148" t="s">
        <v>496</v>
      </c>
      <c r="B148">
        <v>7090890</v>
      </c>
      <c r="C148">
        <v>7090890</v>
      </c>
      <c r="D148">
        <v>7077149</v>
      </c>
      <c r="E148">
        <v>7077154</v>
      </c>
    </row>
    <row r="149" spans="1:5" x14ac:dyDescent="0.25">
      <c r="A149" t="s">
        <v>497</v>
      </c>
      <c r="B149">
        <v>6168053</v>
      </c>
      <c r="C149">
        <v>6168053</v>
      </c>
      <c r="D149">
        <v>6155686</v>
      </c>
      <c r="E149">
        <v>6155686</v>
      </c>
    </row>
    <row r="150" spans="1:5" x14ac:dyDescent="0.25">
      <c r="A150" t="s">
        <v>498</v>
      </c>
      <c r="B150">
        <v>643208</v>
      </c>
      <c r="C150">
        <v>643208</v>
      </c>
      <c r="D150">
        <v>642340</v>
      </c>
      <c r="E150">
        <v>642345</v>
      </c>
    </row>
    <row r="151" spans="1:5" x14ac:dyDescent="0.25">
      <c r="A151" t="s">
        <v>499</v>
      </c>
    </row>
    <row r="152" spans="1:5" x14ac:dyDescent="0.25">
      <c r="A152" t="s">
        <v>500</v>
      </c>
      <c r="B152">
        <v>279629</v>
      </c>
      <c r="C152">
        <v>279629</v>
      </c>
      <c r="D152">
        <v>279123</v>
      </c>
      <c r="E152">
        <v>279123</v>
      </c>
    </row>
    <row r="153" spans="1:5" x14ac:dyDescent="0.25">
      <c r="A153" t="s">
        <v>501</v>
      </c>
    </row>
    <row r="154" spans="1:5" x14ac:dyDescent="0.25">
      <c r="A154" t="s">
        <v>502</v>
      </c>
      <c r="B154">
        <v>0</v>
      </c>
      <c r="C154">
        <v>0</v>
      </c>
      <c r="D154">
        <v>0</v>
      </c>
      <c r="E154">
        <v>0</v>
      </c>
    </row>
    <row r="155" spans="1:5" x14ac:dyDescent="0.25">
      <c r="A155" t="s">
        <v>503</v>
      </c>
      <c r="B155">
        <v>0</v>
      </c>
      <c r="C155">
        <v>0</v>
      </c>
      <c r="D155">
        <v>0</v>
      </c>
      <c r="E155">
        <v>0</v>
      </c>
    </row>
    <row r="156" spans="1:5" x14ac:dyDescent="0.25">
      <c r="A156" t="s">
        <v>504</v>
      </c>
      <c r="B156">
        <v>0</v>
      </c>
      <c r="C156">
        <v>0</v>
      </c>
      <c r="D156">
        <v>0</v>
      </c>
      <c r="E156">
        <v>0</v>
      </c>
    </row>
    <row r="157" spans="1:5" x14ac:dyDescent="0.25">
      <c r="A157" t="s">
        <v>505</v>
      </c>
      <c r="B157">
        <v>0</v>
      </c>
      <c r="C157">
        <v>0</v>
      </c>
      <c r="D157">
        <v>0</v>
      </c>
      <c r="E157">
        <v>0</v>
      </c>
    </row>
    <row r="158" spans="1:5" x14ac:dyDescent="0.25">
      <c r="A158" t="s">
        <v>506</v>
      </c>
    </row>
    <row r="159" spans="1:5" x14ac:dyDescent="0.25">
      <c r="A159" t="s">
        <v>507</v>
      </c>
    </row>
    <row r="160" spans="1:5" x14ac:dyDescent="0.25">
      <c r="A160" t="s">
        <v>508</v>
      </c>
    </row>
    <row r="161" spans="1:5" x14ac:dyDescent="0.25">
      <c r="A161" t="s">
        <v>174</v>
      </c>
      <c r="B161">
        <v>2397314</v>
      </c>
      <c r="C161">
        <v>2397314</v>
      </c>
      <c r="D161">
        <v>2394023</v>
      </c>
      <c r="E161">
        <v>2394023</v>
      </c>
    </row>
    <row r="162" spans="1:5" x14ac:dyDescent="0.25">
      <c r="A162" t="s">
        <v>175</v>
      </c>
      <c r="B162">
        <v>1706332</v>
      </c>
      <c r="C162">
        <v>1706332</v>
      </c>
      <c r="D162">
        <v>1703129</v>
      </c>
      <c r="E162">
        <v>1703129</v>
      </c>
    </row>
    <row r="163" spans="1:5" x14ac:dyDescent="0.25">
      <c r="A163" t="s">
        <v>509</v>
      </c>
      <c r="B163">
        <v>1652651</v>
      </c>
      <c r="C163">
        <v>1652651</v>
      </c>
      <c r="D163">
        <v>1649388</v>
      </c>
      <c r="E163">
        <v>1649388</v>
      </c>
    </row>
    <row r="164" spans="1:5" x14ac:dyDescent="0.25">
      <c r="A164" t="s">
        <v>510</v>
      </c>
      <c r="B164">
        <v>34600</v>
      </c>
      <c r="C164">
        <v>34600</v>
      </c>
      <c r="D164">
        <v>34529</v>
      </c>
      <c r="E164">
        <v>34529</v>
      </c>
    </row>
    <row r="165" spans="1:5" x14ac:dyDescent="0.25">
      <c r="A165" t="s">
        <v>511</v>
      </c>
      <c r="B165">
        <v>19081</v>
      </c>
      <c r="C165">
        <v>19081</v>
      </c>
      <c r="D165">
        <v>19213</v>
      </c>
      <c r="E165">
        <v>19213</v>
      </c>
    </row>
    <row r="166" spans="1:5" x14ac:dyDescent="0.25">
      <c r="A166" t="s">
        <v>512</v>
      </c>
    </row>
    <row r="167" spans="1:5" x14ac:dyDescent="0.25">
      <c r="A167" t="s">
        <v>513</v>
      </c>
    </row>
    <row r="168" spans="1:5" x14ac:dyDescent="0.25">
      <c r="A168" t="s">
        <v>514</v>
      </c>
    </row>
    <row r="169" spans="1:5" x14ac:dyDescent="0.25">
      <c r="A169" t="s">
        <v>176</v>
      </c>
      <c r="B169">
        <v>690982</v>
      </c>
      <c r="C169">
        <v>690982</v>
      </c>
      <c r="D169">
        <v>690894</v>
      </c>
      <c r="E169">
        <v>690894</v>
      </c>
    </row>
    <row r="170" spans="1:5" x14ac:dyDescent="0.25">
      <c r="A170" t="s">
        <v>177</v>
      </c>
      <c r="B170">
        <v>639418</v>
      </c>
      <c r="C170">
        <v>639418</v>
      </c>
      <c r="D170">
        <v>639338</v>
      </c>
      <c r="E170">
        <v>639338</v>
      </c>
    </row>
    <row r="171" spans="1:5" x14ac:dyDescent="0.25">
      <c r="A171" t="s">
        <v>178</v>
      </c>
      <c r="B171">
        <v>4994</v>
      </c>
      <c r="C171">
        <v>4994</v>
      </c>
      <c r="D171">
        <v>4994</v>
      </c>
      <c r="E171">
        <v>4994</v>
      </c>
    </row>
    <row r="172" spans="1:5" x14ac:dyDescent="0.25">
      <c r="A172" t="s">
        <v>179</v>
      </c>
    </row>
    <row r="173" spans="1:5" x14ac:dyDescent="0.25">
      <c r="A173" t="s">
        <v>180</v>
      </c>
      <c r="B173">
        <v>46569</v>
      </c>
      <c r="C173">
        <v>46569</v>
      </c>
      <c r="D173">
        <v>46562</v>
      </c>
      <c r="E173">
        <v>46562</v>
      </c>
    </row>
    <row r="174" spans="1:5" x14ac:dyDescent="0.25">
      <c r="A174" t="s">
        <v>181</v>
      </c>
    </row>
    <row r="175" spans="1:5" x14ac:dyDescent="0.25">
      <c r="A175" t="s">
        <v>515</v>
      </c>
      <c r="B175">
        <v>4.3799999999999999E-2</v>
      </c>
      <c r="C175">
        <v>3.6499999999999998E-2</v>
      </c>
      <c r="D175">
        <v>3.6499999999999998E-2</v>
      </c>
      <c r="E175">
        <v>3.6499999999999998E-2</v>
      </c>
    </row>
    <row r="176" spans="1:5" x14ac:dyDescent="0.25">
      <c r="A176" t="s">
        <v>516</v>
      </c>
      <c r="B176">
        <v>1.1000000000000001E-3</v>
      </c>
      <c r="C176">
        <v>1.1999999999999999E-3</v>
      </c>
      <c r="D176">
        <v>1.1999999999999999E-3</v>
      </c>
      <c r="E176">
        <v>1.1999999999999999E-3</v>
      </c>
    </row>
    <row r="177" spans="1:5" x14ac:dyDescent="0.25">
      <c r="A177" t="s">
        <v>517</v>
      </c>
      <c r="B177">
        <v>0.43590000000000001</v>
      </c>
      <c r="C177">
        <v>0.43640000000000001</v>
      </c>
      <c r="D177">
        <v>0.43640000000000001</v>
      </c>
      <c r="E177">
        <v>0.43640000000000001</v>
      </c>
    </row>
    <row r="178" spans="1:5" x14ac:dyDescent="0.25">
      <c r="A178" t="s">
        <v>182</v>
      </c>
      <c r="B178" t="s">
        <v>786</v>
      </c>
      <c r="C178" t="s">
        <v>787</v>
      </c>
      <c r="D178" t="s">
        <v>788</v>
      </c>
      <c r="E178" t="s">
        <v>789</v>
      </c>
    </row>
    <row r="179" spans="1:5" x14ac:dyDescent="0.25">
      <c r="A179" t="s">
        <v>183</v>
      </c>
      <c r="B179" t="s">
        <v>786</v>
      </c>
      <c r="C179" t="s">
        <v>787</v>
      </c>
      <c r="D179" t="s">
        <v>788</v>
      </c>
      <c r="E179" t="s">
        <v>789</v>
      </c>
    </row>
    <row r="180" spans="1:5" x14ac:dyDescent="0.25">
      <c r="A180" t="s">
        <v>184</v>
      </c>
      <c r="B180" s="75">
        <v>41640</v>
      </c>
      <c r="C180" s="75">
        <v>41640</v>
      </c>
      <c r="D180" s="75">
        <v>41640</v>
      </c>
      <c r="E180" s="75">
        <v>41640</v>
      </c>
    </row>
    <row r="181" spans="1:5" x14ac:dyDescent="0.25">
      <c r="A181" t="s">
        <v>185</v>
      </c>
      <c r="B181" t="s">
        <v>790</v>
      </c>
      <c r="C181" t="s">
        <v>790</v>
      </c>
      <c r="D181" t="s">
        <v>790</v>
      </c>
      <c r="E181" t="s">
        <v>790</v>
      </c>
    </row>
    <row r="182" spans="1:5" x14ac:dyDescent="0.25">
      <c r="A182" t="s">
        <v>186</v>
      </c>
      <c r="B182" t="s">
        <v>791</v>
      </c>
      <c r="C182" t="s">
        <v>791</v>
      </c>
      <c r="D182" t="s">
        <v>791</v>
      </c>
      <c r="E182" t="s">
        <v>791</v>
      </c>
    </row>
    <row r="183" spans="1:5" x14ac:dyDescent="0.25">
      <c r="A183" t="s">
        <v>187</v>
      </c>
      <c r="B183" t="s">
        <v>518</v>
      </c>
      <c r="C183" t="s">
        <v>518</v>
      </c>
      <c r="D183" t="s">
        <v>518</v>
      </c>
      <c r="E183" t="s">
        <v>518</v>
      </c>
    </row>
    <row r="184" spans="1:5" x14ac:dyDescent="0.25">
      <c r="A184" t="s">
        <v>188</v>
      </c>
      <c r="B184" t="s">
        <v>189</v>
      </c>
      <c r="C184" t="s">
        <v>189</v>
      </c>
      <c r="D184" t="s">
        <v>189</v>
      </c>
      <c r="E184" t="s">
        <v>189</v>
      </c>
    </row>
    <row r="185" spans="1:5" x14ac:dyDescent="0.25">
      <c r="A185" t="s">
        <v>190</v>
      </c>
      <c r="B185" t="s">
        <v>194</v>
      </c>
      <c r="C185" t="s">
        <v>194</v>
      </c>
      <c r="D185" t="s">
        <v>194</v>
      </c>
      <c r="E185" t="s">
        <v>194</v>
      </c>
    </row>
    <row r="186" spans="1:5" x14ac:dyDescent="0.25">
      <c r="A186" t="s">
        <v>191</v>
      </c>
      <c r="B186" t="s">
        <v>194</v>
      </c>
      <c r="C186" t="s">
        <v>194</v>
      </c>
      <c r="D186" t="s">
        <v>194</v>
      </c>
      <c r="E186" t="s">
        <v>194</v>
      </c>
    </row>
    <row r="187" spans="1:5" x14ac:dyDescent="0.25">
      <c r="A187" t="s">
        <v>192</v>
      </c>
      <c r="B187" t="s">
        <v>189</v>
      </c>
      <c r="C187" t="s">
        <v>189</v>
      </c>
      <c r="D187" t="s">
        <v>189</v>
      </c>
      <c r="E187" t="s">
        <v>189</v>
      </c>
    </row>
    <row r="188" spans="1:5" x14ac:dyDescent="0.25">
      <c r="A188" t="s">
        <v>520</v>
      </c>
    </row>
    <row r="189" spans="1:5" x14ac:dyDescent="0.25">
      <c r="A189" t="s">
        <v>522</v>
      </c>
    </row>
    <row r="190" spans="1:5" x14ac:dyDescent="0.25">
      <c r="A190" t="s">
        <v>524</v>
      </c>
    </row>
    <row r="191" spans="1:5" x14ac:dyDescent="0.25">
      <c r="A191" t="s">
        <v>193</v>
      </c>
    </row>
    <row r="192" spans="1:5" x14ac:dyDescent="0.25">
      <c r="A192" t="s">
        <v>525</v>
      </c>
    </row>
    <row r="193" spans="1:5" x14ac:dyDescent="0.25">
      <c r="A193" t="s">
        <v>195</v>
      </c>
      <c r="B193" t="s">
        <v>526</v>
      </c>
      <c r="C193" t="s">
        <v>526</v>
      </c>
      <c r="D193" t="s">
        <v>526</v>
      </c>
      <c r="E193" t="s">
        <v>526</v>
      </c>
    </row>
    <row r="194" spans="1:5" x14ac:dyDescent="0.25">
      <c r="A194" t="s">
        <v>196</v>
      </c>
      <c r="B194" t="s">
        <v>519</v>
      </c>
      <c r="C194" t="s">
        <v>519</v>
      </c>
      <c r="D194" t="s">
        <v>519</v>
      </c>
      <c r="E194" t="s">
        <v>519</v>
      </c>
    </row>
    <row r="195" spans="1:5" x14ac:dyDescent="0.25">
      <c r="A195" t="s">
        <v>197</v>
      </c>
      <c r="B195" t="s">
        <v>792</v>
      </c>
      <c r="C195" t="s">
        <v>785</v>
      </c>
      <c r="D195" t="s">
        <v>785</v>
      </c>
      <c r="E195" t="s">
        <v>785</v>
      </c>
    </row>
    <row r="196" spans="1:5" x14ac:dyDescent="0.25">
      <c r="A196" t="s">
        <v>199</v>
      </c>
      <c r="B196">
        <v>4.3799999999999999E-2</v>
      </c>
      <c r="C196">
        <v>3.6499999999999998E-2</v>
      </c>
      <c r="D196">
        <v>3.6499999999999998E-2</v>
      </c>
      <c r="E196">
        <v>3.6499999999999998E-2</v>
      </c>
    </row>
    <row r="197" spans="1:5" x14ac:dyDescent="0.25">
      <c r="A197" t="s">
        <v>200</v>
      </c>
      <c r="B197">
        <v>3.5000000000000003E-2</v>
      </c>
      <c r="C197">
        <v>3.5000000000000003E-2</v>
      </c>
      <c r="D197">
        <v>3.5000000000000003E-2</v>
      </c>
      <c r="E197">
        <v>3.5000000000000003E-2</v>
      </c>
    </row>
    <row r="198" spans="1:5" x14ac:dyDescent="0.25">
      <c r="A198" t="s">
        <v>527</v>
      </c>
      <c r="B198">
        <v>4.3799999999999999E-2</v>
      </c>
      <c r="C198">
        <v>3.6499999999999998E-2</v>
      </c>
      <c r="D198">
        <v>3.6499999999999998E-2</v>
      </c>
      <c r="E198">
        <v>3.6499999999999998E-2</v>
      </c>
    </row>
    <row r="199" spans="1:5" x14ac:dyDescent="0.25">
      <c r="A199" t="s">
        <v>528</v>
      </c>
      <c r="B199">
        <v>7.0000000000000007E-2</v>
      </c>
      <c r="C199">
        <v>7.0000000000000007E-2</v>
      </c>
      <c r="D199">
        <v>7.0000000000000007E-2</v>
      </c>
      <c r="E199">
        <v>7.0000000000000007E-2</v>
      </c>
    </row>
    <row r="201" spans="1:5" x14ac:dyDescent="0.25">
      <c r="A201" t="s">
        <v>529</v>
      </c>
    </row>
    <row r="202" spans="1:5" x14ac:dyDescent="0.25">
      <c r="A202" t="s">
        <v>198</v>
      </c>
    </row>
    <row r="204" spans="1:5" x14ac:dyDescent="0.25">
      <c r="A204" t="s">
        <v>530</v>
      </c>
    </row>
    <row r="205" spans="1:5" x14ac:dyDescent="0.25">
      <c r="A205" t="s">
        <v>531</v>
      </c>
    </row>
  </sheetData>
  <phoneticPr fontId="0" type="noConversion"/>
  <pageMargins left="0.75" right="0.75" top="1" bottom="1" header="0.5" footer="0.5"/>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C25DA0-582A-48F6-88C4-39E533643E65}">
  <dimension ref="B1:H45"/>
  <sheetViews>
    <sheetView workbookViewId="0">
      <selection activeCell="F7" sqref="F7"/>
    </sheetView>
  </sheetViews>
  <sheetFormatPr defaultRowHeight="12.5" x14ac:dyDescent="0.25"/>
  <cols>
    <col min="1" max="1" width="2.7265625" customWidth="1"/>
    <col min="2" max="2" width="3.453125" customWidth="1"/>
    <col min="3" max="5" width="27.453125" customWidth="1"/>
    <col min="6" max="6" width="22" customWidth="1"/>
    <col min="7" max="7" width="1.54296875" customWidth="1"/>
    <col min="8" max="8" width="20.90625" customWidth="1"/>
  </cols>
  <sheetData>
    <row r="1" spans="2:8" ht="13" thickBot="1" x14ac:dyDescent="0.3"/>
    <row r="2" spans="2:8" x14ac:dyDescent="0.25">
      <c r="B2" t="s">
        <v>901</v>
      </c>
      <c r="H2" s="223" t="s">
        <v>940</v>
      </c>
    </row>
    <row r="3" spans="2:8" x14ac:dyDescent="0.25">
      <c r="H3" s="224"/>
    </row>
    <row r="4" spans="2:8" x14ac:dyDescent="0.25">
      <c r="B4" t="s">
        <v>902</v>
      </c>
      <c r="H4" s="224"/>
    </row>
    <row r="5" spans="2:8" x14ac:dyDescent="0.25">
      <c r="H5" s="224"/>
    </row>
    <row r="6" spans="2:8" x14ac:dyDescent="0.25">
      <c r="C6" t="s">
        <v>903</v>
      </c>
      <c r="H6" s="224"/>
    </row>
    <row r="7" spans="2:8" x14ac:dyDescent="0.25">
      <c r="C7" t="s">
        <v>904</v>
      </c>
      <c r="H7" s="224"/>
    </row>
    <row r="8" spans="2:8" x14ac:dyDescent="0.25">
      <c r="C8" t="s">
        <v>905</v>
      </c>
      <c r="H8" s="224"/>
    </row>
    <row r="9" spans="2:8" x14ac:dyDescent="0.25">
      <c r="C9" t="s">
        <v>906</v>
      </c>
      <c r="H9" s="224"/>
    </row>
    <row r="10" spans="2:8" x14ac:dyDescent="0.25">
      <c r="H10" s="224"/>
    </row>
    <row r="11" spans="2:8" x14ac:dyDescent="0.25">
      <c r="B11" t="s">
        <v>907</v>
      </c>
      <c r="H11" s="224"/>
    </row>
    <row r="12" spans="2:8" x14ac:dyDescent="0.25">
      <c r="H12" s="224"/>
    </row>
    <row r="13" spans="2:8" x14ac:dyDescent="0.25">
      <c r="C13" t="s">
        <v>908</v>
      </c>
      <c r="H13" s="224"/>
    </row>
    <row r="14" spans="2:8" x14ac:dyDescent="0.25">
      <c r="H14" s="224"/>
    </row>
    <row r="15" spans="2:8" x14ac:dyDescent="0.25">
      <c r="C15" t="s">
        <v>909</v>
      </c>
      <c r="H15" s="224"/>
    </row>
    <row r="16" spans="2:8" x14ac:dyDescent="0.25">
      <c r="C16" t="s">
        <v>910</v>
      </c>
      <c r="H16" s="224"/>
    </row>
    <row r="17" spans="2:8" x14ac:dyDescent="0.25">
      <c r="C17" t="s">
        <v>912</v>
      </c>
      <c r="H17" s="224"/>
    </row>
    <row r="18" spans="2:8" x14ac:dyDescent="0.25">
      <c r="H18" s="224"/>
    </row>
    <row r="19" spans="2:8" ht="13" thickBot="1" x14ac:dyDescent="0.3">
      <c r="B19" t="s">
        <v>913</v>
      </c>
      <c r="H19" s="225"/>
    </row>
    <row r="20" spans="2:8" x14ac:dyDescent="0.25">
      <c r="B20" t="s">
        <v>914</v>
      </c>
    </row>
    <row r="21" spans="2:8" x14ac:dyDescent="0.25">
      <c r="C21" t="s">
        <v>915</v>
      </c>
    </row>
    <row r="23" spans="2:8" x14ac:dyDescent="0.25">
      <c r="B23" t="s">
        <v>916</v>
      </c>
    </row>
    <row r="24" spans="2:8" x14ac:dyDescent="0.25">
      <c r="C24" t="s">
        <v>917</v>
      </c>
    </row>
    <row r="25" spans="2:8" x14ac:dyDescent="0.25">
      <c r="C25" t="s">
        <v>918</v>
      </c>
    </row>
    <row r="26" spans="2:8" x14ac:dyDescent="0.25">
      <c r="C26" t="s">
        <v>919</v>
      </c>
    </row>
    <row r="28" spans="2:8" x14ac:dyDescent="0.25">
      <c r="B28" t="s">
        <v>920</v>
      </c>
    </row>
    <row r="29" spans="2:8" x14ac:dyDescent="0.25">
      <c r="C29" t="s">
        <v>921</v>
      </c>
    </row>
    <row r="30" spans="2:8" x14ac:dyDescent="0.25">
      <c r="C30" t="s">
        <v>918</v>
      </c>
    </row>
    <row r="31" spans="2:8" x14ac:dyDescent="0.25">
      <c r="C31" t="s">
        <v>922</v>
      </c>
    </row>
    <row r="33" spans="2:5" x14ac:dyDescent="0.25">
      <c r="B33" t="s">
        <v>923</v>
      </c>
    </row>
    <row r="34" spans="2:5" x14ac:dyDescent="0.25">
      <c r="C34" t="s">
        <v>924</v>
      </c>
    </row>
    <row r="35" spans="2:5" x14ac:dyDescent="0.25">
      <c r="C35" t="s">
        <v>925</v>
      </c>
    </row>
    <row r="36" spans="2:5" x14ac:dyDescent="0.25">
      <c r="C36" t="s">
        <v>926</v>
      </c>
    </row>
    <row r="37" spans="2:5" x14ac:dyDescent="0.25">
      <c r="C37" t="s">
        <v>927</v>
      </c>
    </row>
    <row r="38" spans="2:5" x14ac:dyDescent="0.25">
      <c r="C38" t="s">
        <v>928</v>
      </c>
    </row>
    <row r="41" spans="2:5" x14ac:dyDescent="0.25">
      <c r="C41" t="s">
        <v>929</v>
      </c>
      <c r="D41" t="s">
        <v>910</v>
      </c>
      <c r="E41" t="s">
        <v>912</v>
      </c>
    </row>
    <row r="42" spans="2:5" x14ac:dyDescent="0.25">
      <c r="C42" t="s">
        <v>930</v>
      </c>
      <c r="D42" t="s">
        <v>931</v>
      </c>
      <c r="E42" t="s">
        <v>932</v>
      </c>
    </row>
    <row r="43" spans="2:5" x14ac:dyDescent="0.25">
      <c r="C43" t="s">
        <v>933</v>
      </c>
      <c r="D43" t="s">
        <v>934</v>
      </c>
      <c r="E43" t="s">
        <v>935</v>
      </c>
    </row>
    <row r="44" spans="2:5" x14ac:dyDescent="0.25">
      <c r="C44" t="s">
        <v>936</v>
      </c>
      <c r="D44" t="s">
        <v>911</v>
      </c>
      <c r="E44" t="s">
        <v>935</v>
      </c>
    </row>
    <row r="45" spans="2:5" x14ac:dyDescent="0.25">
      <c r="C45" t="s">
        <v>937</v>
      </c>
      <c r="D45" t="s">
        <v>938</v>
      </c>
      <c r="E45" t="s">
        <v>939</v>
      </c>
    </row>
  </sheetData>
  <mergeCells count="1">
    <mergeCell ref="H2:H19"/>
  </mergeCells>
  <pageMargins left="0.7" right="0.7" top="0.75" bottom="0.75" header="0.3" footer="0.3"/>
  <pageSetup orientation="portrait" horizontalDpi="1200" verticalDpi="1200"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B1:P19"/>
  <sheetViews>
    <sheetView workbookViewId="0">
      <selection activeCell="B16" sqref="B16"/>
    </sheetView>
  </sheetViews>
  <sheetFormatPr defaultColWidth="8.81640625" defaultRowHeight="12.5" x14ac:dyDescent="0.25"/>
  <cols>
    <col min="1" max="1" width="1.26953125" style="9" customWidth="1"/>
    <col min="2" max="2" width="12.7265625" style="9" customWidth="1"/>
    <col min="3" max="3" width="19" style="9" bestFit="1" customWidth="1"/>
    <col min="4" max="5" width="15.26953125" style="9" customWidth="1"/>
    <col min="6" max="6" width="15" style="9" customWidth="1"/>
    <col min="7" max="7" width="13.81640625" style="9" customWidth="1"/>
    <col min="8" max="8" width="9.26953125" style="9" hidden="1" customWidth="1"/>
    <col min="9" max="9" width="7.26953125" style="9" hidden="1" customWidth="1"/>
    <col min="10" max="10" width="18.26953125" style="9" hidden="1" customWidth="1"/>
    <col min="11" max="12" width="0" style="9" hidden="1" customWidth="1"/>
    <col min="13" max="13" width="7.1796875" style="9" customWidth="1"/>
    <col min="14" max="14" width="10" style="9" customWidth="1"/>
    <col min="15" max="15" width="15" style="9" bestFit="1" customWidth="1"/>
    <col min="16" max="16" width="44.7265625" style="9" bestFit="1" customWidth="1"/>
    <col min="17" max="16384" width="8.81640625" style="9"/>
  </cols>
  <sheetData>
    <row r="1" spans="2:16" x14ac:dyDescent="0.25">
      <c r="J1" s="9" t="s">
        <v>801</v>
      </c>
      <c r="K1" s="100">
        <v>39083</v>
      </c>
    </row>
    <row r="2" spans="2:16" ht="15.5" x14ac:dyDescent="0.35">
      <c r="B2" s="101" t="s">
        <v>802</v>
      </c>
      <c r="G2" s="102">
        <f ca="1">DATE(YEAR(TODAY()),1,1)</f>
        <v>43831</v>
      </c>
    </row>
    <row r="3" spans="2:16" ht="13" thickBot="1" x14ac:dyDescent="0.3">
      <c r="K3" s="100"/>
    </row>
    <row r="4" spans="2:16" ht="13" x14ac:dyDescent="0.3">
      <c r="B4" s="103" t="s">
        <v>803</v>
      </c>
      <c r="C4" s="103" t="s">
        <v>31</v>
      </c>
      <c r="D4" s="103" t="s">
        <v>804</v>
      </c>
      <c r="E4" s="103" t="s">
        <v>805</v>
      </c>
      <c r="F4" s="103" t="s">
        <v>202</v>
      </c>
      <c r="G4" s="103" t="s">
        <v>203</v>
      </c>
      <c r="H4" s="104" t="s">
        <v>1</v>
      </c>
      <c r="I4" s="104" t="s">
        <v>806</v>
      </c>
      <c r="J4" s="11" t="s">
        <v>807</v>
      </c>
      <c r="K4" s="11" t="s">
        <v>1</v>
      </c>
      <c r="L4" s="105" t="s">
        <v>806</v>
      </c>
      <c r="M4" s="103" t="s">
        <v>1</v>
      </c>
      <c r="N4" s="103" t="s">
        <v>806</v>
      </c>
      <c r="O4" s="103" t="s">
        <v>808</v>
      </c>
      <c r="P4" s="103" t="s">
        <v>809</v>
      </c>
    </row>
    <row r="5" spans="2:16" x14ac:dyDescent="0.25">
      <c r="B5" s="106">
        <v>50001</v>
      </c>
      <c r="C5" s="107" t="s">
        <v>810</v>
      </c>
      <c r="D5" s="108">
        <v>110000</v>
      </c>
      <c r="E5" s="108">
        <f>ROUND(D5/1.09,-3)</f>
        <v>101000</v>
      </c>
      <c r="F5" s="109">
        <f ca="1">DATE(YEAR($G$2)-47,3,5)</f>
        <v>26728</v>
      </c>
      <c r="G5" s="109">
        <f ca="1">DATE(YEAR($G$2)-27,3,2)</f>
        <v>34030</v>
      </c>
      <c r="H5" s="110">
        <f t="shared" ref="H5:I14" ca="1" si="0">YEAR($G$2)-YEAR(F5)-1</f>
        <v>46</v>
      </c>
      <c r="I5" s="110">
        <f t="shared" ca="1" si="0"/>
        <v>26</v>
      </c>
      <c r="J5" s="111"/>
      <c r="K5" s="112">
        <f>ROUNDDOWN(($K$1-D5)/365.25,0)</f>
        <v>-194</v>
      </c>
      <c r="L5" s="111">
        <f ca="1">ROUNDDOWN(($K$1-F5-365-15)/365.25,0)</f>
        <v>32</v>
      </c>
      <c r="M5" s="113">
        <f t="shared" ref="M5:M14" ca="1" si="1">YEAR($G$2)-YEAR(F5)-IF(DATE(YEAR($G$2),MONTH(F5),DAY(F5))&gt;$G$2,1,0)</f>
        <v>46</v>
      </c>
      <c r="N5" s="114">
        <f t="shared" ref="N5:N14" ca="1" si="2">($G$2-G5)/365.25</f>
        <v>26.833675564681723</v>
      </c>
      <c r="O5" s="113">
        <f ca="1">ROUND(2%*N5*D5,0)</f>
        <v>59034</v>
      </c>
      <c r="P5" s="115" t="s">
        <v>811</v>
      </c>
    </row>
    <row r="6" spans="2:16" x14ac:dyDescent="0.25">
      <c r="B6" s="106">
        <f>B5+1</f>
        <v>50002</v>
      </c>
      <c r="C6" s="107" t="s">
        <v>812</v>
      </c>
      <c r="D6" s="108">
        <v>99000</v>
      </c>
      <c r="E6" s="108">
        <f t="shared" ref="E6:E14" si="3">ROUND(D6/1.09,-3)</f>
        <v>91000</v>
      </c>
      <c r="F6" s="109">
        <f ca="1">DATE(YEAR($G$2)-65,3,2)</f>
        <v>20150</v>
      </c>
      <c r="G6" s="109">
        <f ca="1">DATE(YEAR($G$2)-3,9,3)</f>
        <v>42981</v>
      </c>
      <c r="H6" s="110">
        <f t="shared" ca="1" si="0"/>
        <v>64</v>
      </c>
      <c r="I6" s="110">
        <f t="shared" ca="1" si="0"/>
        <v>2</v>
      </c>
      <c r="J6" s="111"/>
      <c r="K6" s="112">
        <f t="shared" ref="K6:K14" si="4">ROUNDDOWN(($K$1-D6)/365.25,0)</f>
        <v>-164</v>
      </c>
      <c r="L6" s="111">
        <f t="shared" ref="L6:L14" ca="1" si="5">ROUNDDOWN(($K$1-F6-365-15)/365.25,0)</f>
        <v>50</v>
      </c>
      <c r="M6" s="113">
        <f t="shared" ca="1" si="1"/>
        <v>64</v>
      </c>
      <c r="N6" s="114">
        <f t="shared" ca="1" si="2"/>
        <v>2.3271731690622861</v>
      </c>
      <c r="O6" s="113">
        <f t="shared" ref="O6:O14" ca="1" si="6">ROUND(2%*N6*D6,0)</f>
        <v>4608</v>
      </c>
      <c r="P6" s="115" t="s">
        <v>813</v>
      </c>
    </row>
    <row r="7" spans="2:16" x14ac:dyDescent="0.25">
      <c r="B7" s="106">
        <f t="shared" ref="B7:B14" si="7">B6+1</f>
        <v>50003</v>
      </c>
      <c r="C7" s="107" t="s">
        <v>814</v>
      </c>
      <c r="D7" s="108">
        <v>98000</v>
      </c>
      <c r="E7" s="108">
        <f t="shared" si="3"/>
        <v>90000</v>
      </c>
      <c r="F7" s="109">
        <f ca="1">DATE(YEAR($G$2)-63,5,9)</f>
        <v>20949</v>
      </c>
      <c r="G7" s="109">
        <f ca="1">DATE(YEAR($G$2)-15,1,3)</f>
        <v>38355</v>
      </c>
      <c r="H7" s="110">
        <f t="shared" ca="1" si="0"/>
        <v>62</v>
      </c>
      <c r="I7" s="110">
        <f t="shared" ca="1" si="0"/>
        <v>14</v>
      </c>
      <c r="J7" s="111"/>
      <c r="K7" s="112">
        <f t="shared" si="4"/>
        <v>-161</v>
      </c>
      <c r="L7" s="111">
        <f t="shared" ca="1" si="5"/>
        <v>48</v>
      </c>
      <c r="M7" s="113">
        <f t="shared" ca="1" si="1"/>
        <v>62</v>
      </c>
      <c r="N7" s="114">
        <f t="shared" ca="1" si="2"/>
        <v>14.992470910335387</v>
      </c>
      <c r="O7" s="113">
        <f t="shared" ca="1" si="6"/>
        <v>29385</v>
      </c>
      <c r="P7" s="115" t="s">
        <v>815</v>
      </c>
    </row>
    <row r="8" spans="2:16" x14ac:dyDescent="0.25">
      <c r="B8" s="106">
        <f t="shared" si="7"/>
        <v>50004</v>
      </c>
      <c r="C8" s="107" t="s">
        <v>210</v>
      </c>
      <c r="D8" s="108">
        <v>97000</v>
      </c>
      <c r="E8" s="108">
        <f t="shared" si="3"/>
        <v>89000</v>
      </c>
      <c r="F8" s="109">
        <f ca="1">DATE(YEAR($G$2)-64,9,9)</f>
        <v>20707</v>
      </c>
      <c r="G8" s="109">
        <f ca="1">DATE(YEAR($G$2)-8,10,9)</f>
        <v>41191</v>
      </c>
      <c r="H8" s="110">
        <f t="shared" ca="1" si="0"/>
        <v>63</v>
      </c>
      <c r="I8" s="110">
        <f t="shared" ca="1" si="0"/>
        <v>7</v>
      </c>
      <c r="J8" s="111"/>
      <c r="K8" s="112">
        <f t="shared" si="4"/>
        <v>-158</v>
      </c>
      <c r="L8" s="111">
        <f t="shared" ca="1" si="5"/>
        <v>49</v>
      </c>
      <c r="M8" s="113">
        <f t="shared" ca="1" si="1"/>
        <v>63</v>
      </c>
      <c r="N8" s="114">
        <f t="shared" ca="1" si="2"/>
        <v>7.2279260780287471</v>
      </c>
      <c r="O8" s="113">
        <f t="shared" ca="1" si="6"/>
        <v>14022</v>
      </c>
      <c r="P8" s="115" t="s">
        <v>816</v>
      </c>
    </row>
    <row r="9" spans="2:16" x14ac:dyDescent="0.25">
      <c r="B9" s="106">
        <f t="shared" si="7"/>
        <v>50005</v>
      </c>
      <c r="C9" s="107" t="s">
        <v>817</v>
      </c>
      <c r="D9" s="108">
        <v>96000</v>
      </c>
      <c r="E9" s="108">
        <f t="shared" si="3"/>
        <v>88000</v>
      </c>
      <c r="F9" s="109">
        <f ca="1">DATE(YEAR($G$2)-47,6,8)</f>
        <v>26823</v>
      </c>
      <c r="G9" s="109">
        <f ca="1">DATE(YEAR($G$2)-7,3,5)</f>
        <v>41338</v>
      </c>
      <c r="H9" s="110">
        <f t="shared" ca="1" si="0"/>
        <v>46</v>
      </c>
      <c r="I9" s="110">
        <f t="shared" ca="1" si="0"/>
        <v>6</v>
      </c>
      <c r="J9" s="111"/>
      <c r="K9" s="112">
        <f t="shared" si="4"/>
        <v>-155</v>
      </c>
      <c r="L9" s="111">
        <f t="shared" ca="1" si="5"/>
        <v>32</v>
      </c>
      <c r="M9" s="113">
        <f t="shared" ca="1" si="1"/>
        <v>46</v>
      </c>
      <c r="N9" s="114">
        <f t="shared" ca="1" si="2"/>
        <v>6.8254620123203287</v>
      </c>
      <c r="O9" s="113">
        <f t="shared" ca="1" si="6"/>
        <v>13105</v>
      </c>
      <c r="P9" s="115" t="s">
        <v>818</v>
      </c>
    </row>
    <row r="10" spans="2:16" x14ac:dyDescent="0.25">
      <c r="B10" s="106">
        <f t="shared" si="7"/>
        <v>50006</v>
      </c>
      <c r="C10" s="107" t="s">
        <v>819</v>
      </c>
      <c r="D10" s="108">
        <v>95000</v>
      </c>
      <c r="E10" s="108">
        <f t="shared" si="3"/>
        <v>87000</v>
      </c>
      <c r="F10" s="109">
        <f ca="1">DATE(YEAR($G$2)-56,3,2)</f>
        <v>23438</v>
      </c>
      <c r="G10" s="109">
        <f ca="1">DATE(YEAR($G$2)-20,1,3)</f>
        <v>36528</v>
      </c>
      <c r="H10" s="110">
        <f t="shared" ca="1" si="0"/>
        <v>55</v>
      </c>
      <c r="I10" s="110">
        <f t="shared" ca="1" si="0"/>
        <v>19</v>
      </c>
      <c r="J10" s="111"/>
      <c r="K10" s="112">
        <f t="shared" si="4"/>
        <v>-153</v>
      </c>
      <c r="L10" s="111">
        <f t="shared" ca="1" si="5"/>
        <v>41</v>
      </c>
      <c r="M10" s="113">
        <f t="shared" ca="1" si="1"/>
        <v>55</v>
      </c>
      <c r="N10" s="114">
        <f t="shared" ca="1" si="2"/>
        <v>19.994524298425734</v>
      </c>
      <c r="O10" s="113">
        <f t="shared" ca="1" si="6"/>
        <v>37990</v>
      </c>
      <c r="P10" s="115" t="s">
        <v>820</v>
      </c>
    </row>
    <row r="11" spans="2:16" x14ac:dyDescent="0.25">
      <c r="B11" s="106">
        <f t="shared" si="7"/>
        <v>50007</v>
      </c>
      <c r="C11" s="107" t="s">
        <v>821</v>
      </c>
      <c r="D11" s="108">
        <v>100000</v>
      </c>
      <c r="E11" s="108">
        <f t="shared" si="3"/>
        <v>92000</v>
      </c>
      <c r="F11" s="109">
        <f ca="1">DATE(YEAR($G$2)-65,12,12)</f>
        <v>20435</v>
      </c>
      <c r="G11" s="109">
        <f ca="1">DATE(YEAR($G$2)-30,8,23)</f>
        <v>33108</v>
      </c>
      <c r="H11" s="110">
        <f t="shared" ca="1" si="0"/>
        <v>64</v>
      </c>
      <c r="I11" s="110">
        <f t="shared" ca="1" si="0"/>
        <v>29</v>
      </c>
      <c r="J11" s="111"/>
      <c r="K11" s="112">
        <f t="shared" si="4"/>
        <v>-166</v>
      </c>
      <c r="L11" s="111">
        <f t="shared" ca="1" si="5"/>
        <v>50</v>
      </c>
      <c r="M11" s="113">
        <f t="shared" ca="1" si="1"/>
        <v>64</v>
      </c>
      <c r="N11" s="114">
        <f t="shared" ca="1" si="2"/>
        <v>29.357973990417523</v>
      </c>
      <c r="O11" s="113">
        <f t="shared" ca="1" si="6"/>
        <v>58716</v>
      </c>
      <c r="P11" s="115" t="s">
        <v>822</v>
      </c>
    </row>
    <row r="12" spans="2:16" x14ac:dyDescent="0.25">
      <c r="B12" s="106">
        <f t="shared" si="7"/>
        <v>50008</v>
      </c>
      <c r="C12" s="107" t="s">
        <v>214</v>
      </c>
      <c r="D12" s="108">
        <v>93000</v>
      </c>
      <c r="E12" s="108">
        <f t="shared" si="3"/>
        <v>85000</v>
      </c>
      <c r="F12" s="109">
        <f ca="1">DATE(YEAR($G$2)-61,11,2)</f>
        <v>21856</v>
      </c>
      <c r="G12" s="109">
        <f ca="1">DATE(YEAR($G$2)-2,12,9)</f>
        <v>43443</v>
      </c>
      <c r="H12" s="110">
        <f t="shared" ca="1" si="0"/>
        <v>60</v>
      </c>
      <c r="I12" s="110">
        <f t="shared" ca="1" si="0"/>
        <v>1</v>
      </c>
      <c r="J12" s="111"/>
      <c r="K12" s="112">
        <f t="shared" si="4"/>
        <v>-147</v>
      </c>
      <c r="L12" s="111">
        <f t="shared" ca="1" si="5"/>
        <v>46</v>
      </c>
      <c r="M12" s="113">
        <f t="shared" ca="1" si="1"/>
        <v>60</v>
      </c>
      <c r="N12" s="114">
        <f t="shared" ca="1" si="2"/>
        <v>1.0622861054072552</v>
      </c>
      <c r="O12" s="113">
        <f t="shared" ca="1" si="6"/>
        <v>1976</v>
      </c>
      <c r="P12" s="115" t="s">
        <v>823</v>
      </c>
    </row>
    <row r="13" spans="2:16" x14ac:dyDescent="0.25">
      <c r="B13" s="106">
        <f t="shared" si="7"/>
        <v>50009</v>
      </c>
      <c r="C13" s="107" t="s">
        <v>824</v>
      </c>
      <c r="D13" s="108">
        <v>92000</v>
      </c>
      <c r="E13" s="108">
        <f t="shared" si="3"/>
        <v>84000</v>
      </c>
      <c r="F13" s="109">
        <f ca="1">DATE(YEAR($G$2)-63,8,27)</f>
        <v>21059</v>
      </c>
      <c r="G13" s="109">
        <f ca="1">DATE(YEAR($G$2)-19,8,29)</f>
        <v>37132</v>
      </c>
      <c r="H13" s="110">
        <f t="shared" ca="1" si="0"/>
        <v>62</v>
      </c>
      <c r="I13" s="110">
        <f t="shared" ca="1" si="0"/>
        <v>18</v>
      </c>
      <c r="J13" s="111"/>
      <c r="K13" s="112">
        <f t="shared" si="4"/>
        <v>-144</v>
      </c>
      <c r="L13" s="111">
        <f t="shared" ca="1" si="5"/>
        <v>48</v>
      </c>
      <c r="M13" s="113">
        <f t="shared" ca="1" si="1"/>
        <v>62</v>
      </c>
      <c r="N13" s="114">
        <f t="shared" ca="1" si="2"/>
        <v>18.340862422997947</v>
      </c>
      <c r="O13" s="113">
        <f t="shared" ca="1" si="6"/>
        <v>33747</v>
      </c>
      <c r="P13" s="115" t="s">
        <v>825</v>
      </c>
    </row>
    <row r="14" spans="2:16" x14ac:dyDescent="0.25">
      <c r="B14" s="106">
        <f t="shared" si="7"/>
        <v>50010</v>
      </c>
      <c r="C14" s="107" t="s">
        <v>826</v>
      </c>
      <c r="D14" s="108">
        <v>91000</v>
      </c>
      <c r="E14" s="108">
        <f t="shared" si="3"/>
        <v>83000</v>
      </c>
      <c r="F14" s="109">
        <f ca="1">DATE(YEAR($G$2)-57,9,12)</f>
        <v>23266</v>
      </c>
      <c r="G14" s="109">
        <f ca="1">DATE(YEAR($G$2)-30,2,7)</f>
        <v>32911</v>
      </c>
      <c r="H14" s="110">
        <f t="shared" ca="1" si="0"/>
        <v>56</v>
      </c>
      <c r="I14" s="110">
        <f t="shared" ca="1" si="0"/>
        <v>29</v>
      </c>
      <c r="J14" s="111"/>
      <c r="K14" s="112">
        <f t="shared" si="4"/>
        <v>-142</v>
      </c>
      <c r="L14" s="111">
        <f t="shared" ca="1" si="5"/>
        <v>42</v>
      </c>
      <c r="M14" s="113">
        <f t="shared" ca="1" si="1"/>
        <v>56</v>
      </c>
      <c r="N14" s="114">
        <f t="shared" ca="1" si="2"/>
        <v>29.897330595482547</v>
      </c>
      <c r="O14" s="113">
        <f t="shared" ca="1" si="6"/>
        <v>54413</v>
      </c>
      <c r="P14" s="115" t="s">
        <v>827</v>
      </c>
    </row>
    <row r="15" spans="2:16" x14ac:dyDescent="0.25">
      <c r="H15" s="110"/>
    </row>
    <row r="19" spans="5:5" x14ac:dyDescent="0.25">
      <c r="E19" s="11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2</vt:i4>
      </vt:variant>
    </vt:vector>
  </HeadingPairs>
  <TitlesOfParts>
    <vt:vector size="27" baseType="lpstr">
      <vt:lpstr>Qx</vt:lpstr>
      <vt:lpstr>CF</vt:lpstr>
      <vt:lpstr>EeData</vt:lpstr>
      <vt:lpstr>Records</vt:lpstr>
      <vt:lpstr>Student Records</vt:lpstr>
      <vt:lpstr>Tax Rates</vt:lpstr>
      <vt:lpstr>Student Record</vt:lpstr>
      <vt:lpstr>Claim Data</vt:lpstr>
      <vt:lpstr>Simulated Loss</vt:lpstr>
      <vt:lpstr>Weight</vt:lpstr>
      <vt:lpstr>Yield Curve</vt:lpstr>
      <vt:lpstr>Employee Database 0</vt:lpstr>
      <vt:lpstr>Employee Database</vt:lpstr>
      <vt:lpstr>Client Data</vt:lpstr>
      <vt:lpstr>Input Notes</vt:lpstr>
      <vt:lpstr>User</vt:lpstr>
      <vt:lpstr>Qx Database</vt:lpstr>
      <vt:lpstr>RV Data</vt:lpstr>
      <vt:lpstr>Table fo life a</vt:lpstr>
      <vt:lpstr>MsgBox</vt:lpstr>
      <vt:lpstr>ProVal1</vt:lpstr>
      <vt:lpstr>ProValM</vt:lpstr>
      <vt:lpstr>ProVal0</vt:lpstr>
      <vt:lpstr>Funded Status</vt:lpstr>
      <vt:lpstr>Record</vt:lpstr>
      <vt:lpstr>'Claim Data'!Print_Area</vt:lpstr>
      <vt:lpstr>'Simulated Loss'!Print_Area</vt:lpstr>
    </vt:vector>
  </TitlesOfParts>
  <Company>MFC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XM1JK7R</dc:creator>
  <cp:lastModifiedBy>Li, Guodong (Buck)</cp:lastModifiedBy>
  <dcterms:created xsi:type="dcterms:W3CDTF">2004-10-01T14:48:55Z</dcterms:created>
  <dcterms:modified xsi:type="dcterms:W3CDTF">2020-04-16T21:14:07Z</dcterms:modified>
</cp:coreProperties>
</file>