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6E46E7F1-863D-4EDA-893F-DCF6FC7C4888}" xr6:coauthVersionLast="45" xr6:coauthVersionMax="45" xr10:uidLastSave="{00000000-0000-0000-0000-000000000000}"/>
  <bookViews>
    <workbookView xWindow="810" yWindow="-120" windowWidth="19800" windowHeight="11760" activeTab="1" xr2:uid="{DD2637DE-EF59-4097-A52C-0C5350F7F0F4}"/>
  </bookViews>
  <sheets>
    <sheet name="Student Records" sheetId="1" r:id="rId1"/>
    <sheet name="Coun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  <c r="C5" i="2" l="1"/>
  <c r="C6" i="2"/>
  <c r="C7" i="2"/>
  <c r="Z14" i="1"/>
  <c r="M14" i="1"/>
  <c r="D14" i="1"/>
  <c r="Z13" i="1"/>
  <c r="M13" i="1"/>
  <c r="D13" i="1"/>
  <c r="Z12" i="1"/>
  <c r="M12" i="1"/>
  <c r="D12" i="1" s="1"/>
  <c r="Z11" i="1"/>
  <c r="M11" i="1"/>
  <c r="D11" i="1" s="1"/>
  <c r="Z10" i="1"/>
  <c r="M10" i="1"/>
  <c r="D10" i="1"/>
  <c r="Z9" i="1"/>
  <c r="M9" i="1"/>
  <c r="D9" i="1" s="1"/>
  <c r="Z8" i="1"/>
  <c r="M8" i="1"/>
  <c r="D8" i="1" s="1"/>
  <c r="Z7" i="1"/>
  <c r="M7" i="1"/>
  <c r="D7" i="1"/>
  <c r="Z6" i="1"/>
  <c r="M6" i="1"/>
  <c r="D6" i="1"/>
  <c r="Z5" i="1"/>
  <c r="D5" i="1" s="1"/>
  <c r="M5" i="1"/>
  <c r="Z4" i="1"/>
  <c r="M4" i="1"/>
  <c r="D4" i="1" s="1"/>
  <c r="Z3" i="1"/>
  <c r="M3" i="1"/>
  <c r="D3" i="1" s="1"/>
</calcChain>
</file>

<file path=xl/sharedStrings.xml><?xml version="1.0" encoding="utf-8"?>
<sst xmlns="http://schemas.openxmlformats.org/spreadsheetml/2006/main" count="55" uniqueCount="40">
  <si>
    <t>Final</t>
  </si>
  <si>
    <t>Total</t>
  </si>
  <si>
    <t>Quizzes</t>
  </si>
  <si>
    <t>Homework</t>
  </si>
  <si>
    <t>Name</t>
  </si>
  <si>
    <t>Email address</t>
  </si>
  <si>
    <t>Grade</t>
  </si>
  <si>
    <t>Points</t>
  </si>
  <si>
    <t>Mid-Term</t>
  </si>
  <si>
    <t>Klendshoj,Roxanne L</t>
  </si>
  <si>
    <t>aa@maryville.edu</t>
  </si>
  <si>
    <t>A</t>
  </si>
  <si>
    <t>Doll Woolley,Jeanne M</t>
  </si>
  <si>
    <t>bb@maryville.edu</t>
  </si>
  <si>
    <t>B</t>
  </si>
  <si>
    <t>Bartho,Jerome F</t>
  </si>
  <si>
    <t>cc@maryville.edu</t>
  </si>
  <si>
    <t>Benson,Scott G</t>
  </si>
  <si>
    <t>dd@maryville.edu</t>
  </si>
  <si>
    <t>Aho,Diane M</t>
  </si>
  <si>
    <t>ee@maryville.edu</t>
  </si>
  <si>
    <t>Larson,DeeAnn S</t>
  </si>
  <si>
    <t>ff@maryville.edu</t>
  </si>
  <si>
    <t>C</t>
  </si>
  <si>
    <t>Nelson,Susann K</t>
  </si>
  <si>
    <t>gg@maryville.edu</t>
  </si>
  <si>
    <t>Asche,Tracy A</t>
  </si>
  <si>
    <t>hh@maryville.edu</t>
  </si>
  <si>
    <t>Carlson,Robert L</t>
  </si>
  <si>
    <t>ii@maryville.edu</t>
  </si>
  <si>
    <t>Donovan,Richard G</t>
  </si>
  <si>
    <t>jj@maryville.edu</t>
  </si>
  <si>
    <t>Shapiro,Susan R</t>
  </si>
  <si>
    <t>kk@maryville.edu</t>
  </si>
  <si>
    <t>F</t>
  </si>
  <si>
    <t>Johnson,Bruce D</t>
  </si>
  <si>
    <t>ll@maryville.edu</t>
  </si>
  <si>
    <t>Student Grade Distribution</t>
  </si>
  <si>
    <t>Letter Grade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</si>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</sst>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9">
    <xf numFmtId="0" fontId="0" fillId="0" borderId="0" xfId="0"/>
    <xf numFmtId="0" fontId="2" fillId="0" borderId="0" xfId="2"/>
    <xf numFmtId="0" fontId="3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0" fontId="2" fillId="2" borderId="0" xfId="2" applyFill="1"/>
    <xf numFmtId="0" fontId="5" fillId="2" borderId="0" xfId="1" applyFill="1" applyAlignment="1" applyProtection="1"/>
    <xf numFmtId="0" fontId="2" fillId="0" borderId="0" xfId="2" applyAlignment="1">
      <alignment horizontal="center"/>
    </xf>
    <xf numFmtId="0" fontId="2" fillId="2" borderId="0" xfId="2" applyFill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78BEC6DA-5C7A-43EE-AD70-420866B03D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Count!$B$2</c:f>
          <c:strCache>
            <c:ptCount val="1"/>
            <c:pt idx="0">
              <c:v>Student Grade Distribution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  <a:bevelB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Count!$B$4:$B$7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F</c:v>
                </c:pt>
              </c:strCache>
            </c:strRef>
          </c:cat>
          <c:val>
            <c:numRef>
              <c:f>Count!$C$4:$C$7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0-421C-BFF9-E9FEC88E6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6"/>
        <c:overlap val="-27"/>
        <c:axId val="1622864352"/>
        <c:axId val="1593696240"/>
      </c:barChart>
      <c:catAx>
        <c:axId val="1622864352"/>
        <c:scaling>
          <c:orientation val="minMax"/>
        </c:scaling>
        <c:delete val="0"/>
        <c:axPos val="b"/>
        <c:title>
          <c:tx>
            <c:strRef>
              <c:f>Count!$B$3</c:f>
              <c:strCache>
                <c:ptCount val="1"/>
                <c:pt idx="0">
                  <c:v>Letter Grade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96240"/>
        <c:crosses val="autoZero"/>
        <c:auto val="1"/>
        <c:lblAlgn val="ctr"/>
        <c:lblOffset val="100"/>
        <c:noMultiLvlLbl val="0"/>
      </c:catAx>
      <c:valAx>
        <c:axId val="15936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Count!$C$3</c:f>
              <c:strCache>
                <c:ptCount val="1"/>
                <c:pt idx="0">
                  <c:v>Number of Students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64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95250</xdr:rowOff>
    </xdr:from>
    <xdr:to>
      <xdr:col>11</xdr:col>
      <xdr:colOff>381000</xdr:colOff>
      <xdr:row>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123FC-64F2-4897-A9A0-98B4280CE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g@maryville.edu" TargetMode="External"/><Relationship Id="rId13" Type="http://schemas.openxmlformats.org/officeDocument/2006/relationships/hyperlink" Target="mailto:ll@maryville.edu" TargetMode="External"/><Relationship Id="rId3" Type="http://schemas.openxmlformats.org/officeDocument/2006/relationships/hyperlink" Target="mailto:bb@maryville.edu" TargetMode="External"/><Relationship Id="rId7" Type="http://schemas.openxmlformats.org/officeDocument/2006/relationships/hyperlink" Target="mailto:ff@maryville.edu" TargetMode="External"/><Relationship Id="rId12" Type="http://schemas.openxmlformats.org/officeDocument/2006/relationships/hyperlink" Target="mailto:kk@maryville.edu" TargetMode="External"/><Relationship Id="rId2" Type="http://schemas.openxmlformats.org/officeDocument/2006/relationships/hyperlink" Target="mailto:aa@maryville.edu" TargetMode="External"/><Relationship Id="rId1" Type="http://schemas.openxmlformats.org/officeDocument/2006/relationships/hyperlink" Target="mailto:aa@maryville.edu" TargetMode="External"/><Relationship Id="rId6" Type="http://schemas.openxmlformats.org/officeDocument/2006/relationships/hyperlink" Target="mailto:ee@maryville.edu" TargetMode="External"/><Relationship Id="rId11" Type="http://schemas.openxmlformats.org/officeDocument/2006/relationships/hyperlink" Target="mailto:jj@maryville.edu" TargetMode="External"/><Relationship Id="rId5" Type="http://schemas.openxmlformats.org/officeDocument/2006/relationships/hyperlink" Target="mailto:dd@maryville.edu" TargetMode="External"/><Relationship Id="rId10" Type="http://schemas.openxmlformats.org/officeDocument/2006/relationships/hyperlink" Target="mailto:ii@maryville.edu" TargetMode="External"/><Relationship Id="rId4" Type="http://schemas.openxmlformats.org/officeDocument/2006/relationships/hyperlink" Target="mailto:cc@maryville.edu" TargetMode="External"/><Relationship Id="rId9" Type="http://schemas.openxmlformats.org/officeDocument/2006/relationships/hyperlink" Target="mailto:hh@maryville.edu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D34-B956-4C80-99C7-DF2F09897474}">
  <sheetPr>
    <pageSetUpPr fitToPage="1"/>
  </sheetPr>
  <dimension ref="A1:Z16"/>
  <sheetViews>
    <sheetView workbookViewId="0"/>
  </sheetViews>
  <sheetFormatPr defaultColWidth="8.85546875" defaultRowHeight="12.75" x14ac:dyDescent="0.2"/>
  <cols>
    <col min="1" max="1" width="20.42578125" style="1" customWidth="1"/>
    <col min="2" max="2" width="9.42578125" style="1" customWidth="1"/>
    <col min="3" max="3" width="7.42578125" style="1" customWidth="1"/>
    <col min="4" max="6" width="8.85546875" style="1"/>
    <col min="7" max="7" width="1.140625" style="1" customWidth="1"/>
    <col min="8" max="12" width="5.7109375" style="1" customWidth="1"/>
    <col min="13" max="13" width="5" style="1" bestFit="1" customWidth="1"/>
    <col min="14" max="14" width="0.7109375" style="1" customWidth="1"/>
    <col min="15" max="25" width="5.7109375" style="1" customWidth="1"/>
    <col min="26" max="26" width="5.5703125" style="1" bestFit="1" customWidth="1"/>
    <col min="27" max="16384" width="8.85546875" style="1"/>
  </cols>
  <sheetData>
    <row r="1" spans="1:26" x14ac:dyDescent="0.2">
      <c r="C1" s="2" t="s">
        <v>0</v>
      </c>
      <c r="D1" s="2" t="s">
        <v>1</v>
      </c>
      <c r="G1" s="2"/>
      <c r="H1" s="16" t="s">
        <v>2</v>
      </c>
      <c r="I1" s="16"/>
      <c r="J1" s="16"/>
      <c r="K1" s="16"/>
      <c r="L1" s="16"/>
      <c r="M1" s="16"/>
      <c r="O1" s="16" t="s">
        <v>3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3" t="s">
        <v>4</v>
      </c>
      <c r="B2" s="3" t="s">
        <v>5</v>
      </c>
      <c r="C2" s="4" t="s">
        <v>6</v>
      </c>
      <c r="D2" s="4" t="s">
        <v>7</v>
      </c>
      <c r="E2" s="4" t="s">
        <v>0</v>
      </c>
      <c r="F2" s="4" t="s">
        <v>8</v>
      </c>
      <c r="G2" s="4"/>
      <c r="H2" s="4">
        <v>1</v>
      </c>
      <c r="I2" s="4">
        <v>2</v>
      </c>
      <c r="J2" s="4">
        <v>3</v>
      </c>
      <c r="K2" s="4">
        <v>4</v>
      </c>
      <c r="L2" s="4">
        <v>5</v>
      </c>
      <c r="M2" s="4" t="s">
        <v>1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 t="s">
        <v>1</v>
      </c>
    </row>
    <row r="3" spans="1:26" x14ac:dyDescent="0.2">
      <c r="A3" s="5" t="s">
        <v>9</v>
      </c>
      <c r="B3" s="6" t="s">
        <v>10</v>
      </c>
      <c r="C3" s="7" t="s">
        <v>11</v>
      </c>
      <c r="D3" s="7">
        <f t="shared" ref="D3:D14" si="0">SUM(E3:G3,M3,Z3)</f>
        <v>488</v>
      </c>
      <c r="E3" s="8">
        <v>195</v>
      </c>
      <c r="F3" s="8">
        <v>98</v>
      </c>
      <c r="G3" s="7"/>
      <c r="H3" s="8">
        <v>24</v>
      </c>
      <c r="I3" s="8">
        <v>23</v>
      </c>
      <c r="J3" s="8">
        <v>18</v>
      </c>
      <c r="K3" s="8">
        <v>23</v>
      </c>
      <c r="L3" s="8">
        <v>21</v>
      </c>
      <c r="M3" s="7">
        <f>SUM(H3:L3)</f>
        <v>109</v>
      </c>
      <c r="O3" s="8">
        <v>10</v>
      </c>
      <c r="P3" s="8">
        <v>9</v>
      </c>
      <c r="Q3" s="8">
        <v>7</v>
      </c>
      <c r="R3" s="8">
        <v>8</v>
      </c>
      <c r="S3" s="8">
        <v>6</v>
      </c>
      <c r="T3" s="8">
        <v>8</v>
      </c>
      <c r="U3" s="8">
        <v>7</v>
      </c>
      <c r="V3" s="8">
        <v>6</v>
      </c>
      <c r="W3" s="8">
        <v>8</v>
      </c>
      <c r="X3" s="8">
        <v>10</v>
      </c>
      <c r="Y3" s="8">
        <v>7</v>
      </c>
      <c r="Z3" s="7">
        <f>SUM(O3:Y3)</f>
        <v>86</v>
      </c>
    </row>
    <row r="4" spans="1:26" x14ac:dyDescent="0.2">
      <c r="A4" s="5" t="s">
        <v>12</v>
      </c>
      <c r="B4" s="6" t="s">
        <v>13</v>
      </c>
      <c r="C4" s="7" t="s">
        <v>14</v>
      </c>
      <c r="D4" s="7">
        <f t="shared" si="0"/>
        <v>439</v>
      </c>
      <c r="E4" s="8">
        <v>190</v>
      </c>
      <c r="F4" s="8">
        <v>96</v>
      </c>
      <c r="G4" s="7"/>
      <c r="H4" s="8">
        <v>23</v>
      </c>
      <c r="I4" s="8">
        <v>22</v>
      </c>
      <c r="J4" s="8">
        <v>17</v>
      </c>
      <c r="K4" s="8">
        <v>22</v>
      </c>
      <c r="L4" s="8">
        <v>20</v>
      </c>
      <c r="M4" s="7">
        <f t="shared" ref="M4:M14" si="1">SUM(H4:L4)</f>
        <v>104</v>
      </c>
      <c r="O4" s="8">
        <v>9</v>
      </c>
      <c r="P4" s="8">
        <v>8</v>
      </c>
      <c r="Q4" s="8">
        <v>0</v>
      </c>
      <c r="R4" s="8">
        <v>7</v>
      </c>
      <c r="S4" s="8">
        <v>0</v>
      </c>
      <c r="T4" s="8">
        <v>2</v>
      </c>
      <c r="U4" s="8">
        <v>5</v>
      </c>
      <c r="V4" s="8">
        <v>4</v>
      </c>
      <c r="W4" s="8">
        <v>6</v>
      </c>
      <c r="X4" s="8">
        <v>8</v>
      </c>
      <c r="Y4" s="8"/>
      <c r="Z4" s="7">
        <f t="shared" ref="Z4:Z14" si="2">SUM(O4:Y4)</f>
        <v>49</v>
      </c>
    </row>
    <row r="5" spans="1:26" x14ac:dyDescent="0.2">
      <c r="A5" s="5" t="s">
        <v>15</v>
      </c>
      <c r="B5" s="6" t="s">
        <v>16</v>
      </c>
      <c r="C5" s="7" t="s">
        <v>11</v>
      </c>
      <c r="D5" s="7">
        <f t="shared" si="0"/>
        <v>458</v>
      </c>
      <c r="E5" s="8">
        <v>185</v>
      </c>
      <c r="F5" s="8">
        <v>94</v>
      </c>
      <c r="G5" s="7"/>
      <c r="H5" s="8">
        <v>22</v>
      </c>
      <c r="I5" s="8">
        <v>25</v>
      </c>
      <c r="J5" s="8">
        <v>25</v>
      </c>
      <c r="K5" s="8">
        <v>25</v>
      </c>
      <c r="L5" s="8">
        <v>25</v>
      </c>
      <c r="M5" s="7">
        <f t="shared" si="1"/>
        <v>122</v>
      </c>
      <c r="O5" s="8">
        <v>8</v>
      </c>
      <c r="P5" s="8">
        <v>7</v>
      </c>
      <c r="Q5" s="8">
        <v>9</v>
      </c>
      <c r="R5" s="8">
        <v>7</v>
      </c>
      <c r="S5" s="8">
        <v>10</v>
      </c>
      <c r="T5" s="8">
        <v>7</v>
      </c>
      <c r="U5" s="8">
        <v>3</v>
      </c>
      <c r="V5" s="8">
        <v>2</v>
      </c>
      <c r="W5" s="8">
        <v>4</v>
      </c>
      <c r="X5" s="8"/>
      <c r="Y5" s="8"/>
      <c r="Z5" s="7">
        <f t="shared" si="2"/>
        <v>57</v>
      </c>
    </row>
    <row r="6" spans="1:26" x14ac:dyDescent="0.2">
      <c r="A6" s="5" t="s">
        <v>17</v>
      </c>
      <c r="B6" s="6" t="s">
        <v>18</v>
      </c>
      <c r="C6" s="7" t="s">
        <v>14</v>
      </c>
      <c r="D6" s="7">
        <f t="shared" si="0"/>
        <v>430</v>
      </c>
      <c r="E6" s="8">
        <v>180</v>
      </c>
      <c r="F6" s="8">
        <v>92</v>
      </c>
      <c r="G6" s="7"/>
      <c r="H6" s="8">
        <v>21</v>
      </c>
      <c r="I6" s="8">
        <v>20</v>
      </c>
      <c r="J6" s="8">
        <v>25</v>
      </c>
      <c r="K6" s="8">
        <v>20</v>
      </c>
      <c r="L6" s="8">
        <v>22</v>
      </c>
      <c r="M6" s="7">
        <f t="shared" si="1"/>
        <v>108</v>
      </c>
      <c r="O6" s="8">
        <v>7</v>
      </c>
      <c r="P6" s="8">
        <v>6</v>
      </c>
      <c r="Q6" s="8">
        <v>8</v>
      </c>
      <c r="R6" s="8">
        <v>10</v>
      </c>
      <c r="S6" s="8">
        <v>7</v>
      </c>
      <c r="T6" s="8">
        <v>9</v>
      </c>
      <c r="U6" s="8">
        <v>2</v>
      </c>
      <c r="V6" s="8">
        <v>1</v>
      </c>
      <c r="W6" s="8"/>
      <c r="X6" s="8"/>
      <c r="Y6" s="8"/>
      <c r="Z6" s="7">
        <f t="shared" si="2"/>
        <v>50</v>
      </c>
    </row>
    <row r="7" spans="1:26" x14ac:dyDescent="0.2">
      <c r="A7" s="5" t="s">
        <v>19</v>
      </c>
      <c r="B7" s="6" t="s">
        <v>20</v>
      </c>
      <c r="C7" s="7" t="s">
        <v>11</v>
      </c>
      <c r="D7" s="7">
        <f t="shared" si="0"/>
        <v>458</v>
      </c>
      <c r="E7" s="8">
        <v>198</v>
      </c>
      <c r="F7" s="8">
        <v>90</v>
      </c>
      <c r="G7" s="7"/>
      <c r="H7" s="8">
        <v>25</v>
      </c>
      <c r="I7" s="8">
        <v>25</v>
      </c>
      <c r="J7" s="8">
        <v>25</v>
      </c>
      <c r="K7" s="8">
        <v>25</v>
      </c>
      <c r="L7" s="8">
        <v>21</v>
      </c>
      <c r="M7" s="7">
        <f t="shared" si="1"/>
        <v>121</v>
      </c>
      <c r="O7" s="8">
        <v>6</v>
      </c>
      <c r="P7" s="8">
        <v>5</v>
      </c>
      <c r="Q7" s="8">
        <v>7</v>
      </c>
      <c r="R7" s="8">
        <v>9</v>
      </c>
      <c r="S7" s="8">
        <v>6</v>
      </c>
      <c r="T7" s="8">
        <v>8</v>
      </c>
      <c r="U7" s="8">
        <v>8</v>
      </c>
      <c r="V7" s="8"/>
      <c r="W7" s="8"/>
      <c r="X7" s="8"/>
      <c r="Y7" s="8"/>
      <c r="Z7" s="7">
        <f t="shared" si="2"/>
        <v>49</v>
      </c>
    </row>
    <row r="8" spans="1:26" x14ac:dyDescent="0.2">
      <c r="A8" s="5" t="s">
        <v>21</v>
      </c>
      <c r="B8" s="6" t="s">
        <v>22</v>
      </c>
      <c r="C8" s="7" t="s">
        <v>23</v>
      </c>
      <c r="D8" s="7">
        <f t="shared" si="0"/>
        <v>391</v>
      </c>
      <c r="E8" s="8">
        <v>170</v>
      </c>
      <c r="F8" s="8">
        <v>88</v>
      </c>
      <c r="G8" s="7"/>
      <c r="H8" s="8">
        <v>19</v>
      </c>
      <c r="I8" s="8">
        <v>18</v>
      </c>
      <c r="J8" s="8">
        <v>23</v>
      </c>
      <c r="K8" s="8">
        <v>18</v>
      </c>
      <c r="L8" s="8">
        <v>20</v>
      </c>
      <c r="M8" s="7">
        <f t="shared" si="1"/>
        <v>98</v>
      </c>
      <c r="O8" s="8">
        <v>5</v>
      </c>
      <c r="P8" s="8">
        <v>4</v>
      </c>
      <c r="Q8" s="8">
        <v>6</v>
      </c>
      <c r="R8" s="8">
        <v>8</v>
      </c>
      <c r="S8" s="8">
        <v>5</v>
      </c>
      <c r="T8" s="8">
        <v>7</v>
      </c>
      <c r="U8" s="8"/>
      <c r="V8" s="8"/>
      <c r="W8" s="8"/>
      <c r="X8" s="8"/>
      <c r="Y8" s="8"/>
      <c r="Z8" s="7">
        <f t="shared" si="2"/>
        <v>35</v>
      </c>
    </row>
    <row r="9" spans="1:26" x14ac:dyDescent="0.2">
      <c r="A9" s="5" t="s">
        <v>24</v>
      </c>
      <c r="B9" s="6" t="s">
        <v>25</v>
      </c>
      <c r="C9" s="7" t="s">
        <v>14</v>
      </c>
      <c r="D9" s="7">
        <f t="shared" si="0"/>
        <v>420</v>
      </c>
      <c r="E9" s="8">
        <v>200</v>
      </c>
      <c r="F9" s="8">
        <v>86</v>
      </c>
      <c r="G9" s="7"/>
      <c r="H9" s="8">
        <v>18</v>
      </c>
      <c r="I9" s="8">
        <v>17</v>
      </c>
      <c r="J9" s="8">
        <v>22</v>
      </c>
      <c r="K9" s="8">
        <v>17</v>
      </c>
      <c r="L9" s="8">
        <v>19</v>
      </c>
      <c r="M9" s="7">
        <f t="shared" si="1"/>
        <v>93</v>
      </c>
      <c r="O9" s="8">
        <v>10</v>
      </c>
      <c r="P9" s="8">
        <v>6</v>
      </c>
      <c r="Q9" s="8">
        <v>8</v>
      </c>
      <c r="R9" s="8">
        <v>10</v>
      </c>
      <c r="S9" s="8">
        <v>7</v>
      </c>
      <c r="T9" s="8"/>
      <c r="U9" s="8"/>
      <c r="V9" s="8"/>
      <c r="W9" s="8"/>
      <c r="X9" s="8"/>
      <c r="Y9" s="8"/>
      <c r="Z9" s="7">
        <f t="shared" si="2"/>
        <v>41</v>
      </c>
    </row>
    <row r="10" spans="1:26" x14ac:dyDescent="0.2">
      <c r="A10" s="5" t="s">
        <v>26</v>
      </c>
      <c r="B10" s="6" t="s">
        <v>27</v>
      </c>
      <c r="C10" s="7" t="s">
        <v>23</v>
      </c>
      <c r="D10" s="7">
        <f t="shared" si="0"/>
        <v>319</v>
      </c>
      <c r="E10" s="8">
        <v>160</v>
      </c>
      <c r="F10" s="8">
        <v>84</v>
      </c>
      <c r="G10" s="7"/>
      <c r="H10" s="8">
        <v>17</v>
      </c>
      <c r="I10" s="8">
        <v>16</v>
      </c>
      <c r="J10" s="8">
        <v>25</v>
      </c>
      <c r="K10" s="8"/>
      <c r="L10" s="8">
        <v>2</v>
      </c>
      <c r="M10" s="7">
        <f t="shared" si="1"/>
        <v>60</v>
      </c>
      <c r="O10" s="8">
        <v>3</v>
      </c>
      <c r="P10" s="8">
        <v>2</v>
      </c>
      <c r="Q10" s="8">
        <v>4</v>
      </c>
      <c r="R10" s="8">
        <v>6</v>
      </c>
      <c r="S10" s="8"/>
      <c r="T10" s="8"/>
      <c r="U10" s="8"/>
      <c r="V10" s="8"/>
      <c r="W10" s="8"/>
      <c r="X10" s="8"/>
      <c r="Y10" s="8"/>
      <c r="Z10" s="7">
        <f t="shared" si="2"/>
        <v>15</v>
      </c>
    </row>
    <row r="11" spans="1:26" x14ac:dyDescent="0.2">
      <c r="A11" s="5" t="s">
        <v>28</v>
      </c>
      <c r="B11" s="6" t="s">
        <v>29</v>
      </c>
      <c r="C11" s="7" t="s">
        <v>14</v>
      </c>
      <c r="D11" s="7">
        <f t="shared" si="0"/>
        <v>416</v>
      </c>
      <c r="E11" s="8">
        <v>200</v>
      </c>
      <c r="F11" s="8">
        <v>100</v>
      </c>
      <c r="G11" s="7"/>
      <c r="H11" s="8">
        <v>16</v>
      </c>
      <c r="I11" s="8">
        <v>15</v>
      </c>
      <c r="J11" s="8">
        <v>20</v>
      </c>
      <c r="K11" s="8">
        <v>25</v>
      </c>
      <c r="L11" s="8">
        <v>23</v>
      </c>
      <c r="M11" s="7">
        <f t="shared" si="1"/>
        <v>99</v>
      </c>
      <c r="O11" s="8">
        <v>10</v>
      </c>
      <c r="P11" s="8">
        <v>2</v>
      </c>
      <c r="Q11" s="8">
        <v>5</v>
      </c>
      <c r="R11" s="8"/>
      <c r="S11" s="8"/>
      <c r="T11" s="8"/>
      <c r="U11" s="8"/>
      <c r="V11" s="8"/>
      <c r="W11" s="8"/>
      <c r="X11" s="8"/>
      <c r="Y11" s="8"/>
      <c r="Z11" s="7">
        <f t="shared" si="2"/>
        <v>17</v>
      </c>
    </row>
    <row r="12" spans="1:26" x14ac:dyDescent="0.2">
      <c r="A12" s="5" t="s">
        <v>30</v>
      </c>
      <c r="B12" s="6" t="s">
        <v>31</v>
      </c>
      <c r="C12" s="7" t="s">
        <v>23</v>
      </c>
      <c r="D12" s="7">
        <f t="shared" si="0"/>
        <v>305</v>
      </c>
      <c r="E12" s="8">
        <v>180</v>
      </c>
      <c r="F12" s="8">
        <v>90</v>
      </c>
      <c r="G12" s="7"/>
      <c r="H12" s="8">
        <v>15</v>
      </c>
      <c r="I12" s="8"/>
      <c r="J12" s="8"/>
      <c r="K12" s="8"/>
      <c r="L12" s="8"/>
      <c r="M12" s="7">
        <f t="shared" si="1"/>
        <v>15</v>
      </c>
      <c r="O12" s="8">
        <v>10</v>
      </c>
      <c r="P12" s="8">
        <v>10</v>
      </c>
      <c r="Q12" s="8"/>
      <c r="R12" s="8"/>
      <c r="S12" s="8"/>
      <c r="T12" s="8"/>
      <c r="U12" s="8"/>
      <c r="V12" s="8"/>
      <c r="W12" s="8"/>
      <c r="X12" s="8"/>
      <c r="Y12" s="8"/>
      <c r="Z12" s="7">
        <f t="shared" si="2"/>
        <v>20</v>
      </c>
    </row>
    <row r="13" spans="1:26" x14ac:dyDescent="0.2">
      <c r="A13" s="5" t="s">
        <v>32</v>
      </c>
      <c r="B13" s="6" t="s">
        <v>33</v>
      </c>
      <c r="C13" s="7" t="s">
        <v>34</v>
      </c>
      <c r="D13" s="7">
        <f t="shared" si="0"/>
        <v>234</v>
      </c>
      <c r="E13" s="8">
        <v>145</v>
      </c>
      <c r="F13" s="8">
        <v>78</v>
      </c>
      <c r="G13" s="7"/>
      <c r="H13" s="8"/>
      <c r="I13" s="8"/>
      <c r="J13" s="8"/>
      <c r="K13" s="8"/>
      <c r="L13" s="8">
        <v>2</v>
      </c>
      <c r="M13" s="7">
        <f t="shared" si="1"/>
        <v>2</v>
      </c>
      <c r="O13" s="8">
        <v>9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7">
        <f t="shared" si="2"/>
        <v>9</v>
      </c>
    </row>
    <row r="14" spans="1:26" x14ac:dyDescent="0.2">
      <c r="A14" s="5" t="s">
        <v>35</v>
      </c>
      <c r="B14" s="6" t="s">
        <v>36</v>
      </c>
      <c r="C14" s="7" t="s">
        <v>14</v>
      </c>
      <c r="D14" s="7">
        <f t="shared" si="0"/>
        <v>447</v>
      </c>
      <c r="E14" s="8">
        <v>200</v>
      </c>
      <c r="F14" s="8">
        <v>100</v>
      </c>
      <c r="G14" s="7"/>
      <c r="H14" s="8">
        <v>13</v>
      </c>
      <c r="I14" s="8">
        <v>12</v>
      </c>
      <c r="J14" s="8">
        <v>17</v>
      </c>
      <c r="K14" s="8">
        <v>22</v>
      </c>
      <c r="L14" s="8">
        <v>20</v>
      </c>
      <c r="M14" s="7">
        <f t="shared" si="1"/>
        <v>84</v>
      </c>
      <c r="O14" s="8">
        <v>5</v>
      </c>
      <c r="P14" s="8">
        <v>4</v>
      </c>
      <c r="Q14" s="8">
        <v>6</v>
      </c>
      <c r="R14" s="8">
        <v>8</v>
      </c>
      <c r="S14" s="8">
        <v>5</v>
      </c>
      <c r="T14" s="8">
        <v>7</v>
      </c>
      <c r="U14" s="8">
        <v>5</v>
      </c>
      <c r="V14" s="8">
        <v>4</v>
      </c>
      <c r="W14" s="8">
        <v>6</v>
      </c>
      <c r="X14" s="8">
        <v>8</v>
      </c>
      <c r="Y14" s="8">
        <v>5</v>
      </c>
      <c r="Z14" s="7">
        <f t="shared" si="2"/>
        <v>63</v>
      </c>
    </row>
    <row r="15" spans="1:26" x14ac:dyDescent="0.2">
      <c r="C15" s="7"/>
      <c r="D15" s="7"/>
      <c r="E15" s="7"/>
      <c r="F15" s="7"/>
      <c r="G15" s="7"/>
    </row>
    <row r="16" spans="1:26" x14ac:dyDescent="0.2">
      <c r="C16" s="7"/>
      <c r="D16" s="7"/>
      <c r="E16" s="7"/>
      <c r="F16" s="7"/>
      <c r="G16" s="7"/>
    </row>
  </sheetData>
  <mergeCells count="2">
    <mergeCell ref="H1:M1"/>
    <mergeCell ref="O1:Z1"/>
  </mergeCells>
  <hyperlinks>
    <hyperlink ref="B3" r:id="rId1" xr:uid="{37EA0DAA-A369-430F-99AC-B7B7CAF75521}"/>
    <hyperlink ref="B4:B14" r:id="rId2" display="aa@maryville.edu" xr:uid="{BD0029CF-928A-4D64-8DC9-CE898BE3C215}"/>
    <hyperlink ref="B4" r:id="rId3" xr:uid="{D4396CA1-F305-4996-BBA4-00F7D7ED8D11}"/>
    <hyperlink ref="B5" r:id="rId4" xr:uid="{31FFB560-95E5-4C36-9B74-1DF89D489A48}"/>
    <hyperlink ref="B6" r:id="rId5" xr:uid="{4A075FB2-C445-4998-8387-03BEFCBD4CE3}"/>
    <hyperlink ref="B7" r:id="rId6" xr:uid="{0C420951-D1DD-4194-A68C-69311D479C90}"/>
    <hyperlink ref="B8" r:id="rId7" xr:uid="{13779EF6-12FC-47AC-87AE-205676B20436}"/>
    <hyperlink ref="B9" r:id="rId8" xr:uid="{45535BAF-3F1A-4F71-B68A-338FE8185AE3}"/>
    <hyperlink ref="B10" r:id="rId9" xr:uid="{1BED2678-7BF5-4A06-BD3E-38A1928DA8E1}"/>
    <hyperlink ref="B11" r:id="rId10" xr:uid="{D1FB9B69-B88A-481B-BE7E-3FE1DB5263CC}"/>
    <hyperlink ref="B12" r:id="rId11" xr:uid="{F20DD7C3-422F-4F6C-9981-DC62C15A8403}"/>
    <hyperlink ref="B13" r:id="rId12" xr:uid="{CEE5AAC4-19D1-45C2-816C-998EF340DE59}"/>
    <hyperlink ref="B14" r:id="rId13" xr:uid="{881DCEEE-DCA1-4FE3-A898-D22589DB044A}"/>
  </hyperlinks>
  <pageMargins left="0.75" right="0.75" top="1" bottom="1" header="0.5" footer="0.5"/>
  <pageSetup scale="74" orientation="landscape" r:id="rId1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7964-49D2-4CC0-A897-E77CAD2253FE}">
  <sheetPr>
    <pageSetUpPr fitToPage="1"/>
  </sheetPr>
  <dimension ref="B1:C7"/>
  <sheetViews>
    <sheetView tabSelected="1" workbookViewId="0"/>
  </sheetViews>
  <sheetFormatPr defaultRowHeight="15" x14ac:dyDescent="0.25"/>
  <cols>
    <col min="1" max="1" width="2.85546875" customWidth="1"/>
    <col min="2" max="3" width="12.85546875" customWidth="1"/>
  </cols>
  <sheetData>
    <row r="1" spans="2:3" ht="15.75" thickBot="1" x14ac:dyDescent="0.3"/>
    <row r="2" spans="2:3" ht="15.75" thickBot="1" x14ac:dyDescent="0.3">
      <c r="B2" s="17" t="s">
        <v>37</v>
      </c>
      <c r="C2" s="18"/>
    </row>
    <row r="3" spans="2:3" ht="30" customHeight="1" thickBot="1" x14ac:dyDescent="0.3">
      <c r="B3" s="9" t="s">
        <v>38</v>
      </c>
      <c r="C3" s="9" t="s">
        <v>39</v>
      </c>
    </row>
    <row r="4" spans="2:3" x14ac:dyDescent="0.25">
      <c r="B4" s="10" t="s">
        <v>11</v>
      </c>
      <c r="C4" s="11">
        <f>COUNTIF('Student Records'!$C$3:$C$14,B4)</f>
        <v>3</v>
      </c>
    </row>
    <row r="5" spans="2:3" x14ac:dyDescent="0.25">
      <c r="B5" s="12" t="s">
        <v>14</v>
      </c>
      <c r="C5" s="13">
        <f>COUNTIF('Student Records'!$C$3:$C$14,B5)</f>
        <v>5</v>
      </c>
    </row>
    <row r="6" spans="2:3" x14ac:dyDescent="0.25">
      <c r="B6" s="12" t="s">
        <v>23</v>
      </c>
      <c r="C6" s="13">
        <f>COUNTIF('Student Records'!$C$3:$C$14,B6)</f>
        <v>3</v>
      </c>
    </row>
    <row r="7" spans="2:3" ht="15.75" thickBot="1" x14ac:dyDescent="0.3">
      <c r="B7" s="14" t="s">
        <v>34</v>
      </c>
      <c r="C7" s="15">
        <f>COUNTIF('Student Records'!$C$3:$C$14,B7)</f>
        <v>1</v>
      </c>
    </row>
  </sheetData>
  <mergeCells count="1">
    <mergeCell ref="B2:C2"/>
  </mergeCells>
  <pageMargins left="0.7" right="0.7" top="0.75" bottom="0.75" header="0.3" footer="0.3"/>
  <pageSetup scale="83" orientation="portrait" horizontalDpi="300" verticalDpi="300" r:id="rId1"/>
  <headerFooter>
    <oddFooter>&amp;L&amp;F
&amp;A&amp;C&amp;P of &amp;N&amp;R&amp;D
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2020-10-07T15:44:32Z</cp:lastPrinted>
  <dcterms:created xsi:type="dcterms:W3CDTF">2020-10-03T22:01:33Z</dcterms:created>
  <dcterms:modified xsi:type="dcterms:W3CDTF">2020-10-07T15:44:59Z</dcterms:modified>
</cp:coreProperties>
</file>