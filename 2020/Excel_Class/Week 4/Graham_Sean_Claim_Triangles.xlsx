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4\"/>
    </mc:Choice>
  </mc:AlternateContent>
  <xr:revisionPtr revIDLastSave="0" documentId="8_{C3394BB2-E324-4DF0-9A03-CC7F5685BC98}" xr6:coauthVersionLast="45" xr6:coauthVersionMax="45" xr10:uidLastSave="{00000000-0000-0000-0000-000000000000}"/>
  <bookViews>
    <workbookView xWindow="810" yWindow="-120" windowWidth="19800" windowHeight="11760" xr2:uid="{3AF17E6F-3AC8-45E2-B8DE-C5D2144F3E83}"/>
  </bookViews>
  <sheets>
    <sheet name="Claim Triangles" sheetId="1" r:id="rId1"/>
    <sheet name="Claim Data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ssetM">[1]Table!$J$3:$K$13</definedName>
    <definedName name="Benjamin">OFFSET('[2]Weight Watch'!$B$9,'[2]Weight Watch'!$I$3-9,2,'[2]Weight Watch'!$I$2,1)</definedName>
    <definedName name="Client">[1]X!$C$9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_xlnm.Print_Area" localSheetId="1">'Claim Data'!$B$1:$H$283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1" i="1" l="1"/>
  <c r="D26" i="1" a="1"/>
  <c r="D26" i="1" s="1"/>
  <c r="B353" i="1"/>
  <c r="B75" i="1"/>
  <c r="E65" i="1" l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D65" i="1"/>
  <c r="C65" i="1" s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41" i="1"/>
  <c r="D48" i="1" a="1"/>
  <c r="D48" i="1" s="1"/>
  <c r="E48" i="1" a="1"/>
  <c r="E48" i="1" s="1"/>
  <c r="F48" i="1" a="1"/>
  <c r="F48" i="1" s="1"/>
  <c r="G48" i="1" a="1"/>
  <c r="G48" i="1"/>
  <c r="H48" i="1" a="1"/>
  <c r="H48" i="1" s="1"/>
  <c r="I48" i="1" a="1"/>
  <c r="I48" i="1" s="1"/>
  <c r="J48" i="1" a="1"/>
  <c r="J48" i="1" s="1"/>
  <c r="K48" i="1" a="1"/>
  <c r="K48" i="1" s="1"/>
  <c r="L48" i="1" a="1"/>
  <c r="L48" i="1" s="1"/>
  <c r="M48" i="1" a="1"/>
  <c r="M48" i="1" s="1"/>
  <c r="N48" i="1" a="1"/>
  <c r="N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Y48" i="1" a="1"/>
  <c r="Y48" i="1" s="1"/>
  <c r="Z48" i="1" a="1"/>
  <c r="Z48" i="1" s="1"/>
  <c r="AA48" i="1" a="1"/>
  <c r="AA48" i="1"/>
  <c r="D49" i="1" a="1"/>
  <c r="D49" i="1" s="1"/>
  <c r="E49" i="1" a="1"/>
  <c r="E49" i="1" s="1"/>
  <c r="F49" i="1" a="1"/>
  <c r="F49" i="1" s="1"/>
  <c r="G49" i="1" a="1"/>
  <c r="G49" i="1" s="1"/>
  <c r="H49" i="1" a="1"/>
  <c r="H49" i="1" s="1"/>
  <c r="I49" i="1" a="1"/>
  <c r="I49" i="1" s="1"/>
  <c r="J49" i="1" a="1"/>
  <c r="J49" i="1" s="1"/>
  <c r="K49" i="1" a="1"/>
  <c r="K49" i="1"/>
  <c r="L49" i="1" a="1"/>
  <c r="L49" i="1" s="1"/>
  <c r="M49" i="1" a="1"/>
  <c r="M49" i="1" s="1"/>
  <c r="N49" i="1" a="1"/>
  <c r="N49" i="1" s="1"/>
  <c r="O49" i="1" a="1"/>
  <c r="O49" i="1" s="1"/>
  <c r="P49" i="1" a="1"/>
  <c r="P49" i="1" s="1"/>
  <c r="Q49" i="1" a="1"/>
  <c r="Q49" i="1" s="1"/>
  <c r="R49" i="1" a="1"/>
  <c r="R49" i="1" s="1"/>
  <c r="S49" i="1" a="1"/>
  <c r="S49" i="1" s="1"/>
  <c r="T49" i="1" a="1"/>
  <c r="T49" i="1" s="1"/>
  <c r="U49" i="1" a="1"/>
  <c r="U49" i="1" s="1"/>
  <c r="V49" i="1" a="1"/>
  <c r="V49" i="1" s="1"/>
  <c r="W49" i="1" a="1"/>
  <c r="W49" i="1" s="1"/>
  <c r="X49" i="1" a="1"/>
  <c r="X49" i="1" s="1"/>
  <c r="Y49" i="1" a="1"/>
  <c r="Y49" i="1" s="1"/>
  <c r="Z49" i="1" a="1"/>
  <c r="Z49" i="1" s="1"/>
  <c r="AA49" i="1" a="1"/>
  <c r="AA49" i="1" s="1"/>
  <c r="D50" i="1" a="1"/>
  <c r="D50" i="1" s="1"/>
  <c r="E50" i="1" a="1"/>
  <c r="E50" i="1" s="1"/>
  <c r="F50" i="1" a="1"/>
  <c r="F50" i="1" s="1"/>
  <c r="G50" i="1" a="1"/>
  <c r="G50" i="1" s="1"/>
  <c r="H50" i="1" a="1"/>
  <c r="H50" i="1" s="1"/>
  <c r="I50" i="1" a="1"/>
  <c r="I50" i="1" s="1"/>
  <c r="J50" i="1" a="1"/>
  <c r="J50" i="1" s="1"/>
  <c r="K50" i="1" a="1"/>
  <c r="K50" i="1"/>
  <c r="L50" i="1" a="1"/>
  <c r="L50" i="1" s="1"/>
  <c r="M50" i="1" a="1"/>
  <c r="M50" i="1" s="1"/>
  <c r="N50" i="1" a="1"/>
  <c r="N50" i="1" s="1"/>
  <c r="O50" i="1" a="1"/>
  <c r="O50" i="1" s="1"/>
  <c r="P50" i="1" a="1"/>
  <c r="P50" i="1" s="1"/>
  <c r="Q50" i="1" a="1"/>
  <c r="Q50" i="1" s="1"/>
  <c r="R50" i="1" a="1"/>
  <c r="R50" i="1" s="1"/>
  <c r="S50" i="1" a="1"/>
  <c r="S50" i="1"/>
  <c r="T50" i="1" a="1"/>
  <c r="T50" i="1" s="1"/>
  <c r="U50" i="1" a="1"/>
  <c r="U50" i="1" s="1"/>
  <c r="V50" i="1" a="1"/>
  <c r="V50" i="1" s="1"/>
  <c r="W50" i="1" a="1"/>
  <c r="W50" i="1" s="1"/>
  <c r="X50" i="1" a="1"/>
  <c r="X50" i="1" s="1"/>
  <c r="Y50" i="1" a="1"/>
  <c r="Y50" i="1" s="1"/>
  <c r="Z50" i="1" a="1"/>
  <c r="Z50" i="1" s="1"/>
  <c r="AA50" i="1" a="1"/>
  <c r="AA50" i="1" s="1"/>
  <c r="D51" i="1" a="1"/>
  <c r="D51" i="1" s="1"/>
  <c r="E51" i="1" a="1"/>
  <c r="E51" i="1" s="1"/>
  <c r="F51" i="1" a="1"/>
  <c r="F51" i="1" s="1"/>
  <c r="G51" i="1" a="1"/>
  <c r="G51" i="1" s="1"/>
  <c r="H51" i="1" a="1"/>
  <c r="H51" i="1" s="1"/>
  <c r="I51" i="1" a="1"/>
  <c r="I51" i="1" s="1"/>
  <c r="J51" i="1" a="1"/>
  <c r="J51" i="1" s="1"/>
  <c r="K51" i="1" a="1"/>
  <c r="K51" i="1" s="1"/>
  <c r="L51" i="1" a="1"/>
  <c r="L51" i="1" s="1"/>
  <c r="M51" i="1" a="1"/>
  <c r="M51" i="1" s="1"/>
  <c r="N51" i="1" a="1"/>
  <c r="N51" i="1" s="1"/>
  <c r="O51" i="1" a="1"/>
  <c r="O51" i="1" s="1"/>
  <c r="P51" i="1" a="1"/>
  <c r="P51" i="1" s="1"/>
  <c r="Q51" i="1" a="1"/>
  <c r="Q51" i="1" s="1"/>
  <c r="R51" i="1" a="1"/>
  <c r="R51" i="1" s="1"/>
  <c r="S51" i="1" a="1"/>
  <c r="S51" i="1"/>
  <c r="T51" i="1" a="1"/>
  <c r="T51" i="1" s="1"/>
  <c r="U51" i="1" a="1"/>
  <c r="U51" i="1" s="1"/>
  <c r="V51" i="1" a="1"/>
  <c r="V51" i="1" s="1"/>
  <c r="W51" i="1" a="1"/>
  <c r="W51" i="1" s="1"/>
  <c r="X51" i="1" a="1"/>
  <c r="X51" i="1" s="1"/>
  <c r="Y51" i="1" a="1"/>
  <c r="Y51" i="1" s="1"/>
  <c r="Z51" i="1" a="1"/>
  <c r="Z51" i="1" s="1"/>
  <c r="AA51" i="1" a="1"/>
  <c r="AA51" i="1"/>
  <c r="D52" i="1" a="1"/>
  <c r="D52" i="1" s="1"/>
  <c r="E52" i="1" a="1"/>
  <c r="E52" i="1" s="1"/>
  <c r="F52" i="1" a="1"/>
  <c r="F52" i="1" s="1"/>
  <c r="G52" i="1" a="1"/>
  <c r="G52" i="1" s="1"/>
  <c r="H52" i="1" a="1"/>
  <c r="H52" i="1" s="1"/>
  <c r="I52" i="1" a="1"/>
  <c r="I52" i="1" s="1"/>
  <c r="J52" i="1" a="1"/>
  <c r="J52" i="1" s="1"/>
  <c r="K52" i="1" a="1"/>
  <c r="K52" i="1" s="1"/>
  <c r="L52" i="1" a="1"/>
  <c r="L52" i="1" s="1"/>
  <c r="M52" i="1" a="1"/>
  <c r="M52" i="1" s="1"/>
  <c r="N52" i="1" a="1"/>
  <c r="N52" i="1" s="1"/>
  <c r="O52" i="1" a="1"/>
  <c r="O52" i="1" s="1"/>
  <c r="P52" i="1" a="1"/>
  <c r="P52" i="1" s="1"/>
  <c r="Q52" i="1" a="1"/>
  <c r="Q52" i="1" s="1"/>
  <c r="R52" i="1" a="1"/>
  <c r="R52" i="1" s="1"/>
  <c r="S52" i="1" a="1"/>
  <c r="S52" i="1" s="1"/>
  <c r="T52" i="1" a="1"/>
  <c r="T52" i="1" s="1"/>
  <c r="U52" i="1" a="1"/>
  <c r="U52" i="1" s="1"/>
  <c r="V52" i="1" a="1"/>
  <c r="V52" i="1" s="1"/>
  <c r="W52" i="1" a="1"/>
  <c r="W52" i="1" s="1"/>
  <c r="X52" i="1" a="1"/>
  <c r="X52" i="1" s="1"/>
  <c r="Y52" i="1" a="1"/>
  <c r="Y52" i="1" s="1"/>
  <c r="Z52" i="1" a="1"/>
  <c r="Z52" i="1" s="1"/>
  <c r="AA52" i="1" a="1"/>
  <c r="AA52" i="1"/>
  <c r="D53" i="1" a="1"/>
  <c r="D53" i="1" s="1"/>
  <c r="E53" i="1" a="1"/>
  <c r="E53" i="1" s="1"/>
  <c r="F53" i="1" a="1"/>
  <c r="F53" i="1" s="1"/>
  <c r="G53" i="1" a="1"/>
  <c r="G53" i="1" s="1"/>
  <c r="H53" i="1" a="1"/>
  <c r="H53" i="1" s="1"/>
  <c r="I53" i="1" a="1"/>
  <c r="I53" i="1" s="1"/>
  <c r="J53" i="1" a="1"/>
  <c r="J53" i="1" s="1"/>
  <c r="K53" i="1" a="1"/>
  <c r="K53" i="1"/>
  <c r="L53" i="1" a="1"/>
  <c r="L53" i="1" s="1"/>
  <c r="M53" i="1" a="1"/>
  <c r="M53" i="1" s="1"/>
  <c r="N53" i="1" a="1"/>
  <c r="N53" i="1" s="1"/>
  <c r="O53" i="1" a="1"/>
  <c r="O53" i="1" s="1"/>
  <c r="P53" i="1" a="1"/>
  <c r="P53" i="1" s="1"/>
  <c r="Q53" i="1" a="1"/>
  <c r="Q53" i="1" s="1"/>
  <c r="R53" i="1" a="1"/>
  <c r="R53" i="1" s="1"/>
  <c r="S53" i="1" a="1"/>
  <c r="S53" i="1" s="1"/>
  <c r="T53" i="1" a="1"/>
  <c r="T53" i="1" s="1"/>
  <c r="U53" i="1" a="1"/>
  <c r="U53" i="1" s="1"/>
  <c r="V53" i="1" a="1"/>
  <c r="V53" i="1" s="1"/>
  <c r="W53" i="1" a="1"/>
  <c r="W53" i="1" s="1"/>
  <c r="X53" i="1" a="1"/>
  <c r="X53" i="1" s="1"/>
  <c r="Y53" i="1" a="1"/>
  <c r="Y53" i="1" s="1"/>
  <c r="Z53" i="1" a="1"/>
  <c r="Z53" i="1" s="1"/>
  <c r="AA53" i="1" a="1"/>
  <c r="AA53" i="1" s="1"/>
  <c r="D54" i="1" a="1"/>
  <c r="D54" i="1" s="1"/>
  <c r="E54" i="1" a="1"/>
  <c r="E54" i="1" s="1"/>
  <c r="F54" i="1" a="1"/>
  <c r="F54" i="1" s="1"/>
  <c r="G54" i="1" a="1"/>
  <c r="G54" i="1" s="1"/>
  <c r="H54" i="1" a="1"/>
  <c r="H54" i="1" s="1"/>
  <c r="I54" i="1" a="1"/>
  <c r="I54" i="1" s="1"/>
  <c r="J54" i="1" a="1"/>
  <c r="J54" i="1" s="1"/>
  <c r="K54" i="1" a="1"/>
  <c r="K54" i="1"/>
  <c r="L54" i="1" a="1"/>
  <c r="L54" i="1" s="1"/>
  <c r="M54" i="1" a="1"/>
  <c r="M54" i="1" s="1"/>
  <c r="N54" i="1" a="1"/>
  <c r="N54" i="1" s="1"/>
  <c r="O54" i="1" a="1"/>
  <c r="O54" i="1" s="1"/>
  <c r="P54" i="1" a="1"/>
  <c r="P54" i="1" s="1"/>
  <c r="Q54" i="1" a="1"/>
  <c r="Q54" i="1" s="1"/>
  <c r="R54" i="1" a="1"/>
  <c r="R54" i="1" s="1"/>
  <c r="S54" i="1" a="1"/>
  <c r="S54" i="1"/>
  <c r="T54" i="1" a="1"/>
  <c r="T54" i="1" s="1"/>
  <c r="U54" i="1" a="1"/>
  <c r="U54" i="1" s="1"/>
  <c r="V54" i="1" a="1"/>
  <c r="V54" i="1" s="1"/>
  <c r="W54" i="1" a="1"/>
  <c r="W54" i="1" s="1"/>
  <c r="X54" i="1" a="1"/>
  <c r="X54" i="1" s="1"/>
  <c r="Y54" i="1" a="1"/>
  <c r="Y54" i="1" s="1"/>
  <c r="Z54" i="1" a="1"/>
  <c r="Z54" i="1" s="1"/>
  <c r="AA54" i="1" a="1"/>
  <c r="AA54" i="1" s="1"/>
  <c r="D55" i="1" a="1"/>
  <c r="D55" i="1" s="1"/>
  <c r="E55" i="1" a="1"/>
  <c r="E55" i="1" s="1"/>
  <c r="F55" i="1" a="1"/>
  <c r="F55" i="1"/>
  <c r="G55" i="1" a="1"/>
  <c r="G55" i="1" s="1"/>
  <c r="H55" i="1" a="1"/>
  <c r="H55" i="1" s="1"/>
  <c r="I55" i="1" a="1"/>
  <c r="I55" i="1" s="1"/>
  <c r="J55" i="1" a="1"/>
  <c r="J55" i="1" s="1"/>
  <c r="K55" i="1" a="1"/>
  <c r="K55" i="1"/>
  <c r="L55" i="1" a="1"/>
  <c r="L55" i="1" s="1"/>
  <c r="M55" i="1" a="1"/>
  <c r="M55" i="1" s="1"/>
  <c r="N55" i="1" a="1"/>
  <c r="N55" i="1" s="1"/>
  <c r="O55" i="1" a="1"/>
  <c r="O55" i="1" s="1"/>
  <c r="P55" i="1" a="1"/>
  <c r="P55" i="1" s="1"/>
  <c r="Q55" i="1" a="1"/>
  <c r="Q55" i="1" s="1"/>
  <c r="R55" i="1" a="1"/>
  <c r="R55" i="1" s="1"/>
  <c r="S55" i="1" a="1"/>
  <c r="S55" i="1" s="1"/>
  <c r="T55" i="1" a="1"/>
  <c r="T55" i="1" s="1"/>
  <c r="U55" i="1" a="1"/>
  <c r="U55" i="1" s="1"/>
  <c r="V55" i="1" a="1"/>
  <c r="V55" i="1"/>
  <c r="W55" i="1" a="1"/>
  <c r="W55" i="1" s="1"/>
  <c r="X55" i="1" a="1"/>
  <c r="X55" i="1" s="1"/>
  <c r="Y55" i="1" a="1"/>
  <c r="Y55" i="1" s="1"/>
  <c r="Z55" i="1" a="1"/>
  <c r="Z55" i="1" s="1"/>
  <c r="AA55" i="1" a="1"/>
  <c r="AA55" i="1"/>
  <c r="D56" i="1" a="1"/>
  <c r="D56" i="1" s="1"/>
  <c r="E56" i="1" a="1"/>
  <c r="E56" i="1" s="1"/>
  <c r="F56" i="1" a="1"/>
  <c r="F56" i="1" s="1"/>
  <c r="G56" i="1" a="1"/>
  <c r="G56" i="1" s="1"/>
  <c r="H56" i="1" a="1"/>
  <c r="H56" i="1" s="1"/>
  <c r="I56" i="1" a="1"/>
  <c r="I56" i="1" s="1"/>
  <c r="J56" i="1" a="1"/>
  <c r="J56" i="1" s="1"/>
  <c r="K56" i="1" a="1"/>
  <c r="K56" i="1" s="1"/>
  <c r="L56" i="1" a="1"/>
  <c r="L56" i="1" s="1"/>
  <c r="M56" i="1" a="1"/>
  <c r="M56" i="1" s="1"/>
  <c r="N56" i="1" a="1"/>
  <c r="N56" i="1"/>
  <c r="O56" i="1" a="1"/>
  <c r="O56" i="1" s="1"/>
  <c r="P56" i="1" a="1"/>
  <c r="P56" i="1" s="1"/>
  <c r="Q56" i="1" a="1"/>
  <c r="Q56" i="1" s="1"/>
  <c r="R56" i="1" a="1"/>
  <c r="R56" i="1" s="1"/>
  <c r="S56" i="1" a="1"/>
  <c r="S56" i="1"/>
  <c r="T56" i="1" a="1"/>
  <c r="T56" i="1" s="1"/>
  <c r="U56" i="1" a="1"/>
  <c r="U56" i="1" s="1"/>
  <c r="V56" i="1" a="1"/>
  <c r="V56" i="1" s="1"/>
  <c r="W56" i="1" a="1"/>
  <c r="W56" i="1" s="1"/>
  <c r="X56" i="1" a="1"/>
  <c r="X56" i="1" s="1"/>
  <c r="Y56" i="1" a="1"/>
  <c r="Y56" i="1" s="1"/>
  <c r="Z56" i="1" a="1"/>
  <c r="Z56" i="1" s="1"/>
  <c r="AA56" i="1" a="1"/>
  <c r="AA56" i="1" s="1"/>
  <c r="D57" i="1" a="1"/>
  <c r="D57" i="1" s="1"/>
  <c r="E57" i="1" a="1"/>
  <c r="E57" i="1" s="1"/>
  <c r="F57" i="1" a="1"/>
  <c r="F57" i="1"/>
  <c r="G57" i="1" a="1"/>
  <c r="G57" i="1" s="1"/>
  <c r="H57" i="1" a="1"/>
  <c r="H57" i="1" s="1"/>
  <c r="I57" i="1" a="1"/>
  <c r="I57" i="1" s="1"/>
  <c r="J57" i="1" a="1"/>
  <c r="J57" i="1" s="1"/>
  <c r="K57" i="1" a="1"/>
  <c r="K57" i="1"/>
  <c r="L57" i="1" a="1"/>
  <c r="L57" i="1" s="1"/>
  <c r="M57" i="1" a="1"/>
  <c r="M57" i="1" s="1"/>
  <c r="N57" i="1" a="1"/>
  <c r="N57" i="1" s="1"/>
  <c r="O57" i="1" a="1"/>
  <c r="O57" i="1" s="1"/>
  <c r="P57" i="1" a="1"/>
  <c r="P57" i="1" s="1"/>
  <c r="Q57" i="1" a="1"/>
  <c r="Q57" i="1" s="1"/>
  <c r="R57" i="1" a="1"/>
  <c r="R57" i="1" s="1"/>
  <c r="S57" i="1" a="1"/>
  <c r="S57" i="1" s="1"/>
  <c r="T57" i="1" a="1"/>
  <c r="T57" i="1" s="1"/>
  <c r="U57" i="1" a="1"/>
  <c r="U57" i="1" s="1"/>
  <c r="V57" i="1" a="1"/>
  <c r="V57" i="1"/>
  <c r="W57" i="1" a="1"/>
  <c r="W57" i="1" s="1"/>
  <c r="X57" i="1" a="1"/>
  <c r="X57" i="1" s="1"/>
  <c r="Y57" i="1" a="1"/>
  <c r="Y57" i="1" s="1"/>
  <c r="Z57" i="1" a="1"/>
  <c r="Z57" i="1" s="1"/>
  <c r="AA57" i="1" a="1"/>
  <c r="AA57" i="1"/>
  <c r="D58" i="1" a="1"/>
  <c r="D58" i="1" s="1"/>
  <c r="E58" i="1" a="1"/>
  <c r="E58" i="1" s="1"/>
  <c r="F58" i="1" a="1"/>
  <c r="F58" i="1" s="1"/>
  <c r="G58" i="1" a="1"/>
  <c r="G58" i="1" s="1"/>
  <c r="H58" i="1" a="1"/>
  <c r="H58" i="1" s="1"/>
  <c r="I58" i="1" a="1"/>
  <c r="I58" i="1" s="1"/>
  <c r="J58" i="1" a="1"/>
  <c r="J58" i="1" s="1"/>
  <c r="K58" i="1" a="1"/>
  <c r="K58" i="1" s="1"/>
  <c r="L58" i="1" a="1"/>
  <c r="L58" i="1" s="1"/>
  <c r="M58" i="1" a="1"/>
  <c r="M58" i="1" s="1"/>
  <c r="N58" i="1" a="1"/>
  <c r="N58" i="1"/>
  <c r="O58" i="1" a="1"/>
  <c r="O58" i="1" s="1"/>
  <c r="P58" i="1" a="1"/>
  <c r="P58" i="1" s="1"/>
  <c r="Q58" i="1" a="1"/>
  <c r="Q58" i="1" s="1"/>
  <c r="R58" i="1" a="1"/>
  <c r="R58" i="1" s="1"/>
  <c r="S58" i="1" a="1"/>
  <c r="S58" i="1"/>
  <c r="T58" i="1" a="1"/>
  <c r="T58" i="1" s="1"/>
  <c r="U58" i="1" a="1"/>
  <c r="U58" i="1" s="1"/>
  <c r="V58" i="1" a="1"/>
  <c r="V58" i="1" s="1"/>
  <c r="W58" i="1" a="1"/>
  <c r="W58" i="1" s="1"/>
  <c r="X58" i="1" a="1"/>
  <c r="X58" i="1" s="1"/>
  <c r="Y58" i="1" a="1"/>
  <c r="Y58" i="1" s="1"/>
  <c r="Z58" i="1" a="1"/>
  <c r="Z58" i="1" s="1"/>
  <c r="AA58" i="1" a="1"/>
  <c r="AA58" i="1" s="1"/>
  <c r="D59" i="1" a="1"/>
  <c r="D59" i="1" s="1"/>
  <c r="E59" i="1" a="1"/>
  <c r="E59" i="1" s="1"/>
  <c r="F59" i="1" a="1"/>
  <c r="F59" i="1"/>
  <c r="G59" i="1" a="1"/>
  <c r="G59" i="1" s="1"/>
  <c r="H59" i="1" a="1"/>
  <c r="H59" i="1" s="1"/>
  <c r="I59" i="1" a="1"/>
  <c r="I59" i="1" s="1"/>
  <c r="J59" i="1" a="1"/>
  <c r="J59" i="1" s="1"/>
  <c r="K59" i="1" a="1"/>
  <c r="K59" i="1"/>
  <c r="L59" i="1" a="1"/>
  <c r="L59" i="1" s="1"/>
  <c r="M59" i="1" a="1"/>
  <c r="M59" i="1" s="1"/>
  <c r="N59" i="1" a="1"/>
  <c r="N59" i="1" s="1"/>
  <c r="O59" i="1" a="1"/>
  <c r="O59" i="1" s="1"/>
  <c r="P59" i="1" a="1"/>
  <c r="P59" i="1" s="1"/>
  <c r="Q59" i="1" a="1"/>
  <c r="Q59" i="1" s="1"/>
  <c r="R59" i="1" a="1"/>
  <c r="R59" i="1" s="1"/>
  <c r="S59" i="1" a="1"/>
  <c r="S59" i="1" s="1"/>
  <c r="T59" i="1" a="1"/>
  <c r="T59" i="1" s="1"/>
  <c r="U59" i="1" a="1"/>
  <c r="U59" i="1" s="1"/>
  <c r="V59" i="1" a="1"/>
  <c r="V59" i="1"/>
  <c r="W59" i="1" a="1"/>
  <c r="W59" i="1" s="1"/>
  <c r="X59" i="1" a="1"/>
  <c r="X59" i="1" s="1"/>
  <c r="Y59" i="1" a="1"/>
  <c r="Y59" i="1" s="1"/>
  <c r="Z59" i="1" a="1"/>
  <c r="Z59" i="1" s="1"/>
  <c r="AA59" i="1" a="1"/>
  <c r="AA59" i="1"/>
  <c r="D60" i="1" a="1"/>
  <c r="D60" i="1" s="1"/>
  <c r="E60" i="1" a="1"/>
  <c r="E60" i="1" s="1"/>
  <c r="F60" i="1" a="1"/>
  <c r="F60" i="1" s="1"/>
  <c r="G60" i="1" a="1"/>
  <c r="G60" i="1" s="1"/>
  <c r="H60" i="1" a="1"/>
  <c r="H60" i="1" s="1"/>
  <c r="I60" i="1" a="1"/>
  <c r="I60" i="1" s="1"/>
  <c r="J60" i="1" a="1"/>
  <c r="J60" i="1" s="1"/>
  <c r="K60" i="1" a="1"/>
  <c r="K60" i="1" s="1"/>
  <c r="L60" i="1" a="1"/>
  <c r="L60" i="1" s="1"/>
  <c r="M60" i="1" a="1"/>
  <c r="M60" i="1" s="1"/>
  <c r="N60" i="1" a="1"/>
  <c r="N60" i="1"/>
  <c r="O60" i="1" a="1"/>
  <c r="O60" i="1" s="1"/>
  <c r="P60" i="1" a="1"/>
  <c r="P60" i="1" s="1"/>
  <c r="Q60" i="1" a="1"/>
  <c r="Q60" i="1" s="1"/>
  <c r="R60" i="1" a="1"/>
  <c r="R60" i="1" s="1"/>
  <c r="S60" i="1" a="1"/>
  <c r="S60" i="1"/>
  <c r="T60" i="1" a="1"/>
  <c r="T60" i="1" s="1"/>
  <c r="U60" i="1" a="1"/>
  <c r="U60" i="1" s="1"/>
  <c r="V60" i="1" a="1"/>
  <c r="V60" i="1" s="1"/>
  <c r="W60" i="1" a="1"/>
  <c r="W60" i="1" s="1"/>
  <c r="X60" i="1" a="1"/>
  <c r="X60" i="1" s="1"/>
  <c r="Y60" i="1" a="1"/>
  <c r="Y60" i="1" s="1"/>
  <c r="Z60" i="1" a="1"/>
  <c r="Z60" i="1" s="1"/>
  <c r="AA60" i="1" a="1"/>
  <c r="AA60" i="1" s="1"/>
  <c r="D61" i="1" a="1"/>
  <c r="D61" i="1" s="1"/>
  <c r="E61" i="1" a="1"/>
  <c r="E61" i="1" s="1"/>
  <c r="F61" i="1" a="1"/>
  <c r="F61" i="1"/>
  <c r="G61" i="1" a="1"/>
  <c r="G61" i="1" s="1"/>
  <c r="H61" i="1" a="1"/>
  <c r="H61" i="1" s="1"/>
  <c r="I61" i="1" a="1"/>
  <c r="I61" i="1" s="1"/>
  <c r="J61" i="1" a="1"/>
  <c r="J61" i="1" s="1"/>
  <c r="K61" i="1" a="1"/>
  <c r="K61" i="1"/>
  <c r="L61" i="1" a="1"/>
  <c r="L61" i="1" s="1"/>
  <c r="M61" i="1" a="1"/>
  <c r="M61" i="1" s="1"/>
  <c r="N61" i="1" a="1"/>
  <c r="N61" i="1" s="1"/>
  <c r="O61" i="1" a="1"/>
  <c r="O61" i="1" s="1"/>
  <c r="P61" i="1" a="1"/>
  <c r="P61" i="1" s="1"/>
  <c r="Q61" i="1" a="1"/>
  <c r="Q61" i="1" s="1"/>
  <c r="R61" i="1" a="1"/>
  <c r="R61" i="1" s="1"/>
  <c r="S61" i="1" a="1"/>
  <c r="S61" i="1" s="1"/>
  <c r="T61" i="1" a="1"/>
  <c r="T61" i="1" s="1"/>
  <c r="U61" i="1" a="1"/>
  <c r="U61" i="1" s="1"/>
  <c r="V61" i="1" a="1"/>
  <c r="V61" i="1"/>
  <c r="W61" i="1" a="1"/>
  <c r="W61" i="1" s="1"/>
  <c r="X61" i="1" a="1"/>
  <c r="X61" i="1" s="1"/>
  <c r="Y61" i="1" a="1"/>
  <c r="Y61" i="1" s="1"/>
  <c r="Z61" i="1" a="1"/>
  <c r="Z61" i="1" s="1"/>
  <c r="AA61" i="1" a="1"/>
  <c r="AA61" i="1"/>
  <c r="D62" i="1" a="1"/>
  <c r="D62" i="1" s="1"/>
  <c r="E62" i="1" a="1"/>
  <c r="E62" i="1" s="1"/>
  <c r="F62" i="1" a="1"/>
  <c r="F62" i="1" s="1"/>
  <c r="G62" i="1" a="1"/>
  <c r="G62" i="1" s="1"/>
  <c r="H62" i="1" a="1"/>
  <c r="H62" i="1"/>
  <c r="I62" i="1" a="1"/>
  <c r="I62" i="1" s="1"/>
  <c r="J62" i="1" a="1"/>
  <c r="J62" i="1" s="1"/>
  <c r="K62" i="1" a="1"/>
  <c r="K62" i="1" s="1"/>
  <c r="L62" i="1" a="1"/>
  <c r="L62" i="1"/>
  <c r="M62" i="1" a="1"/>
  <c r="M62" i="1" s="1"/>
  <c r="N62" i="1" a="1"/>
  <c r="N62" i="1" s="1"/>
  <c r="O62" i="1" a="1"/>
  <c r="O62" i="1" s="1"/>
  <c r="P62" i="1" a="1"/>
  <c r="P62" i="1"/>
  <c r="Q62" i="1" a="1"/>
  <c r="Q62" i="1" s="1"/>
  <c r="R62" i="1" a="1"/>
  <c r="R62" i="1" s="1"/>
  <c r="S62" i="1" a="1"/>
  <c r="S62" i="1" s="1"/>
  <c r="T62" i="1" a="1"/>
  <c r="T62" i="1"/>
  <c r="U62" i="1" a="1"/>
  <c r="U62" i="1" s="1"/>
  <c r="V62" i="1" a="1"/>
  <c r="V62" i="1" s="1"/>
  <c r="W62" i="1" a="1"/>
  <c r="W62" i="1" s="1"/>
  <c r="X62" i="1" a="1"/>
  <c r="X62" i="1"/>
  <c r="Y62" i="1" a="1"/>
  <c r="Y62" i="1" s="1"/>
  <c r="Z62" i="1" a="1"/>
  <c r="Z62" i="1" s="1"/>
  <c r="AA62" i="1" a="1"/>
  <c r="AA62" i="1" s="1"/>
  <c r="D63" i="1" a="1"/>
  <c r="D63" i="1"/>
  <c r="E63" i="1" a="1"/>
  <c r="E63" i="1" s="1"/>
  <c r="F63" i="1" a="1"/>
  <c r="F63" i="1" s="1"/>
  <c r="G63" i="1" a="1"/>
  <c r="G63" i="1" s="1"/>
  <c r="H63" i="1" a="1"/>
  <c r="H63" i="1"/>
  <c r="I63" i="1" a="1"/>
  <c r="I63" i="1" s="1"/>
  <c r="J63" i="1" a="1"/>
  <c r="J63" i="1" s="1"/>
  <c r="K63" i="1" a="1"/>
  <c r="K63" i="1" s="1"/>
  <c r="L63" i="1" a="1"/>
  <c r="L63" i="1"/>
  <c r="M63" i="1" a="1"/>
  <c r="M63" i="1" s="1"/>
  <c r="N63" i="1" a="1"/>
  <c r="N63" i="1" s="1"/>
  <c r="O63" i="1" a="1"/>
  <c r="O63" i="1" s="1"/>
  <c r="P63" i="1" a="1"/>
  <c r="P63" i="1"/>
  <c r="Q63" i="1" a="1"/>
  <c r="Q63" i="1" s="1"/>
  <c r="R63" i="1" a="1"/>
  <c r="R63" i="1" s="1"/>
  <c r="S63" i="1" a="1"/>
  <c r="S63" i="1" s="1"/>
  <c r="T63" i="1" a="1"/>
  <c r="T63" i="1"/>
  <c r="U63" i="1" a="1"/>
  <c r="U63" i="1" s="1"/>
  <c r="V63" i="1" a="1"/>
  <c r="V63" i="1" s="1"/>
  <c r="W63" i="1" a="1"/>
  <c r="W63" i="1" s="1"/>
  <c r="X63" i="1" a="1"/>
  <c r="X63" i="1"/>
  <c r="Y63" i="1" a="1"/>
  <c r="Y63" i="1" s="1"/>
  <c r="Z63" i="1" a="1"/>
  <c r="Z63" i="1" s="1"/>
  <c r="AA63" i="1" a="1"/>
  <c r="AA63" i="1" s="1"/>
  <c r="D64" i="1" a="1"/>
  <c r="D64" i="1"/>
  <c r="E64" i="1" a="1"/>
  <c r="E64" i="1" s="1"/>
  <c r="F64" i="1" a="1"/>
  <c r="F64" i="1" s="1"/>
  <c r="G64" i="1" a="1"/>
  <c r="G64" i="1" s="1"/>
  <c r="H64" i="1" a="1"/>
  <c r="H64" i="1"/>
  <c r="I64" i="1" a="1"/>
  <c r="I64" i="1" s="1"/>
  <c r="J64" i="1" a="1"/>
  <c r="J64" i="1" s="1"/>
  <c r="K64" i="1" a="1"/>
  <c r="K64" i="1" s="1"/>
  <c r="L64" i="1" a="1"/>
  <c r="L64" i="1"/>
  <c r="M64" i="1" a="1"/>
  <c r="M64" i="1" s="1"/>
  <c r="N64" i="1" a="1"/>
  <c r="N64" i="1" s="1"/>
  <c r="O64" i="1" a="1"/>
  <c r="O64" i="1" s="1"/>
  <c r="P64" i="1" a="1"/>
  <c r="P64" i="1"/>
  <c r="Q64" i="1" a="1"/>
  <c r="Q64" i="1" s="1"/>
  <c r="R64" i="1" a="1"/>
  <c r="R64" i="1" s="1"/>
  <c r="S64" i="1" a="1"/>
  <c r="S64" i="1" s="1"/>
  <c r="T64" i="1" a="1"/>
  <c r="T64" i="1"/>
  <c r="U64" i="1" a="1"/>
  <c r="U64" i="1" s="1"/>
  <c r="V64" i="1" a="1"/>
  <c r="V64" i="1" s="1"/>
  <c r="W64" i="1" a="1"/>
  <c r="W64" i="1" s="1"/>
  <c r="X64" i="1" a="1"/>
  <c r="X64" i="1"/>
  <c r="Y64" i="1" a="1"/>
  <c r="Y64" i="1" s="1"/>
  <c r="Z64" i="1" a="1"/>
  <c r="Z64" i="1" s="1"/>
  <c r="AA64" i="1" a="1"/>
  <c r="AA64" i="1" s="1"/>
  <c r="G41" i="1" a="1"/>
  <c r="G41" i="1" s="1"/>
  <c r="H41" i="1" a="1"/>
  <c r="H41" i="1" s="1"/>
  <c r="I41" i="1" a="1"/>
  <c r="I41" i="1" s="1"/>
  <c r="J41" i="1" a="1"/>
  <c r="J41" i="1"/>
  <c r="K41" i="1" a="1"/>
  <c r="K41" i="1" s="1"/>
  <c r="L41" i="1" a="1"/>
  <c r="L41" i="1" s="1"/>
  <c r="M41" i="1" a="1"/>
  <c r="M41" i="1" s="1"/>
  <c r="N41" i="1" a="1"/>
  <c r="N41" i="1"/>
  <c r="O41" i="1" a="1"/>
  <c r="O41" i="1" s="1"/>
  <c r="P41" i="1" a="1"/>
  <c r="P41" i="1" s="1"/>
  <c r="Q41" i="1" a="1"/>
  <c r="Q41" i="1" s="1"/>
  <c r="R41" i="1" a="1"/>
  <c r="R41" i="1"/>
  <c r="S41" i="1" a="1"/>
  <c r="S41" i="1" s="1"/>
  <c r="T41" i="1" a="1"/>
  <c r="T41" i="1" s="1"/>
  <c r="U41" i="1" a="1"/>
  <c r="U41" i="1" s="1"/>
  <c r="V41" i="1" a="1"/>
  <c r="V41" i="1"/>
  <c r="W41" i="1" a="1"/>
  <c r="W41" i="1" s="1"/>
  <c r="X41" i="1" a="1"/>
  <c r="X41" i="1" s="1"/>
  <c r="Y41" i="1" a="1"/>
  <c r="Y41" i="1" s="1"/>
  <c r="Z41" i="1" a="1"/>
  <c r="Z41" i="1"/>
  <c r="AA41" i="1" a="1"/>
  <c r="AA41" i="1" s="1"/>
  <c r="G42" i="1" a="1"/>
  <c r="G42" i="1" s="1"/>
  <c r="H42" i="1" a="1"/>
  <c r="H42" i="1" s="1"/>
  <c r="I42" i="1" a="1"/>
  <c r="I42" i="1"/>
  <c r="J42" i="1" a="1"/>
  <c r="J42" i="1" s="1"/>
  <c r="K42" i="1" a="1"/>
  <c r="K42" i="1" s="1"/>
  <c r="L42" i="1" a="1"/>
  <c r="L42" i="1" s="1"/>
  <c r="M42" i="1" a="1"/>
  <c r="M42" i="1"/>
  <c r="N42" i="1" a="1"/>
  <c r="N42" i="1" s="1"/>
  <c r="O42" i="1" a="1"/>
  <c r="O42" i="1" s="1"/>
  <c r="P42" i="1" a="1"/>
  <c r="P42" i="1" s="1"/>
  <c r="Q42" i="1" a="1"/>
  <c r="Q42" i="1"/>
  <c r="R42" i="1" a="1"/>
  <c r="R42" i="1" s="1"/>
  <c r="S42" i="1" a="1"/>
  <c r="S42" i="1" s="1"/>
  <c r="T42" i="1" a="1"/>
  <c r="T42" i="1" s="1"/>
  <c r="U42" i="1" a="1"/>
  <c r="U42" i="1"/>
  <c r="V42" i="1" a="1"/>
  <c r="V42" i="1" s="1"/>
  <c r="W42" i="1" a="1"/>
  <c r="W42" i="1" s="1"/>
  <c r="X42" i="1" a="1"/>
  <c r="X42" i="1" s="1"/>
  <c r="Y42" i="1" a="1"/>
  <c r="Y42" i="1"/>
  <c r="Z42" i="1" a="1"/>
  <c r="Z42" i="1" s="1"/>
  <c r="AA42" i="1" a="1"/>
  <c r="AA42" i="1" s="1"/>
  <c r="G43" i="1" a="1"/>
  <c r="G43" i="1" s="1"/>
  <c r="H43" i="1" a="1"/>
  <c r="H43" i="1"/>
  <c r="I43" i="1" a="1"/>
  <c r="I43" i="1" s="1"/>
  <c r="J43" i="1" a="1"/>
  <c r="J43" i="1" s="1"/>
  <c r="K43" i="1" a="1"/>
  <c r="K43" i="1" s="1"/>
  <c r="L43" i="1" a="1"/>
  <c r="L43" i="1"/>
  <c r="M43" i="1" a="1"/>
  <c r="M43" i="1" s="1"/>
  <c r="N43" i="1" a="1"/>
  <c r="N43" i="1" s="1"/>
  <c r="O43" i="1" a="1"/>
  <c r="O43" i="1" s="1"/>
  <c r="P43" i="1" a="1"/>
  <c r="P43" i="1"/>
  <c r="Q43" i="1" a="1"/>
  <c r="Q43" i="1" s="1"/>
  <c r="R43" i="1" a="1"/>
  <c r="R43" i="1" s="1"/>
  <c r="S43" i="1" a="1"/>
  <c r="S43" i="1" s="1"/>
  <c r="T43" i="1" a="1"/>
  <c r="T43" i="1"/>
  <c r="U43" i="1" a="1"/>
  <c r="U43" i="1" s="1"/>
  <c r="V43" i="1" a="1"/>
  <c r="V43" i="1" s="1"/>
  <c r="W43" i="1" a="1"/>
  <c r="W43" i="1" s="1"/>
  <c r="X43" i="1" a="1"/>
  <c r="X43" i="1"/>
  <c r="Y43" i="1" a="1"/>
  <c r="Y43" i="1" s="1"/>
  <c r="Z43" i="1" a="1"/>
  <c r="Z43" i="1" s="1"/>
  <c r="AA43" i="1" a="1"/>
  <c r="AA43" i="1" s="1"/>
  <c r="G44" i="1" a="1"/>
  <c r="G44" i="1"/>
  <c r="H44" i="1" a="1"/>
  <c r="H44" i="1" s="1"/>
  <c r="I44" i="1" a="1"/>
  <c r="I44" i="1" s="1"/>
  <c r="J44" i="1" a="1"/>
  <c r="J44" i="1" s="1"/>
  <c r="K44" i="1" a="1"/>
  <c r="K44" i="1"/>
  <c r="L44" i="1" a="1"/>
  <c r="L44" i="1" s="1"/>
  <c r="M44" i="1" a="1"/>
  <c r="M44" i="1" s="1"/>
  <c r="N44" i="1" a="1"/>
  <c r="N44" i="1" s="1"/>
  <c r="O44" i="1" a="1"/>
  <c r="O44" i="1"/>
  <c r="P44" i="1" a="1"/>
  <c r="P44" i="1" s="1"/>
  <c r="Q44" i="1" a="1"/>
  <c r="Q44" i="1" s="1"/>
  <c r="R44" i="1" a="1"/>
  <c r="R44" i="1" s="1"/>
  <c r="S44" i="1" a="1"/>
  <c r="S44" i="1"/>
  <c r="T44" i="1" a="1"/>
  <c r="T44" i="1" s="1"/>
  <c r="U44" i="1" a="1"/>
  <c r="U44" i="1" s="1"/>
  <c r="V44" i="1" a="1"/>
  <c r="V44" i="1" s="1"/>
  <c r="W44" i="1" a="1"/>
  <c r="W44" i="1"/>
  <c r="X44" i="1" a="1"/>
  <c r="X44" i="1" s="1"/>
  <c r="Y44" i="1" a="1"/>
  <c r="Y44" i="1" s="1"/>
  <c r="Z44" i="1" a="1"/>
  <c r="Z44" i="1" s="1"/>
  <c r="AA44" i="1" a="1"/>
  <c r="AA44" i="1"/>
  <c r="G45" i="1" a="1"/>
  <c r="G45" i="1" s="1"/>
  <c r="H45" i="1" a="1"/>
  <c r="H45" i="1" s="1"/>
  <c r="I45" i="1" a="1"/>
  <c r="I45" i="1" s="1"/>
  <c r="J45" i="1" a="1"/>
  <c r="J45" i="1"/>
  <c r="K45" i="1" a="1"/>
  <c r="K45" i="1" s="1"/>
  <c r="L45" i="1" a="1"/>
  <c r="L45" i="1" s="1"/>
  <c r="M45" i="1" a="1"/>
  <c r="M45" i="1" s="1"/>
  <c r="N45" i="1" a="1"/>
  <c r="N45" i="1"/>
  <c r="O45" i="1" a="1"/>
  <c r="O45" i="1" s="1"/>
  <c r="P45" i="1" a="1"/>
  <c r="P45" i="1" s="1"/>
  <c r="Q45" i="1" a="1"/>
  <c r="Q45" i="1" s="1"/>
  <c r="R45" i="1" a="1"/>
  <c r="R45" i="1"/>
  <c r="S45" i="1" a="1"/>
  <c r="S45" i="1" s="1"/>
  <c r="T45" i="1" a="1"/>
  <c r="T45" i="1" s="1"/>
  <c r="U45" i="1" a="1"/>
  <c r="U45" i="1" s="1"/>
  <c r="V45" i="1" a="1"/>
  <c r="V45" i="1"/>
  <c r="W45" i="1" a="1"/>
  <c r="W45" i="1" s="1"/>
  <c r="X45" i="1" a="1"/>
  <c r="X45" i="1" s="1"/>
  <c r="Y45" i="1" a="1"/>
  <c r="Y45" i="1" s="1"/>
  <c r="Z45" i="1" a="1"/>
  <c r="Z45" i="1"/>
  <c r="AA45" i="1" a="1"/>
  <c r="AA45" i="1" s="1"/>
  <c r="G46" i="1" a="1"/>
  <c r="G46" i="1" s="1"/>
  <c r="H46" i="1" a="1"/>
  <c r="H46" i="1" s="1"/>
  <c r="I46" i="1" a="1"/>
  <c r="I46" i="1"/>
  <c r="J46" i="1" a="1"/>
  <c r="J46" i="1" s="1"/>
  <c r="K46" i="1" a="1"/>
  <c r="K46" i="1" s="1"/>
  <c r="L46" i="1" a="1"/>
  <c r="L46" i="1" s="1"/>
  <c r="M46" i="1" a="1"/>
  <c r="M46" i="1"/>
  <c r="N46" i="1" a="1"/>
  <c r="N46" i="1" s="1"/>
  <c r="O46" i="1" a="1"/>
  <c r="O46" i="1" s="1"/>
  <c r="P46" i="1" a="1"/>
  <c r="P46" i="1" s="1"/>
  <c r="Q46" i="1" a="1"/>
  <c r="Q46" i="1"/>
  <c r="R46" i="1" a="1"/>
  <c r="R46" i="1" s="1"/>
  <c r="S46" i="1" a="1"/>
  <c r="S46" i="1" s="1"/>
  <c r="T46" i="1" a="1"/>
  <c r="T46" i="1" s="1"/>
  <c r="U46" i="1" a="1"/>
  <c r="U46" i="1"/>
  <c r="V46" i="1" a="1"/>
  <c r="V46" i="1" s="1"/>
  <c r="W46" i="1" a="1"/>
  <c r="W46" i="1" s="1"/>
  <c r="X46" i="1" a="1"/>
  <c r="X46" i="1" s="1"/>
  <c r="Y46" i="1" a="1"/>
  <c r="Y46" i="1"/>
  <c r="Z46" i="1" a="1"/>
  <c r="Z46" i="1" s="1"/>
  <c r="AA46" i="1" a="1"/>
  <c r="AA46" i="1" s="1"/>
  <c r="G47" i="1" a="1"/>
  <c r="G47" i="1" s="1"/>
  <c r="H47" i="1" a="1"/>
  <c r="H47" i="1"/>
  <c r="I47" i="1" a="1"/>
  <c r="I47" i="1" s="1"/>
  <c r="J47" i="1" a="1"/>
  <c r="J47" i="1" s="1"/>
  <c r="K47" i="1" a="1"/>
  <c r="K47" i="1" s="1"/>
  <c r="L47" i="1" a="1"/>
  <c r="L47" i="1"/>
  <c r="M47" i="1" a="1"/>
  <c r="M47" i="1" s="1"/>
  <c r="N47" i="1" a="1"/>
  <c r="N47" i="1" s="1"/>
  <c r="O47" i="1" a="1"/>
  <c r="O47" i="1" s="1"/>
  <c r="P47" i="1" a="1"/>
  <c r="P47" i="1"/>
  <c r="Q47" i="1" a="1"/>
  <c r="Q47" i="1" s="1"/>
  <c r="R47" i="1" a="1"/>
  <c r="R47" i="1" s="1"/>
  <c r="S47" i="1" a="1"/>
  <c r="S47" i="1" s="1"/>
  <c r="T47" i="1" a="1"/>
  <c r="T47" i="1"/>
  <c r="U47" i="1" a="1"/>
  <c r="U47" i="1" s="1"/>
  <c r="V47" i="1" a="1"/>
  <c r="V47" i="1" s="1"/>
  <c r="W47" i="1" a="1"/>
  <c r="W47" i="1" s="1"/>
  <c r="X47" i="1" a="1"/>
  <c r="X47" i="1" s="1"/>
  <c r="Y47" i="1" a="1"/>
  <c r="Y47" i="1" s="1"/>
  <c r="Z47" i="1" a="1"/>
  <c r="Z47" i="1" s="1"/>
  <c r="AA47" i="1" a="1"/>
  <c r="AA47" i="1" s="1"/>
  <c r="E41" i="1" a="1"/>
  <c r="E41" i="1" s="1"/>
  <c r="F41" i="1" a="1"/>
  <c r="F41" i="1" s="1"/>
  <c r="E42" i="1" a="1"/>
  <c r="E42" i="1"/>
  <c r="F42" i="1" a="1"/>
  <c r="F42" i="1"/>
  <c r="E43" i="1" a="1"/>
  <c r="E43" i="1" s="1"/>
  <c r="F43" i="1" a="1"/>
  <c r="F43" i="1" s="1"/>
  <c r="E44" i="1" a="1"/>
  <c r="E44" i="1"/>
  <c r="F44" i="1" a="1"/>
  <c r="F44" i="1" s="1"/>
  <c r="E45" i="1" a="1"/>
  <c r="E45" i="1" s="1"/>
  <c r="F45" i="1" a="1"/>
  <c r="F45" i="1" s="1"/>
  <c r="E46" i="1" a="1"/>
  <c r="E46" i="1" s="1"/>
  <c r="F46" i="1" a="1"/>
  <c r="F46" i="1" s="1"/>
  <c r="E47" i="1" a="1"/>
  <c r="E47" i="1" s="1"/>
  <c r="F47" i="1" a="1"/>
  <c r="F47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1" i="1" a="1"/>
  <c r="D41" i="1" s="1"/>
  <c r="D7" i="1" a="1"/>
  <c r="D7" i="1" s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F33" i="1"/>
  <c r="G33" i="1"/>
  <c r="H33" i="1"/>
  <c r="I33" i="1"/>
  <c r="J33" i="1"/>
  <c r="E33" i="1"/>
  <c r="D33" i="1"/>
  <c r="B7" i="1" l="1"/>
  <c r="B8" i="1" s="1"/>
  <c r="D40" i="1"/>
  <c r="E40" i="1" s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42" i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A283" i="3"/>
  <c r="B282" i="3"/>
  <c r="C282" i="3" s="1"/>
  <c r="B281" i="3"/>
  <c r="B280" i="3"/>
  <c r="C280" i="3" s="1"/>
  <c r="B279" i="3"/>
  <c r="B278" i="3"/>
  <c r="C278" i="3" s="1"/>
  <c r="C279" i="3" s="1"/>
  <c r="B277" i="3"/>
  <c r="C277" i="3" s="1"/>
  <c r="B276" i="3"/>
  <c r="B275" i="3"/>
  <c r="B274" i="3"/>
  <c r="C274" i="3" s="1"/>
  <c r="C275" i="3" s="1"/>
  <c r="B273" i="3"/>
  <c r="C273" i="3" s="1"/>
  <c r="B272" i="3"/>
  <c r="B271" i="3"/>
  <c r="B270" i="3"/>
  <c r="B269" i="3"/>
  <c r="B268" i="3"/>
  <c r="C268" i="3" s="1"/>
  <c r="B267" i="3"/>
  <c r="B266" i="3"/>
  <c r="B265" i="3"/>
  <c r="B264" i="3"/>
  <c r="C264" i="3" s="1"/>
  <c r="B263" i="3"/>
  <c r="B262" i="3"/>
  <c r="C262" i="3" s="1"/>
  <c r="C263" i="3" s="1"/>
  <c r="B261" i="3"/>
  <c r="B260" i="3"/>
  <c r="B259" i="3"/>
  <c r="B258" i="3"/>
  <c r="B257" i="3"/>
  <c r="B256" i="3"/>
  <c r="C256" i="3" s="1"/>
  <c r="C255" i="3"/>
  <c r="B255" i="3"/>
  <c r="B254" i="3"/>
  <c r="B253" i="3"/>
  <c r="B252" i="3"/>
  <c r="B251" i="3"/>
  <c r="B250" i="3"/>
  <c r="B249" i="3"/>
  <c r="C249" i="3" s="1"/>
  <c r="B248" i="3"/>
  <c r="C248" i="3" s="1"/>
  <c r="C247" i="3"/>
  <c r="B247" i="3"/>
  <c r="B246" i="3"/>
  <c r="B245" i="3"/>
  <c r="B244" i="3"/>
  <c r="B243" i="3"/>
  <c r="B242" i="3"/>
  <c r="B241" i="3"/>
  <c r="B240" i="3"/>
  <c r="B239" i="3"/>
  <c r="B238" i="3"/>
  <c r="C238" i="3" s="1"/>
  <c r="C239" i="3" s="1"/>
  <c r="B237" i="3"/>
  <c r="B236" i="3"/>
  <c r="B235" i="3"/>
  <c r="B234" i="3"/>
  <c r="B233" i="3"/>
  <c r="B232" i="3"/>
  <c r="B231" i="3"/>
  <c r="B230" i="3"/>
  <c r="B229" i="3"/>
  <c r="B228" i="3"/>
  <c r="C228" i="3" s="1"/>
  <c r="B227" i="3"/>
  <c r="B226" i="3"/>
  <c r="B225" i="3"/>
  <c r="B224" i="3"/>
  <c r="B223" i="3"/>
  <c r="B222" i="3"/>
  <c r="B221" i="3"/>
  <c r="B220" i="3"/>
  <c r="B219" i="3"/>
  <c r="B218" i="3"/>
  <c r="C218" i="3" s="1"/>
  <c r="C219" i="3" s="1"/>
  <c r="B217" i="3"/>
  <c r="C217" i="3" s="1"/>
  <c r="B216" i="3"/>
  <c r="B215" i="3"/>
  <c r="B214" i="3"/>
  <c r="B213" i="3"/>
  <c r="B212" i="3"/>
  <c r="B211" i="3"/>
  <c r="B210" i="3"/>
  <c r="B209" i="3"/>
  <c r="B208" i="3"/>
  <c r="B207" i="3"/>
  <c r="B206" i="3"/>
  <c r="B205" i="3"/>
  <c r="C205" i="3" s="1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C192" i="3" s="1"/>
  <c r="B191" i="3"/>
  <c r="B190" i="3"/>
  <c r="B189" i="3"/>
  <c r="B188" i="3"/>
  <c r="B187" i="3"/>
  <c r="B186" i="3"/>
  <c r="B185" i="3"/>
  <c r="B184" i="3"/>
  <c r="B183" i="3"/>
  <c r="B182" i="3"/>
  <c r="B181" i="3"/>
  <c r="B180" i="3"/>
  <c r="C180" i="3" s="1"/>
  <c r="C179" i="3"/>
  <c r="B179" i="3"/>
  <c r="B178" i="3"/>
  <c r="C178" i="3" s="1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C164" i="3" s="1"/>
  <c r="C163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C148" i="3" s="1"/>
  <c r="C147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C130" i="3" s="1"/>
  <c r="C131" i="3" s="1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C113" i="3" s="1"/>
  <c r="B112" i="3"/>
  <c r="C112" i="3" s="1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C95" i="3"/>
  <c r="B95" i="3"/>
  <c r="B94" i="3"/>
  <c r="C94" i="3" s="1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C76" i="3" s="1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C59" i="3" s="1"/>
  <c r="B58" i="3"/>
  <c r="C58" i="3" s="1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C4" i="3"/>
  <c r="B4" i="3"/>
  <c r="B9" i="1" l="1"/>
  <c r="D6" i="1"/>
  <c r="D8" i="1" s="1" a="1"/>
  <c r="D8" i="1" s="1"/>
  <c r="C116" i="3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220" i="3"/>
  <c r="C149" i="3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81" i="3"/>
  <c r="C229" i="3"/>
  <c r="C230" i="3" s="1"/>
  <c r="C231" i="3" s="1"/>
  <c r="C232" i="3" s="1"/>
  <c r="C233" i="3" s="1"/>
  <c r="C234" i="3" s="1"/>
  <c r="C235" i="3" s="1"/>
  <c r="C236" i="3" s="1"/>
  <c r="C237" i="3" s="1"/>
  <c r="C60" i="3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182" i="3"/>
  <c r="C183" i="3" s="1"/>
  <c r="C184" i="3" s="1"/>
  <c r="C185" i="3" s="1"/>
  <c r="C186" i="3" s="1"/>
  <c r="C187" i="3" s="1"/>
  <c r="C188" i="3" s="1"/>
  <c r="C189" i="3" s="1"/>
  <c r="C190" i="3" s="1"/>
  <c r="C191" i="3" s="1"/>
  <c r="C206" i="3"/>
  <c r="C207" i="3" s="1"/>
  <c r="C276" i="3"/>
  <c r="C269" i="3"/>
  <c r="C40" i="3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221" i="3"/>
  <c r="C222" i="3" s="1"/>
  <c r="C223" i="3" s="1"/>
  <c r="C224" i="3" s="1"/>
  <c r="C225" i="3" s="1"/>
  <c r="C226" i="3" s="1"/>
  <c r="C227" i="3" s="1"/>
  <c r="C132" i="3"/>
  <c r="C208" i="3"/>
  <c r="C240" i="3"/>
  <c r="C270" i="3"/>
  <c r="C271" i="3" s="1"/>
  <c r="C272" i="3" s="1"/>
  <c r="G4" i="3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C114" i="3"/>
  <c r="C115" i="3" s="1"/>
  <c r="C133" i="3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65" i="3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93" i="3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9" i="3"/>
  <c r="C210" i="3" s="1"/>
  <c r="C211" i="3" s="1"/>
  <c r="C212" i="3" s="1"/>
  <c r="C213" i="3" s="1"/>
  <c r="C214" i="3" s="1"/>
  <c r="C215" i="3" s="1"/>
  <c r="C216" i="3" s="1"/>
  <c r="C241" i="3"/>
  <c r="C242" i="3" s="1"/>
  <c r="C243" i="3" s="1"/>
  <c r="C244" i="3" s="1"/>
  <c r="C245" i="3" s="1"/>
  <c r="C246" i="3" s="1"/>
  <c r="C77" i="3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6" i="3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250" i="3"/>
  <c r="C251" i="3" s="1"/>
  <c r="C252" i="3" s="1"/>
  <c r="C253" i="3" s="1"/>
  <c r="C254" i="3" s="1"/>
  <c r="C257" i="3"/>
  <c r="C258" i="3" s="1"/>
  <c r="C259" i="3" s="1"/>
  <c r="C260" i="3" s="1"/>
  <c r="C261" i="3" s="1"/>
  <c r="C265" i="3"/>
  <c r="C281" i="3"/>
  <c r="C5" i="3"/>
  <c r="C6" i="3" s="1"/>
  <c r="C266" i="3"/>
  <c r="C267" i="3" s="1"/>
  <c r="C22" i="3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E6" i="1" l="1"/>
  <c r="E9" i="1" s="1" a="1"/>
  <c r="E9" i="1" s="1"/>
  <c r="B10" i="1"/>
  <c r="D9" i="1" a="1"/>
  <c r="D9" i="1" s="1"/>
  <c r="C7" i="3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B11" i="1" l="1"/>
  <c r="D10" i="1" a="1"/>
  <c r="D10" i="1" s="1"/>
  <c r="E10" i="1" a="1"/>
  <c r="E10" i="1" s="1"/>
  <c r="F6" i="1"/>
  <c r="F10" i="1" s="1" a="1"/>
  <c r="F10" i="1" s="1"/>
  <c r="E7" i="1" a="1"/>
  <c r="E7" i="1" s="1"/>
  <c r="E8" i="1" a="1"/>
  <c r="E8" i="1" s="1"/>
  <c r="AC4" i="3"/>
  <c r="AC3" i="3"/>
  <c r="G6" i="1" l="1"/>
  <c r="G11" i="1" s="1" a="1"/>
  <c r="G11" i="1" s="1"/>
  <c r="F7" i="1" a="1"/>
  <c r="F7" i="1" s="1"/>
  <c r="F8" i="1" a="1"/>
  <c r="F8" i="1" s="1"/>
  <c r="F9" i="1" a="1"/>
  <c r="F9" i="1" s="1"/>
  <c r="B12" i="1"/>
  <c r="E11" i="1" a="1"/>
  <c r="E11" i="1" s="1"/>
  <c r="F11" i="1" a="1"/>
  <c r="F11" i="1" s="1"/>
  <c r="D11" i="1" a="1"/>
  <c r="D11" i="1" s="1"/>
  <c r="AC5" i="3"/>
  <c r="AG3" i="3"/>
  <c r="AF3" i="3"/>
  <c r="AE3" i="3"/>
  <c r="AD3" i="3"/>
  <c r="H6" i="1" l="1"/>
  <c r="G7" i="1" a="1"/>
  <c r="G7" i="1" s="1"/>
  <c r="G8" i="1" a="1"/>
  <c r="G8" i="1" s="1"/>
  <c r="G9" i="1" a="1"/>
  <c r="G9" i="1" s="1"/>
  <c r="G10" i="1" a="1"/>
  <c r="G10" i="1" s="1"/>
  <c r="B13" i="1"/>
  <c r="F12" i="1" a="1"/>
  <c r="F12" i="1" s="1"/>
  <c r="G12" i="1" a="1"/>
  <c r="G12" i="1" s="1"/>
  <c r="D12" i="1" a="1"/>
  <c r="D12" i="1" s="1"/>
  <c r="E12" i="1" a="1"/>
  <c r="E12" i="1" s="1"/>
  <c r="I6" i="1" l="1"/>
  <c r="H7" i="1" a="1"/>
  <c r="H7" i="1" s="1"/>
  <c r="H8" i="1" a="1"/>
  <c r="H8" i="1" s="1"/>
  <c r="H9" i="1" a="1"/>
  <c r="H9" i="1" s="1"/>
  <c r="H10" i="1" a="1"/>
  <c r="H10" i="1" s="1"/>
  <c r="H11" i="1" a="1"/>
  <c r="H11" i="1" s="1"/>
  <c r="B14" i="1"/>
  <c r="H13" i="1" a="1"/>
  <c r="H13" i="1" s="1"/>
  <c r="D13" i="1" a="1"/>
  <c r="D13" i="1" s="1"/>
  <c r="E13" i="1" a="1"/>
  <c r="E13" i="1" s="1"/>
  <c r="F13" i="1" a="1"/>
  <c r="F13" i="1" s="1"/>
  <c r="G13" i="1" a="1"/>
  <c r="G13" i="1" s="1"/>
  <c r="H12" i="1" a="1"/>
  <c r="H12" i="1" s="1"/>
  <c r="J6" i="1" l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B15" i="1"/>
  <c r="H14" i="1" a="1"/>
  <c r="H14" i="1" s="1"/>
  <c r="I14" i="1" a="1"/>
  <c r="I14" i="1" s="1"/>
  <c r="D14" i="1" a="1"/>
  <c r="D14" i="1" s="1"/>
  <c r="J14" i="1" a="1"/>
  <c r="J14" i="1" s="1"/>
  <c r="E14" i="1" a="1"/>
  <c r="E14" i="1" s="1"/>
  <c r="F14" i="1" a="1"/>
  <c r="F14" i="1" s="1"/>
  <c r="G14" i="1" a="1"/>
  <c r="G14" i="1" s="1"/>
  <c r="I13" i="1" a="1"/>
  <c r="I13" i="1" s="1"/>
  <c r="B16" i="1" l="1"/>
  <c r="I15" i="1" a="1"/>
  <c r="I15" i="1" s="1"/>
  <c r="D15" i="1" a="1"/>
  <c r="D15" i="1" s="1"/>
  <c r="J15" i="1" a="1"/>
  <c r="J15" i="1" s="1"/>
  <c r="E15" i="1" a="1"/>
  <c r="E15" i="1" s="1"/>
  <c r="F15" i="1" a="1"/>
  <c r="F15" i="1" s="1"/>
  <c r="G15" i="1" a="1"/>
  <c r="G15" i="1" s="1"/>
  <c r="H15" i="1" a="1"/>
  <c r="H15" i="1" s="1"/>
  <c r="K6" i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B17" i="1" l="1"/>
  <c r="K16" i="1" a="1"/>
  <c r="K16" i="1" s="1"/>
  <c r="D16" i="1" a="1"/>
  <c r="D16" i="1" s="1"/>
  <c r="E16" i="1" a="1"/>
  <c r="E16" i="1" s="1"/>
  <c r="F16" i="1" a="1"/>
  <c r="F16" i="1" s="1"/>
  <c r="G16" i="1" a="1"/>
  <c r="G16" i="1" s="1"/>
  <c r="H16" i="1" a="1"/>
  <c r="H16" i="1" s="1"/>
  <c r="I16" i="1" a="1"/>
  <c r="I16" i="1" s="1"/>
  <c r="J16" i="1" a="1"/>
  <c r="J16" i="1" s="1"/>
  <c r="L6" i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M6" i="1" l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B18" i="1"/>
  <c r="E17" i="1" a="1"/>
  <c r="E17" i="1" s="1"/>
  <c r="K17" i="1" a="1"/>
  <c r="K17" i="1" s="1"/>
  <c r="F17" i="1" a="1"/>
  <c r="F17" i="1" s="1"/>
  <c r="G17" i="1" a="1"/>
  <c r="G17" i="1" s="1"/>
  <c r="L17" i="1" a="1"/>
  <c r="L17" i="1" s="1"/>
  <c r="H17" i="1" a="1"/>
  <c r="H17" i="1" s="1"/>
  <c r="M17" i="1" a="1"/>
  <c r="M17" i="1" s="1"/>
  <c r="I17" i="1" a="1"/>
  <c r="I17" i="1" s="1"/>
  <c r="J17" i="1" a="1"/>
  <c r="J17" i="1" s="1"/>
  <c r="D17" i="1" a="1"/>
  <c r="D17" i="1" s="1"/>
  <c r="L16" i="1" a="1"/>
  <c r="L16" i="1" s="1"/>
  <c r="B19" i="1" l="1"/>
  <c r="F18" i="1" a="1"/>
  <c r="F18" i="1" s="1"/>
  <c r="L18" i="1" a="1"/>
  <c r="L18" i="1" s="1"/>
  <c r="G18" i="1" a="1"/>
  <c r="G18" i="1" s="1"/>
  <c r="M18" i="1" a="1"/>
  <c r="M18" i="1" s="1"/>
  <c r="H18" i="1" a="1"/>
  <c r="H18" i="1" s="1"/>
  <c r="I18" i="1" a="1"/>
  <c r="I18" i="1" s="1"/>
  <c r="D18" i="1" a="1"/>
  <c r="D18" i="1" s="1"/>
  <c r="J18" i="1" a="1"/>
  <c r="J18" i="1" s="1"/>
  <c r="E18" i="1" a="1"/>
  <c r="E18" i="1" s="1"/>
  <c r="K18" i="1" a="1"/>
  <c r="K18" i="1" s="1"/>
  <c r="N6" i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O6" i="1" l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B20" i="1"/>
  <c r="M19" i="1" a="1"/>
  <c r="M19" i="1" s="1"/>
  <c r="G19" i="1" a="1"/>
  <c r="G19" i="1" s="1"/>
  <c r="N19" i="1" a="1"/>
  <c r="N19" i="1" s="1"/>
  <c r="H19" i="1" a="1"/>
  <c r="H19" i="1" s="1"/>
  <c r="O19" i="1" a="1"/>
  <c r="O19" i="1" s="1"/>
  <c r="I19" i="1" a="1"/>
  <c r="I19" i="1" s="1"/>
  <c r="D19" i="1" a="1"/>
  <c r="D19" i="1" s="1"/>
  <c r="J19" i="1" a="1"/>
  <c r="J19" i="1" s="1"/>
  <c r="K19" i="1" a="1"/>
  <c r="K19" i="1" s="1"/>
  <c r="E19" i="1" a="1"/>
  <c r="E19" i="1" s="1"/>
  <c r="L19" i="1" a="1"/>
  <c r="L19" i="1" s="1"/>
  <c r="F19" i="1" a="1"/>
  <c r="F19" i="1" s="1"/>
  <c r="P6" i="1" l="1"/>
  <c r="P20" i="1" s="1" a="1"/>
  <c r="P20" i="1" s="1"/>
  <c r="O7" i="1" a="1"/>
  <c r="O7" i="1" s="1"/>
  <c r="O8" i="1" a="1"/>
  <c r="O8" i="1" s="1"/>
  <c r="O9" i="1" a="1"/>
  <c r="O9" i="1" s="1"/>
  <c r="O10" i="1" a="1"/>
  <c r="O10" i="1" s="1"/>
  <c r="O11" i="1" a="1"/>
  <c r="O11" i="1" s="1"/>
  <c r="O12" i="1" a="1"/>
  <c r="O12" i="1" s="1"/>
  <c r="O13" i="1" a="1"/>
  <c r="O13" i="1" s="1"/>
  <c r="O14" i="1" a="1"/>
  <c r="O14" i="1" s="1"/>
  <c r="O15" i="1" a="1"/>
  <c r="O15" i="1" s="1"/>
  <c r="O16" i="1" a="1"/>
  <c r="O16" i="1" s="1"/>
  <c r="O17" i="1" a="1"/>
  <c r="O17" i="1" s="1"/>
  <c r="O18" i="1" a="1"/>
  <c r="O18" i="1" s="1"/>
  <c r="B21" i="1"/>
  <c r="H20" i="1" a="1"/>
  <c r="H20" i="1" s="1"/>
  <c r="N20" i="1" a="1"/>
  <c r="N20" i="1" s="1"/>
  <c r="I20" i="1" a="1"/>
  <c r="I20" i="1" s="1"/>
  <c r="J20" i="1" a="1"/>
  <c r="J20" i="1" s="1"/>
  <c r="O20" i="1" a="1"/>
  <c r="O20" i="1" s="1"/>
  <c r="K20" i="1" a="1"/>
  <c r="K20" i="1" s="1"/>
  <c r="D20" i="1" a="1"/>
  <c r="D20" i="1" s="1"/>
  <c r="E20" i="1" a="1"/>
  <c r="E20" i="1" s="1"/>
  <c r="L20" i="1" a="1"/>
  <c r="L20" i="1" s="1"/>
  <c r="F20" i="1" a="1"/>
  <c r="F20" i="1" s="1"/>
  <c r="G20" i="1" a="1"/>
  <c r="G20" i="1" s="1"/>
  <c r="M20" i="1" a="1"/>
  <c r="M20" i="1" s="1"/>
  <c r="Q6" i="1" l="1"/>
  <c r="P7" i="1" a="1"/>
  <c r="P7" i="1" s="1"/>
  <c r="P8" i="1" a="1"/>
  <c r="P8" i="1" s="1"/>
  <c r="P9" i="1" a="1"/>
  <c r="P9" i="1" s="1"/>
  <c r="P10" i="1" a="1"/>
  <c r="P10" i="1" s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 s="1"/>
  <c r="P19" i="1" a="1"/>
  <c r="P19" i="1" s="1"/>
  <c r="B22" i="1"/>
  <c r="I21" i="1" a="1"/>
  <c r="I21" i="1" s="1"/>
  <c r="N21" i="1" a="1"/>
  <c r="N21" i="1" s="1"/>
  <c r="J21" i="1" a="1"/>
  <c r="J21" i="1" s="1"/>
  <c r="O21" i="1" a="1"/>
  <c r="O21" i="1" s="1"/>
  <c r="D21" i="1" a="1"/>
  <c r="D21" i="1" s="1"/>
  <c r="P21" i="1" a="1"/>
  <c r="P21" i="1" s="1"/>
  <c r="E21" i="1" a="1"/>
  <c r="E21" i="1" s="1"/>
  <c r="K21" i="1" a="1"/>
  <c r="K21" i="1" s="1"/>
  <c r="Q21" i="1" a="1"/>
  <c r="Q21" i="1" s="1"/>
  <c r="F21" i="1" a="1"/>
  <c r="F21" i="1" s="1"/>
  <c r="G21" i="1" a="1"/>
  <c r="G21" i="1" s="1"/>
  <c r="L21" i="1" a="1"/>
  <c r="L21" i="1" s="1"/>
  <c r="H21" i="1" a="1"/>
  <c r="H21" i="1" s="1"/>
  <c r="M21" i="1" a="1"/>
  <c r="M21" i="1" s="1"/>
  <c r="R6" i="1" l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B23" i="1"/>
  <c r="G22" i="1" a="1"/>
  <c r="G22" i="1" s="1"/>
  <c r="L22" i="1" a="1"/>
  <c r="L22" i="1" s="1"/>
  <c r="R22" i="1" a="1"/>
  <c r="R22" i="1" s="1"/>
  <c r="H22" i="1" a="1"/>
  <c r="H22" i="1" s="1"/>
  <c r="M22" i="1" a="1"/>
  <c r="M22" i="1" s="1"/>
  <c r="I22" i="1" a="1"/>
  <c r="I22" i="1" s="1"/>
  <c r="N22" i="1" a="1"/>
  <c r="N22" i="1" s="1"/>
  <c r="D22" i="1" a="1"/>
  <c r="D22" i="1" s="1"/>
  <c r="J22" i="1" a="1"/>
  <c r="J22" i="1" s="1"/>
  <c r="O22" i="1" a="1"/>
  <c r="O22" i="1" s="1"/>
  <c r="P22" i="1" a="1"/>
  <c r="P22" i="1" s="1"/>
  <c r="E22" i="1" a="1"/>
  <c r="E22" i="1" s="1"/>
  <c r="K22" i="1" a="1"/>
  <c r="K22" i="1" s="1"/>
  <c r="Q22" i="1" a="1"/>
  <c r="Q22" i="1" s="1"/>
  <c r="F22" i="1" a="1"/>
  <c r="F22" i="1" s="1"/>
  <c r="S6" i="1" l="1"/>
  <c r="R7" i="1" a="1"/>
  <c r="R7" i="1" s="1"/>
  <c r="R8" i="1" a="1"/>
  <c r="R8" i="1" s="1"/>
  <c r="R9" i="1" a="1"/>
  <c r="R9" i="1" s="1"/>
  <c r="R10" i="1" a="1"/>
  <c r="R10" i="1" s="1"/>
  <c r="R11" i="1" a="1"/>
  <c r="R11" i="1" s="1"/>
  <c r="R12" i="1" a="1"/>
  <c r="R12" i="1" s="1"/>
  <c r="R13" i="1" a="1"/>
  <c r="R13" i="1" s="1"/>
  <c r="R14" i="1" a="1"/>
  <c r="R14" i="1" s="1"/>
  <c r="R15" i="1" a="1"/>
  <c r="R15" i="1" s="1"/>
  <c r="R16" i="1" a="1"/>
  <c r="R16" i="1" s="1"/>
  <c r="R17" i="1" a="1"/>
  <c r="R17" i="1" s="1"/>
  <c r="R18" i="1" a="1"/>
  <c r="R18" i="1" s="1"/>
  <c r="R19" i="1" a="1"/>
  <c r="R19" i="1" s="1"/>
  <c r="R20" i="1" a="1"/>
  <c r="R20" i="1" s="1"/>
  <c r="R21" i="1" a="1"/>
  <c r="R21" i="1" s="1"/>
  <c r="B24" i="1"/>
  <c r="D23" i="1" a="1"/>
  <c r="D23" i="1" s="1"/>
  <c r="P23" i="1" a="1"/>
  <c r="P23" i="1" s="1"/>
  <c r="E23" i="1" a="1"/>
  <c r="E23" i="1" s="1"/>
  <c r="K23" i="1" a="1"/>
  <c r="K23" i="1" s="1"/>
  <c r="Q23" i="1" a="1"/>
  <c r="Q23" i="1" s="1"/>
  <c r="F23" i="1" a="1"/>
  <c r="F23" i="1" s="1"/>
  <c r="G23" i="1" a="1"/>
  <c r="G23" i="1" s="1"/>
  <c r="L23" i="1" a="1"/>
  <c r="L23" i="1" s="1"/>
  <c r="R23" i="1" a="1"/>
  <c r="R23" i="1" s="1"/>
  <c r="H23" i="1" a="1"/>
  <c r="H23" i="1" s="1"/>
  <c r="M23" i="1" a="1"/>
  <c r="M23" i="1" s="1"/>
  <c r="I23" i="1" a="1"/>
  <c r="I23" i="1" s="1"/>
  <c r="S23" i="1" a="1"/>
  <c r="S23" i="1" s="1"/>
  <c r="N23" i="1" a="1"/>
  <c r="N23" i="1" s="1"/>
  <c r="J23" i="1" a="1"/>
  <c r="J23" i="1" s="1"/>
  <c r="O23" i="1" a="1"/>
  <c r="O23" i="1" s="1"/>
  <c r="B25" i="1" l="1"/>
  <c r="H24" i="1" a="1"/>
  <c r="H24" i="1" s="1"/>
  <c r="M24" i="1" a="1"/>
  <c r="M24" i="1" s="1"/>
  <c r="S24" i="1" a="1"/>
  <c r="S24" i="1" s="1"/>
  <c r="I24" i="1" a="1"/>
  <c r="I24" i="1" s="1"/>
  <c r="N24" i="1" a="1"/>
  <c r="N24" i="1" s="1"/>
  <c r="O24" i="1" a="1"/>
  <c r="O24" i="1" s="1"/>
  <c r="D24" i="1" a="1"/>
  <c r="D24" i="1" s="1"/>
  <c r="J24" i="1" a="1"/>
  <c r="J24" i="1" s="1"/>
  <c r="P24" i="1" a="1"/>
  <c r="P24" i="1" s="1"/>
  <c r="E24" i="1" a="1"/>
  <c r="E24" i="1" s="1"/>
  <c r="Q24" i="1" a="1"/>
  <c r="Q24" i="1" s="1"/>
  <c r="F24" i="1" a="1"/>
  <c r="F24" i="1" s="1"/>
  <c r="K24" i="1" a="1"/>
  <c r="K24" i="1" s="1"/>
  <c r="G24" i="1" a="1"/>
  <c r="G24" i="1" s="1"/>
  <c r="R24" i="1" a="1"/>
  <c r="R24" i="1" s="1"/>
  <c r="L24" i="1" a="1"/>
  <c r="L24" i="1" s="1"/>
  <c r="T6" i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 s="1"/>
  <c r="S22" i="1" a="1"/>
  <c r="S22" i="1" s="1"/>
  <c r="U6" i="1" l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4" i="1" a="1"/>
  <c r="T24" i="1" s="1"/>
  <c r="B26" i="1"/>
  <c r="F25" i="1" a="1"/>
  <c r="F25" i="1" s="1"/>
  <c r="K25" i="1" a="1"/>
  <c r="K25" i="1" s="1"/>
  <c r="Q25" i="1" a="1"/>
  <c r="Q25" i="1" s="1"/>
  <c r="G25" i="1" a="1"/>
  <c r="G25" i="1" s="1"/>
  <c r="L25" i="1" a="1"/>
  <c r="L25" i="1" s="1"/>
  <c r="R25" i="1" a="1"/>
  <c r="R25" i="1" s="1"/>
  <c r="H25" i="1" a="1"/>
  <c r="H25" i="1" s="1"/>
  <c r="M25" i="1" a="1"/>
  <c r="M25" i="1" s="1"/>
  <c r="I25" i="1" a="1"/>
  <c r="I25" i="1" s="1"/>
  <c r="N25" i="1" a="1"/>
  <c r="N25" i="1" s="1"/>
  <c r="S25" i="1" a="1"/>
  <c r="S25" i="1" s="1"/>
  <c r="O25" i="1" a="1"/>
  <c r="O25" i="1" s="1"/>
  <c r="D25" i="1" a="1"/>
  <c r="D25" i="1" s="1"/>
  <c r="J25" i="1" a="1"/>
  <c r="J25" i="1" s="1"/>
  <c r="T25" i="1" a="1"/>
  <c r="T25" i="1" s="1"/>
  <c r="E25" i="1" a="1"/>
  <c r="E25" i="1" s="1"/>
  <c r="P25" i="1" a="1"/>
  <c r="P25" i="1" s="1"/>
  <c r="U25" i="1" a="1"/>
  <c r="U25" i="1" s="1"/>
  <c r="V6" i="1" l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B27" i="1"/>
  <c r="J26" i="1" a="1"/>
  <c r="J26" i="1" s="1"/>
  <c r="O26" i="1" a="1"/>
  <c r="O26" i="1" s="1"/>
  <c r="T26" i="1" a="1"/>
  <c r="T26" i="1" s="1"/>
  <c r="E26" i="1" a="1"/>
  <c r="E26" i="1" s="1"/>
  <c r="P26" i="1" a="1"/>
  <c r="P26" i="1" s="1"/>
  <c r="U26" i="1" a="1"/>
  <c r="U26" i="1" s="1"/>
  <c r="K26" i="1" a="1"/>
  <c r="K26" i="1" s="1"/>
  <c r="Q26" i="1" a="1"/>
  <c r="Q26" i="1" s="1"/>
  <c r="F26" i="1" a="1"/>
  <c r="F26" i="1" s="1"/>
  <c r="G26" i="1" a="1"/>
  <c r="G26" i="1" s="1"/>
  <c r="L26" i="1" a="1"/>
  <c r="L26" i="1" s="1"/>
  <c r="R26" i="1" a="1"/>
  <c r="R26" i="1" s="1"/>
  <c r="H26" i="1" a="1"/>
  <c r="H26" i="1" s="1"/>
  <c r="M26" i="1" a="1"/>
  <c r="M26" i="1" s="1"/>
  <c r="I26" i="1" a="1"/>
  <c r="I26" i="1" s="1"/>
  <c r="N26" i="1" a="1"/>
  <c r="N26" i="1" s="1"/>
  <c r="S26" i="1" a="1"/>
  <c r="S26" i="1" s="1"/>
  <c r="W6" i="1" l="1"/>
  <c r="V7" i="1" a="1"/>
  <c r="V7" i="1" s="1"/>
  <c r="V8" i="1" a="1"/>
  <c r="V8" i="1" s="1"/>
  <c r="V9" i="1" a="1"/>
  <c r="V9" i="1" s="1"/>
  <c r="V10" i="1" a="1"/>
  <c r="V10" i="1" s="1"/>
  <c r="V11" i="1" a="1"/>
  <c r="V11" i="1" s="1"/>
  <c r="V12" i="1" a="1"/>
  <c r="V12" i="1" s="1"/>
  <c r="V13" i="1" a="1"/>
  <c r="V13" i="1" s="1"/>
  <c r="V14" i="1" a="1"/>
  <c r="V14" i="1" s="1"/>
  <c r="V15" i="1" a="1"/>
  <c r="V15" i="1" s="1"/>
  <c r="V16" i="1" a="1"/>
  <c r="V16" i="1" s="1"/>
  <c r="V17" i="1" a="1"/>
  <c r="V17" i="1" s="1"/>
  <c r="V18" i="1" a="1"/>
  <c r="V18" i="1" s="1"/>
  <c r="V19" i="1" a="1"/>
  <c r="V19" i="1" s="1"/>
  <c r="V20" i="1" a="1"/>
  <c r="V20" i="1" s="1"/>
  <c r="V21" i="1" a="1"/>
  <c r="V21" i="1" s="1"/>
  <c r="V22" i="1" a="1"/>
  <c r="V22" i="1" s="1"/>
  <c r="V23" i="1" a="1"/>
  <c r="V23" i="1" s="1"/>
  <c r="V24" i="1" a="1"/>
  <c r="V24" i="1" s="1"/>
  <c r="V25" i="1" a="1"/>
  <c r="V25" i="1" s="1"/>
  <c r="V26" i="1" a="1"/>
  <c r="V26" i="1" s="1"/>
  <c r="B28" i="1"/>
  <c r="G27" i="1" a="1"/>
  <c r="G27" i="1" s="1"/>
  <c r="L27" i="1" a="1"/>
  <c r="L27" i="1" s="1"/>
  <c r="R27" i="1" a="1"/>
  <c r="R27" i="1" s="1"/>
  <c r="H27" i="1" a="1"/>
  <c r="H27" i="1" s="1"/>
  <c r="M27" i="1" a="1"/>
  <c r="M27" i="1" s="1"/>
  <c r="I27" i="1" a="1"/>
  <c r="I27" i="1" s="1"/>
  <c r="S27" i="1" a="1"/>
  <c r="S27" i="1" s="1"/>
  <c r="N27" i="1" a="1"/>
  <c r="N27" i="1" s="1"/>
  <c r="J27" i="1" a="1"/>
  <c r="J27" i="1" s="1"/>
  <c r="O27" i="1" a="1"/>
  <c r="O27" i="1" s="1"/>
  <c r="D27" i="1" a="1"/>
  <c r="D27" i="1" s="1"/>
  <c r="P27" i="1" a="1"/>
  <c r="P27" i="1" s="1"/>
  <c r="E27" i="1" a="1"/>
  <c r="E27" i="1" s="1"/>
  <c r="K27" i="1" a="1"/>
  <c r="K27" i="1" s="1"/>
  <c r="Q27" i="1" a="1"/>
  <c r="Q27" i="1" s="1"/>
  <c r="F27" i="1" a="1"/>
  <c r="F27" i="1" s="1"/>
  <c r="T27" i="1" a="1"/>
  <c r="T27" i="1" s="1"/>
  <c r="U27" i="1" a="1"/>
  <c r="U27" i="1" s="1"/>
  <c r="V27" i="1" a="1"/>
  <c r="V27" i="1" s="1"/>
  <c r="W27" i="1" a="1"/>
  <c r="W27" i="1" s="1"/>
  <c r="X6" i="1" l="1"/>
  <c r="W7" i="1" a="1"/>
  <c r="W7" i="1" s="1"/>
  <c r="W8" i="1" a="1"/>
  <c r="W8" i="1" s="1"/>
  <c r="W9" i="1" a="1"/>
  <c r="W9" i="1" s="1"/>
  <c r="W10" i="1" a="1"/>
  <c r="W10" i="1" s="1"/>
  <c r="W11" i="1" a="1"/>
  <c r="W11" i="1" s="1"/>
  <c r="W12" i="1" a="1"/>
  <c r="W12" i="1" s="1"/>
  <c r="W13" i="1" a="1"/>
  <c r="W13" i="1" s="1"/>
  <c r="W14" i="1" a="1"/>
  <c r="W14" i="1" s="1"/>
  <c r="W15" i="1" a="1"/>
  <c r="W15" i="1" s="1"/>
  <c r="W16" i="1" a="1"/>
  <c r="W16" i="1" s="1"/>
  <c r="W17" i="1" a="1"/>
  <c r="W17" i="1" s="1"/>
  <c r="W18" i="1" a="1"/>
  <c r="W18" i="1" s="1"/>
  <c r="W19" i="1" a="1"/>
  <c r="W19" i="1" s="1"/>
  <c r="W20" i="1" a="1"/>
  <c r="W20" i="1" s="1"/>
  <c r="W21" i="1" a="1"/>
  <c r="W21" i="1" s="1"/>
  <c r="W22" i="1" a="1"/>
  <c r="W22" i="1" s="1"/>
  <c r="W23" i="1" a="1"/>
  <c r="W23" i="1" s="1"/>
  <c r="W24" i="1" a="1"/>
  <c r="W24" i="1" s="1"/>
  <c r="W25" i="1" a="1"/>
  <c r="W25" i="1" s="1"/>
  <c r="W26" i="1" a="1"/>
  <c r="W26" i="1" s="1"/>
  <c r="B29" i="1"/>
  <c r="G28" i="1" a="1"/>
  <c r="G28" i="1" s="1"/>
  <c r="R28" i="1" a="1"/>
  <c r="R28" i="1" s="1"/>
  <c r="W28" i="1" a="1"/>
  <c r="W28" i="1" s="1"/>
  <c r="L28" i="1" a="1"/>
  <c r="L28" i="1" s="1"/>
  <c r="H28" i="1" a="1"/>
  <c r="H28" i="1" s="1"/>
  <c r="M28" i="1" a="1"/>
  <c r="M28" i="1" s="1"/>
  <c r="S28" i="1" a="1"/>
  <c r="S28" i="1" s="1"/>
  <c r="I28" i="1" a="1"/>
  <c r="I28" i="1" s="1"/>
  <c r="N28" i="1" a="1"/>
  <c r="N28" i="1" s="1"/>
  <c r="D28" i="1" a="1"/>
  <c r="D28" i="1" s="1"/>
  <c r="O28" i="1" a="1"/>
  <c r="O28" i="1" s="1"/>
  <c r="T28" i="1" a="1"/>
  <c r="T28" i="1" s="1"/>
  <c r="J28" i="1" a="1"/>
  <c r="J28" i="1" s="1"/>
  <c r="P28" i="1" a="1"/>
  <c r="P28" i="1" s="1"/>
  <c r="U28" i="1" a="1"/>
  <c r="U28" i="1" s="1"/>
  <c r="E28" i="1" a="1"/>
  <c r="E28" i="1" s="1"/>
  <c r="Q28" i="1" a="1"/>
  <c r="Q28" i="1" s="1"/>
  <c r="F28" i="1" a="1"/>
  <c r="F28" i="1" s="1"/>
  <c r="K28" i="1" a="1"/>
  <c r="K28" i="1" s="1"/>
  <c r="V28" i="1" a="1"/>
  <c r="V28" i="1" s="1"/>
  <c r="X28" i="1" a="1"/>
  <c r="X28" i="1" s="1"/>
  <c r="Y6" i="1" l="1"/>
  <c r="X7" i="1" a="1"/>
  <c r="X7" i="1" s="1"/>
  <c r="X8" i="1" a="1"/>
  <c r="X8" i="1" s="1"/>
  <c r="X9" i="1" a="1"/>
  <c r="X9" i="1" s="1"/>
  <c r="X10" i="1" a="1"/>
  <c r="X10" i="1" s="1"/>
  <c r="X11" i="1" a="1"/>
  <c r="X11" i="1" s="1"/>
  <c r="X12" i="1" a="1"/>
  <c r="X12" i="1" s="1"/>
  <c r="X13" i="1" a="1"/>
  <c r="X13" i="1" s="1"/>
  <c r="X14" i="1" a="1"/>
  <c r="X14" i="1" s="1"/>
  <c r="X15" i="1" a="1"/>
  <c r="X15" i="1" s="1"/>
  <c r="X16" i="1" a="1"/>
  <c r="X16" i="1" s="1"/>
  <c r="X17" i="1" a="1"/>
  <c r="X17" i="1" s="1"/>
  <c r="X18" i="1" a="1"/>
  <c r="X18" i="1" s="1"/>
  <c r="X19" i="1" a="1"/>
  <c r="X19" i="1" s="1"/>
  <c r="X20" i="1" a="1"/>
  <c r="X20" i="1" s="1"/>
  <c r="X21" i="1" a="1"/>
  <c r="X21" i="1" s="1"/>
  <c r="X22" i="1" a="1"/>
  <c r="X22" i="1" s="1"/>
  <c r="X23" i="1" a="1"/>
  <c r="X23" i="1" s="1"/>
  <c r="X24" i="1" a="1"/>
  <c r="X24" i="1" s="1"/>
  <c r="X25" i="1" a="1"/>
  <c r="X25" i="1" s="1"/>
  <c r="X26" i="1" a="1"/>
  <c r="X26" i="1" s="1"/>
  <c r="X27" i="1" a="1"/>
  <c r="X27" i="1" s="1"/>
  <c r="B30" i="1"/>
  <c r="D29" i="1" a="1"/>
  <c r="D29" i="1" s="1"/>
  <c r="J29" i="1" a="1"/>
  <c r="J29" i="1" s="1"/>
  <c r="T29" i="1" a="1"/>
  <c r="T29" i="1" s="1"/>
  <c r="E29" i="1" a="1"/>
  <c r="E29" i="1" s="1"/>
  <c r="F29" i="1" a="1"/>
  <c r="F29" i="1" s="1"/>
  <c r="K29" i="1" a="1"/>
  <c r="K29" i="1" s="1"/>
  <c r="Q29" i="1" a="1"/>
  <c r="Q29" i="1" s="1"/>
  <c r="V29" i="1" a="1"/>
  <c r="V29" i="1" s="1"/>
  <c r="W29" i="1" a="1"/>
  <c r="W29" i="1" s="1"/>
  <c r="G29" i="1" a="1"/>
  <c r="G29" i="1" s="1"/>
  <c r="L29" i="1" a="1"/>
  <c r="L29" i="1" s="1"/>
  <c r="R29" i="1" a="1"/>
  <c r="R29" i="1" s="1"/>
  <c r="X29" i="1" a="1"/>
  <c r="X29" i="1" s="1"/>
  <c r="H29" i="1" a="1"/>
  <c r="H29" i="1" s="1"/>
  <c r="M29" i="1" a="1"/>
  <c r="M29" i="1" s="1"/>
  <c r="Y29" i="1" a="1"/>
  <c r="Y29" i="1" s="1"/>
  <c r="I29" i="1" a="1"/>
  <c r="I29" i="1" s="1"/>
  <c r="N29" i="1" a="1"/>
  <c r="N29" i="1" s="1"/>
  <c r="S29" i="1" a="1"/>
  <c r="S29" i="1" s="1"/>
  <c r="P29" i="1" a="1"/>
  <c r="P29" i="1" s="1"/>
  <c r="O29" i="1" a="1"/>
  <c r="O29" i="1" s="1"/>
  <c r="U29" i="1" a="1"/>
  <c r="U29" i="1" s="1"/>
  <c r="Z6" i="1" l="1"/>
  <c r="Y7" i="1" a="1"/>
  <c r="Y7" i="1" s="1"/>
  <c r="Y8" i="1" a="1"/>
  <c r="Y8" i="1" s="1"/>
  <c r="Y9" i="1" a="1"/>
  <c r="Y9" i="1" s="1"/>
  <c r="Y10" i="1" a="1"/>
  <c r="Y10" i="1" s="1"/>
  <c r="Y11" i="1" a="1"/>
  <c r="Y11" i="1" s="1"/>
  <c r="Y12" i="1" a="1"/>
  <c r="Y12" i="1" s="1"/>
  <c r="Y13" i="1" a="1"/>
  <c r="Y13" i="1" s="1"/>
  <c r="Y14" i="1" a="1"/>
  <c r="Y14" i="1" s="1"/>
  <c r="Y15" i="1" a="1"/>
  <c r="Y15" i="1" s="1"/>
  <c r="Y16" i="1" a="1"/>
  <c r="Y16" i="1" s="1"/>
  <c r="Y17" i="1" a="1"/>
  <c r="Y17" i="1" s="1"/>
  <c r="Y18" i="1" a="1"/>
  <c r="Y18" i="1" s="1"/>
  <c r="Y19" i="1" a="1"/>
  <c r="Y19" i="1" s="1"/>
  <c r="Y20" i="1" a="1"/>
  <c r="Y20" i="1" s="1"/>
  <c r="Y21" i="1" a="1"/>
  <c r="Y21" i="1" s="1"/>
  <c r="Y22" i="1" a="1"/>
  <c r="Y22" i="1" s="1"/>
  <c r="Y23" i="1" a="1"/>
  <c r="Y23" i="1" s="1"/>
  <c r="Y24" i="1" a="1"/>
  <c r="Y24" i="1" s="1"/>
  <c r="Y25" i="1" a="1"/>
  <c r="Y25" i="1" s="1"/>
  <c r="Y26" i="1" a="1"/>
  <c r="Y26" i="1" s="1"/>
  <c r="Y27" i="1" a="1"/>
  <c r="Y27" i="1" s="1"/>
  <c r="Y28" i="1" a="1"/>
  <c r="Y28" i="1" s="1"/>
  <c r="H30" i="1" a="1"/>
  <c r="H30" i="1" s="1"/>
  <c r="H31" i="1" s="1"/>
  <c r="M30" i="1" a="1"/>
  <c r="M30" i="1" s="1"/>
  <c r="M31" i="1" s="1"/>
  <c r="X30" i="1" a="1"/>
  <c r="X30" i="1" s="1"/>
  <c r="X31" i="1" s="1"/>
  <c r="I30" i="1" a="1"/>
  <c r="I30" i="1" s="1"/>
  <c r="I31" i="1" s="1"/>
  <c r="Y30" i="1" a="1"/>
  <c r="Y30" i="1" s="1"/>
  <c r="D30" i="1" a="1"/>
  <c r="D30" i="1" s="1"/>
  <c r="J30" i="1" a="1"/>
  <c r="J30" i="1" s="1"/>
  <c r="J31" i="1" s="1"/>
  <c r="O30" i="1" a="1"/>
  <c r="O30" i="1" s="1"/>
  <c r="O31" i="1" s="1"/>
  <c r="T30" i="1" a="1"/>
  <c r="T30" i="1" s="1"/>
  <c r="T31" i="1" s="1"/>
  <c r="Z30" i="1" a="1"/>
  <c r="Z30" i="1" s="1"/>
  <c r="K30" i="1" a="1"/>
  <c r="K30" i="1" s="1"/>
  <c r="K31" i="1" s="1"/>
  <c r="V30" i="1" a="1"/>
  <c r="V30" i="1" s="1"/>
  <c r="V31" i="1" s="1"/>
  <c r="E30" i="1" a="1"/>
  <c r="E30" i="1" s="1"/>
  <c r="E31" i="1" s="1"/>
  <c r="P30" i="1" a="1"/>
  <c r="P30" i="1" s="1"/>
  <c r="P31" i="1" s="1"/>
  <c r="U30" i="1" a="1"/>
  <c r="U30" i="1" s="1"/>
  <c r="U31" i="1" s="1"/>
  <c r="Q30" i="1" a="1"/>
  <c r="Q30" i="1" s="1"/>
  <c r="Q31" i="1" s="1"/>
  <c r="F30" i="1" a="1"/>
  <c r="F30" i="1" s="1"/>
  <c r="F31" i="1" s="1"/>
  <c r="W30" i="1" a="1"/>
  <c r="W30" i="1" s="1"/>
  <c r="W31" i="1" s="1"/>
  <c r="N30" i="1" a="1"/>
  <c r="N30" i="1" s="1"/>
  <c r="N31" i="1" s="1"/>
  <c r="G30" i="1" a="1"/>
  <c r="G30" i="1" s="1"/>
  <c r="G31" i="1" s="1"/>
  <c r="L30" i="1" a="1"/>
  <c r="L30" i="1" s="1"/>
  <c r="L31" i="1" s="1"/>
  <c r="R30" i="1" a="1"/>
  <c r="R30" i="1" s="1"/>
  <c r="R31" i="1" s="1"/>
  <c r="S30" i="1" a="1"/>
  <c r="S30" i="1" s="1"/>
  <c r="S31" i="1" s="1"/>
  <c r="Y31" i="1" l="1"/>
  <c r="AA6" i="1"/>
  <c r="Z7" i="1" a="1"/>
  <c r="Z7" i="1" s="1"/>
  <c r="Z8" i="1" a="1"/>
  <c r="Z8" i="1" s="1"/>
  <c r="Z9" i="1" a="1"/>
  <c r="Z9" i="1" s="1"/>
  <c r="Z10" i="1" a="1"/>
  <c r="Z10" i="1" s="1"/>
  <c r="Z11" i="1" a="1"/>
  <c r="Z11" i="1" s="1"/>
  <c r="Z12" i="1" a="1"/>
  <c r="Z12" i="1" s="1"/>
  <c r="Z13" i="1" a="1"/>
  <c r="Z13" i="1" s="1"/>
  <c r="Z14" i="1" a="1"/>
  <c r="Z14" i="1" s="1"/>
  <c r="Z15" i="1" a="1"/>
  <c r="Z15" i="1" s="1"/>
  <c r="Z16" i="1" a="1"/>
  <c r="Z16" i="1" s="1"/>
  <c r="Z17" i="1" a="1"/>
  <c r="Z17" i="1" s="1"/>
  <c r="Z18" i="1" a="1"/>
  <c r="Z18" i="1" s="1"/>
  <c r="Z19" i="1" a="1"/>
  <c r="Z19" i="1" s="1"/>
  <c r="Z20" i="1" a="1"/>
  <c r="Z20" i="1" s="1"/>
  <c r="Z21" i="1" a="1"/>
  <c r="Z21" i="1" s="1"/>
  <c r="Z22" i="1" a="1"/>
  <c r="Z22" i="1" s="1"/>
  <c r="Z23" i="1" a="1"/>
  <c r="Z23" i="1" s="1"/>
  <c r="Z24" i="1" a="1"/>
  <c r="Z24" i="1" s="1"/>
  <c r="Z25" i="1" a="1"/>
  <c r="Z25" i="1" s="1"/>
  <c r="Z26" i="1" a="1"/>
  <c r="Z26" i="1" s="1"/>
  <c r="Z27" i="1" a="1"/>
  <c r="Z27" i="1" s="1"/>
  <c r="Z28" i="1" a="1"/>
  <c r="Z28" i="1" s="1"/>
  <c r="Z29" i="1" a="1"/>
  <c r="Z29" i="1" s="1"/>
  <c r="D31" i="1"/>
  <c r="Z31" i="1" l="1"/>
  <c r="AA7" i="1" a="1"/>
  <c r="AA7" i="1" s="1"/>
  <c r="AA8" i="1" a="1"/>
  <c r="AA8" i="1" s="1"/>
  <c r="C8" i="1" s="1"/>
  <c r="AA9" i="1" a="1"/>
  <c r="AA9" i="1" s="1"/>
  <c r="C9" i="1" s="1"/>
  <c r="AA10" i="1" a="1"/>
  <c r="AA10" i="1" s="1"/>
  <c r="C10" i="1" s="1"/>
  <c r="AA11" i="1" a="1"/>
  <c r="AA11" i="1" s="1"/>
  <c r="C11" i="1" s="1"/>
  <c r="AA12" i="1" a="1"/>
  <c r="AA12" i="1" s="1"/>
  <c r="C12" i="1" s="1"/>
  <c r="AA13" i="1" a="1"/>
  <c r="AA13" i="1" s="1"/>
  <c r="C13" i="1" s="1"/>
  <c r="AA14" i="1" a="1"/>
  <c r="AA14" i="1" s="1"/>
  <c r="C14" i="1" s="1"/>
  <c r="AA15" i="1" a="1"/>
  <c r="AA15" i="1" s="1"/>
  <c r="C15" i="1" s="1"/>
  <c r="AA16" i="1" a="1"/>
  <c r="AA16" i="1" s="1"/>
  <c r="C16" i="1" s="1"/>
  <c r="AA17" i="1" a="1"/>
  <c r="AA17" i="1" s="1"/>
  <c r="C17" i="1" s="1"/>
  <c r="AA18" i="1" a="1"/>
  <c r="AA18" i="1" s="1"/>
  <c r="C18" i="1" s="1"/>
  <c r="AA19" i="1" a="1"/>
  <c r="AA19" i="1" s="1"/>
  <c r="C19" i="1" s="1"/>
  <c r="AA20" i="1" a="1"/>
  <c r="AA20" i="1" s="1"/>
  <c r="C20" i="1" s="1"/>
  <c r="AA21" i="1" a="1"/>
  <c r="AA21" i="1" s="1"/>
  <c r="C21" i="1" s="1"/>
  <c r="AA22" i="1" a="1"/>
  <c r="AA22" i="1" s="1"/>
  <c r="C22" i="1" s="1"/>
  <c r="AA23" i="1" a="1"/>
  <c r="AA23" i="1" s="1"/>
  <c r="C23" i="1" s="1"/>
  <c r="AA24" i="1" a="1"/>
  <c r="AA24" i="1" s="1"/>
  <c r="C24" i="1" s="1"/>
  <c r="AA25" i="1" a="1"/>
  <c r="AA25" i="1" s="1"/>
  <c r="C25" i="1" s="1"/>
  <c r="AA26" i="1" a="1"/>
  <c r="AA26" i="1" s="1"/>
  <c r="C26" i="1" s="1"/>
  <c r="AA27" i="1" a="1"/>
  <c r="AA27" i="1" s="1"/>
  <c r="C27" i="1" s="1"/>
  <c r="AA28" i="1" a="1"/>
  <c r="AA28" i="1" s="1"/>
  <c r="C28" i="1" s="1"/>
  <c r="AA29" i="1" a="1"/>
  <c r="AA29" i="1" s="1"/>
  <c r="C29" i="1" s="1"/>
  <c r="AA30" i="1" a="1"/>
  <c r="AA30" i="1" s="1"/>
  <c r="C30" i="1" s="1"/>
  <c r="AA31" i="1" l="1"/>
  <c r="C31" i="1" s="1"/>
  <c r="C7" i="1"/>
</calcChain>
</file>

<file path=xl/sharedStrings.xml><?xml version="1.0" encoding="utf-8"?>
<sst xmlns="http://schemas.openxmlformats.org/spreadsheetml/2006/main" count="27" uniqueCount="23">
  <si>
    <t>CLAIM DATA in '000</t>
  </si>
  <si>
    <t>MEMBERSHIP DATA</t>
  </si>
  <si>
    <t>Data as of date</t>
  </si>
  <si>
    <t>Date Calculation for various titles</t>
  </si>
  <si>
    <r>
      <t xml:space="preserve">INCURRED </t>
    </r>
    <r>
      <rPr>
        <b/>
        <u/>
        <sz val="9"/>
        <rFont val="Arial"/>
        <family val="2"/>
      </rPr>
      <t>MONTH</t>
    </r>
  </si>
  <si>
    <t>PAID MONTH</t>
  </si>
  <si>
    <r>
      <t xml:space="preserve">PAID CLAIM </t>
    </r>
    <r>
      <rPr>
        <b/>
        <u/>
        <sz val="9"/>
        <rFont val="Arial"/>
        <family val="2"/>
      </rPr>
      <t>AMOUNT</t>
    </r>
  </si>
  <si>
    <t>INVENTORY</t>
  </si>
  <si>
    <t>INCURRED MONTH</t>
  </si>
  <si>
    <t>MEMBERSHIP</t>
  </si>
  <si>
    <t>Earliest</t>
  </si>
  <si>
    <t>Latest</t>
  </si>
  <si>
    <t xml:space="preserve">12 Mo </t>
  </si>
  <si>
    <t>Paid Month</t>
  </si>
  <si>
    <t>Total</t>
  </si>
  <si>
    <t>Total Paid claims by month of payment and incurred month, and membership by month</t>
  </si>
  <si>
    <t>Paid Claims by Month of Payment and Month of Service ("Paid Claims Triange") (in thousands of dollars)</t>
  </si>
  <si>
    <t>Membership:</t>
  </si>
  <si>
    <t>(thousands)</t>
  </si>
  <si>
    <t>Inventory levels by reporting month and incurred month</t>
  </si>
  <si>
    <t>Inventory by Reporting Month and Incurred Month ("Paid Claims Triange") (in thousands of dollars)</t>
  </si>
  <si>
    <t>Reporting
Month</t>
  </si>
  <si>
    <t>Incurred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</si>
</sst>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u/>
      <sz val="9"/>
      <name val="Arial"/>
      <family val="2"/>
    </font>
    <font>
      <sz val="9"/>
      <color theme="0"/>
      <name val="Arial"/>
      <family val="2"/>
    </font>
    <font>
      <b/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6">
    <xf numFmtId="0" fontId="0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3">
    <xf numFmtId="0" fontId="0" fillId="0" borderId="0" xfId="0"/>
    <xf numFmtId="0" fontId="4" fillId="0" borderId="0" xfId="1" applyFont="1"/>
    <xf numFmtId="0" fontId="5" fillId="0" borderId="0" xfId="1" applyFont="1" applyAlignment="1">
      <alignment horizontal="center"/>
    </xf>
    <xf numFmtId="0" fontId="5" fillId="0" borderId="0" xfId="1" applyFont="1"/>
    <xf numFmtId="0" fontId="5" fillId="0" borderId="0" xfId="1" applyFont="1" applyAlignment="1">
      <alignment horizontal="right"/>
    </xf>
    <xf numFmtId="14" fontId="5" fillId="2" borderId="0" xfId="1" applyNumberFormat="1" applyFont="1" applyFill="1"/>
    <xf numFmtId="0" fontId="4" fillId="0" borderId="0" xfId="1" applyFont="1" applyAlignment="1">
      <alignment horizontal="center" wrapText="1"/>
    </xf>
    <xf numFmtId="0" fontId="6" fillId="0" borderId="0" xfId="1" applyFont="1" applyAlignment="1">
      <alignment horizontal="center" wrapText="1"/>
    </xf>
    <xf numFmtId="37" fontId="4" fillId="0" borderId="0" xfId="1" applyNumberFormat="1" applyFont="1" applyAlignment="1">
      <alignment horizontal="center" wrapText="1"/>
    </xf>
    <xf numFmtId="0" fontId="6" fillId="0" borderId="0" xfId="1" applyFont="1" applyAlignment="1">
      <alignment horizontal="right" wrapText="1"/>
    </xf>
    <xf numFmtId="0" fontId="6" fillId="0" borderId="0" xfId="1" applyFont="1" applyAlignment="1">
      <alignment horizontal="right"/>
    </xf>
    <xf numFmtId="14" fontId="5" fillId="0" borderId="0" xfId="1" applyNumberFormat="1" applyFont="1"/>
    <xf numFmtId="8" fontId="7" fillId="0" borderId="0" xfId="1" applyNumberFormat="1" applyFont="1" applyAlignment="1">
      <alignment horizontal="right" wrapText="1"/>
    </xf>
    <xf numFmtId="14" fontId="5" fillId="0" borderId="0" xfId="1" applyNumberFormat="1" applyFont="1" applyAlignment="1">
      <alignment horizontal="right"/>
    </xf>
    <xf numFmtId="0" fontId="8" fillId="0" borderId="0" xfId="1" applyFont="1"/>
    <xf numFmtId="14" fontId="5" fillId="2" borderId="0" xfId="1" applyNumberFormat="1" applyFont="1" applyFill="1" applyAlignment="1">
      <alignment horizontal="center"/>
    </xf>
    <xf numFmtId="165" fontId="5" fillId="2" borderId="0" xfId="4" applyNumberFormat="1" applyFont="1" applyFill="1"/>
    <xf numFmtId="37" fontId="5" fillId="2" borderId="0" xfId="1" applyNumberFormat="1" applyFont="1" applyFill="1"/>
    <xf numFmtId="164" fontId="5" fillId="2" borderId="0" xfId="5" applyNumberFormat="1" applyFont="1" applyFill="1"/>
    <xf numFmtId="164" fontId="5" fillId="0" borderId="0" xfId="5" applyNumberFormat="1" applyFont="1"/>
    <xf numFmtId="14" fontId="5" fillId="0" borderId="0" xfId="1" applyNumberFormat="1" applyFont="1" applyAlignment="1">
      <alignment horizontal="center"/>
    </xf>
    <xf numFmtId="37" fontId="5" fillId="0" borderId="0" xfId="1" applyNumberFormat="1" applyFont="1"/>
    <xf numFmtId="0" fontId="5" fillId="2" borderId="0" xfId="1" applyFont="1" applyFill="1"/>
    <xf numFmtId="14" fontId="2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0" fontId="13" fillId="0" borderId="0" xfId="0" applyFont="1"/>
    <xf numFmtId="0" fontId="2" fillId="0" borderId="0" xfId="0" applyFont="1" applyAlignment="1">
      <alignment horizontal="center" wrapText="1"/>
    </xf>
    <xf numFmtId="14" fontId="2" fillId="0" borderId="0" xfId="0" applyNumberFormat="1" applyFont="1" applyFill="1" applyAlignment="1">
      <alignment horizontal="center"/>
    </xf>
    <xf numFmtId="14" fontId="9" fillId="5" borderId="0" xfId="0" applyNumberFormat="1" applyFont="1" applyFill="1" applyAlignment="1">
      <alignment horizontal="center"/>
    </xf>
    <xf numFmtId="14" fontId="2" fillId="5" borderId="0" xfId="0" applyNumberFormat="1" applyFont="1" applyFill="1" applyAlignment="1">
      <alignment horizontal="center"/>
    </xf>
    <xf numFmtId="14" fontId="0" fillId="0" borderId="0" xfId="0" applyNumberFormat="1" applyFont="1" applyFill="1" applyAlignment="1">
      <alignment horizontal="left"/>
    </xf>
    <xf numFmtId="39" fontId="14" fillId="4" borderId="1" xfId="0" applyNumberFormat="1" applyFont="1" applyFill="1" applyBorder="1"/>
    <xf numFmtId="41" fontId="14" fillId="4" borderId="1" xfId="0" applyNumberFormat="1" applyFont="1" applyFill="1" applyBorder="1"/>
    <xf numFmtId="0" fontId="10" fillId="3" borderId="5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4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4" fillId="0" borderId="4" xfId="1" applyFont="1" applyBorder="1" applyAlignment="1">
      <alignment horizontal="center"/>
    </xf>
  </cellXfs>
  <cellStyles count="6">
    <cellStyle name="Comma 2" xfId="3" xr:uid="{870A930F-1B79-4737-8DFB-A20BA8CC0B1F}"/>
    <cellStyle name="Comma 2 2" xfId="5" xr:uid="{6501C2A1-DC71-4735-99B6-C835E1B19E94}"/>
    <cellStyle name="Currency 2" xfId="4" xr:uid="{3813AD17-0F19-4D22-9C37-C06AD51FBB43}"/>
    <cellStyle name="Normal" xfId="0" builtinId="0"/>
    <cellStyle name="Normal 2" xfId="1" xr:uid="{A43DE686-AD15-4635-887B-5B1BA0BA5F75}"/>
    <cellStyle name="Normal 5" xfId="2" xr:uid="{82FD3015-6836-49C3-9EAB-4E146A1B8597}"/>
  </cellStyles>
  <dxfs count="0"/>
  <tableStyles count="0" defaultTableStyle="TableStyleMedium2" defaultPivotStyle="PivotStyleLight16"/>
  <colors>
    <mruColors>
      <color rgb="FF66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6A8EA-AC1A-4EC6-84F4-8F35316E94A7}">
  <sheetPr>
    <pageSetUpPr fitToPage="1"/>
  </sheetPr>
  <dimension ref="B2:AA353"/>
  <sheetViews>
    <sheetView tabSelected="1" topLeftCell="A41" zoomScale="91" workbookViewId="0">
      <selection activeCell="B41" sqref="B41"/>
    </sheetView>
  </sheetViews>
  <sheetFormatPr defaultRowHeight="15" x14ac:dyDescent="0.25"/>
  <cols>
    <col min="1" max="1" width="2.5703125" customWidth="1"/>
    <col min="2" max="2" width="11.42578125" customWidth="1"/>
    <col min="3" max="3" width="12.140625" customWidth="1"/>
    <col min="4" max="5" width="10.140625" bestFit="1" customWidth="1"/>
    <col min="6" max="6" width="10.7109375" customWidth="1"/>
    <col min="7" max="8" width="10.140625" bestFit="1" customWidth="1"/>
    <col min="9" max="9" width="10.7109375" customWidth="1"/>
    <col min="10" max="12" width="10.5703125" bestFit="1" customWidth="1"/>
    <col min="13" max="15" width="10" customWidth="1"/>
    <col min="16" max="22" width="10.140625" bestFit="1" customWidth="1"/>
    <col min="23" max="24" width="10.5703125" bestFit="1" customWidth="1"/>
    <col min="25" max="27" width="10" customWidth="1"/>
  </cols>
  <sheetData>
    <row r="2" spans="2:27" ht="18.75" x14ac:dyDescent="0.3">
      <c r="C2" s="37" t="s">
        <v>15</v>
      </c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2:27" ht="15.75" x14ac:dyDescent="0.25">
      <c r="C3" s="38" t="s">
        <v>16</v>
      </c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2:27" ht="15.75" thickBot="1" x14ac:dyDescent="0.3"/>
    <row r="5" spans="2:27" ht="19.5" thickBot="1" x14ac:dyDescent="0.35">
      <c r="C5" s="34" t="s">
        <v>22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6"/>
    </row>
    <row r="6" spans="2:27" ht="15.75" thickTop="1" x14ac:dyDescent="0.25">
      <c r="B6" s="24" t="s">
        <v>13</v>
      </c>
      <c r="C6" s="24" t="s">
        <v>14</v>
      </c>
      <c r="D6" s="29">
        <f>B7</f>
        <v>40544</v>
      </c>
      <c r="E6" s="25">
        <f>EDATE(D6,1)</f>
        <v>40575</v>
      </c>
      <c r="F6" s="25">
        <f t="shared" ref="F6:Z6" si="0">EDATE(E6,1)</f>
        <v>40603</v>
      </c>
      <c r="G6" s="25">
        <f t="shared" si="0"/>
        <v>40634</v>
      </c>
      <c r="H6" s="25">
        <f t="shared" si="0"/>
        <v>40664</v>
      </c>
      <c r="I6" s="25">
        <f t="shared" si="0"/>
        <v>40695</v>
      </c>
      <c r="J6" s="25">
        <f t="shared" si="0"/>
        <v>40725</v>
      </c>
      <c r="K6" s="25">
        <f t="shared" si="0"/>
        <v>40756</v>
      </c>
      <c r="L6" s="25">
        <f t="shared" si="0"/>
        <v>40787</v>
      </c>
      <c r="M6" s="25">
        <f t="shared" si="0"/>
        <v>40817</v>
      </c>
      <c r="N6" s="25">
        <f t="shared" si="0"/>
        <v>40848</v>
      </c>
      <c r="O6" s="25">
        <f t="shared" si="0"/>
        <v>40878</v>
      </c>
      <c r="P6" s="25">
        <f t="shared" si="0"/>
        <v>40909</v>
      </c>
      <c r="Q6" s="25">
        <f t="shared" si="0"/>
        <v>40940</v>
      </c>
      <c r="R6" s="25">
        <f>EDATE(Q6,1)</f>
        <v>40969</v>
      </c>
      <c r="S6" s="25">
        <f t="shared" si="0"/>
        <v>41000</v>
      </c>
      <c r="T6" s="25">
        <f t="shared" si="0"/>
        <v>41030</v>
      </c>
      <c r="U6" s="25">
        <f t="shared" si="0"/>
        <v>41061</v>
      </c>
      <c r="V6" s="25">
        <f t="shared" si="0"/>
        <v>41091</v>
      </c>
      <c r="W6" s="25">
        <f t="shared" si="0"/>
        <v>41122</v>
      </c>
      <c r="X6" s="25">
        <f t="shared" si="0"/>
        <v>41153</v>
      </c>
      <c r="Y6" s="25">
        <f t="shared" si="0"/>
        <v>41183</v>
      </c>
      <c r="Z6" s="25">
        <f t="shared" si="0"/>
        <v>41214</v>
      </c>
      <c r="AA6" s="25">
        <f>EDATE(Z6,1)</f>
        <v>41244</v>
      </c>
    </row>
    <row r="7" spans="2:27" x14ac:dyDescent="0.25">
      <c r="B7" s="30">
        <f>'Claim Data'!B4</f>
        <v>40544</v>
      </c>
      <c r="C7" s="33">
        <f>SUM(D7:AA7)</f>
        <v>1649000</v>
      </c>
      <c r="D7" s="33">
        <f t="array" ref="D7">IFERROR(INDEX('Claim Data'!$D$4:$D$282,MATCH($B7&amp;D$6,'Claim Data'!$C$4:$C$282&amp;'Claim Data'!$B$4:$B$282,0)),"")</f>
        <v>1649000</v>
      </c>
      <c r="E7" s="33" t="str">
        <f t="array" ref="E7">IFERROR(INDEX('Claim Data'!$D$4:$D$282,MATCH($B7&amp;E$6,'Claim Data'!$C$4:$C$282&amp;'Claim Data'!$B$4:$B$282,0)),"")</f>
        <v/>
      </c>
      <c r="F7" s="33" t="str">
        <f t="array" ref="F7">IFERROR(INDEX('Claim Data'!$D$4:$D$282,MATCH($B7&amp;F$6,'Claim Data'!$C$4:$C$282&amp;'Claim Data'!$B$4:$B$282,0)),"")</f>
        <v/>
      </c>
      <c r="G7" s="33" t="str">
        <f t="array" ref="G7">IFERROR(INDEX('Claim Data'!$D$4:$D$282,MATCH($B7&amp;G$6,'Claim Data'!$C$4:$C$282&amp;'Claim Data'!$B$4:$B$282,0)),"")</f>
        <v/>
      </c>
      <c r="H7" s="33" t="str">
        <f t="array" ref="H7">IFERROR(INDEX('Claim Data'!$D$4:$D$282,MATCH($B7&amp;H$6,'Claim Data'!$C$4:$C$282&amp;'Claim Data'!$B$4:$B$282,0)),"")</f>
        <v/>
      </c>
      <c r="I7" s="33" t="str">
        <f t="array" ref="I7">IFERROR(INDEX('Claim Data'!$D$4:$D$282,MATCH($B7&amp;I$6,'Claim Data'!$C$4:$C$282&amp;'Claim Data'!$B$4:$B$282,0)),"")</f>
        <v/>
      </c>
      <c r="J7" s="33" t="str">
        <f t="array" ref="J7">IFERROR(INDEX('Claim Data'!$D$4:$D$282,MATCH($B7&amp;J$6,'Claim Data'!$C$4:$C$282&amp;'Claim Data'!$B$4:$B$282,0)),"")</f>
        <v/>
      </c>
      <c r="K7" s="33" t="str">
        <f t="array" ref="K7">IFERROR(INDEX('Claim Data'!$D$4:$D$282,MATCH($B7&amp;K$6,'Claim Data'!$C$4:$C$282&amp;'Claim Data'!$B$4:$B$282,0)),"")</f>
        <v/>
      </c>
      <c r="L7" s="33" t="str">
        <f t="array" ref="L7">IFERROR(INDEX('Claim Data'!$D$4:$D$282,MATCH($B7&amp;L$6,'Claim Data'!$C$4:$C$282&amp;'Claim Data'!$B$4:$B$282,0)),"")</f>
        <v/>
      </c>
      <c r="M7" s="33" t="str">
        <f t="array" ref="M7">IFERROR(INDEX('Claim Data'!$D$4:$D$282,MATCH($B7&amp;M$6,'Claim Data'!$C$4:$C$282&amp;'Claim Data'!$B$4:$B$282,0)),"")</f>
        <v/>
      </c>
      <c r="N7" s="33" t="str">
        <f t="array" ref="N7">IFERROR(INDEX('Claim Data'!$D$4:$D$282,MATCH($B7&amp;N$6,'Claim Data'!$C$4:$C$282&amp;'Claim Data'!$B$4:$B$282,0)),"")</f>
        <v/>
      </c>
      <c r="O7" s="33" t="str">
        <f t="array" ref="O7">IFERROR(INDEX('Claim Data'!$D$4:$D$282,MATCH($B7&amp;O$6,'Claim Data'!$C$4:$C$282&amp;'Claim Data'!$B$4:$B$282,0)),"")</f>
        <v/>
      </c>
      <c r="P7" s="33" t="str">
        <f t="array" ref="P7">IFERROR(INDEX('Claim Data'!$D$4:$D$282,MATCH($B7&amp;P$6,'Claim Data'!$C$4:$C$282&amp;'Claim Data'!$B$4:$B$282,0)),"")</f>
        <v/>
      </c>
      <c r="Q7" s="33" t="str">
        <f t="array" ref="Q7">IFERROR(INDEX('Claim Data'!$D$4:$D$282,MATCH($B7&amp;Q$6,'Claim Data'!$C$4:$C$282&amp;'Claim Data'!$B$4:$B$282,0)),"")</f>
        <v/>
      </c>
      <c r="R7" s="33" t="str">
        <f t="array" ref="R7">IFERROR(INDEX('Claim Data'!$D$4:$D$282,MATCH($B7&amp;R$6,'Claim Data'!$C$4:$C$282&amp;'Claim Data'!$B$4:$B$282,0)),"")</f>
        <v/>
      </c>
      <c r="S7" s="33" t="str">
        <f t="array" ref="S7">IFERROR(INDEX('Claim Data'!$D$4:$D$282,MATCH($B7&amp;S$6,'Claim Data'!$C$4:$C$282&amp;'Claim Data'!$B$4:$B$282,0)),"")</f>
        <v/>
      </c>
      <c r="T7" s="33" t="str">
        <f t="array" ref="T7">IFERROR(INDEX('Claim Data'!$D$4:$D$282,MATCH($B7&amp;T$6,'Claim Data'!$C$4:$C$282&amp;'Claim Data'!$B$4:$B$282,0)),"")</f>
        <v/>
      </c>
      <c r="U7" s="33" t="str">
        <f t="array" ref="U7">IFERROR(INDEX('Claim Data'!$D$4:$D$282,MATCH($B7&amp;U$6,'Claim Data'!$C$4:$C$282&amp;'Claim Data'!$B$4:$B$282,0)),"")</f>
        <v/>
      </c>
      <c r="V7" s="33" t="str">
        <f t="array" ref="V7">IFERROR(INDEX('Claim Data'!$D$4:$D$282,MATCH($B7&amp;V$6,'Claim Data'!$C$4:$C$282&amp;'Claim Data'!$B$4:$B$282,0)),"")</f>
        <v/>
      </c>
      <c r="W7" s="33" t="str">
        <f t="array" ref="W7">IFERROR(INDEX('Claim Data'!$D$4:$D$282,MATCH($B7&amp;W$6,'Claim Data'!$C$4:$C$282&amp;'Claim Data'!$B$4:$B$282,0)),"")</f>
        <v/>
      </c>
      <c r="X7" s="33" t="str">
        <f t="array" ref="X7">IFERROR(INDEX('Claim Data'!$D$4:$D$282,MATCH($B7&amp;X$6,'Claim Data'!$C$4:$C$282&amp;'Claim Data'!$B$4:$B$282,0)),"")</f>
        <v/>
      </c>
      <c r="Y7" s="33" t="str">
        <f t="array" ref="Y7">IFERROR(INDEX('Claim Data'!$D$4:$D$282,MATCH($B7&amp;Y$6,'Claim Data'!$C$4:$C$282&amp;'Claim Data'!$B$4:$B$282,0)),"")</f>
        <v/>
      </c>
      <c r="Z7" s="33" t="str">
        <f t="array" ref="Z7">IFERROR(INDEX('Claim Data'!$D$4:$D$282,MATCH($B7&amp;Z$6,'Claim Data'!$C$4:$C$282&amp;'Claim Data'!$B$4:$B$282,0)),"")</f>
        <v/>
      </c>
      <c r="AA7" s="33" t="str">
        <f t="array" ref="AA7">IFERROR(INDEX('Claim Data'!$D$4:$D$282,MATCH($B7&amp;AA$6,'Claim Data'!$C$4:$C$282&amp;'Claim Data'!$B$4:$B$282,0)),"")</f>
        <v/>
      </c>
    </row>
    <row r="8" spans="2:27" x14ac:dyDescent="0.25">
      <c r="B8" s="23">
        <f>EDATE(B7,1)</f>
        <v>40575</v>
      </c>
      <c r="C8" s="33">
        <f t="shared" ref="C8:C31" si="1">SUM(D8:AA8)</f>
        <v>5753000</v>
      </c>
      <c r="D8" s="33">
        <f t="array" ref="D8">IFERROR(INDEX('Claim Data'!$D$4:$D$282,MATCH($B8&amp;D$6,'Claim Data'!$C$4:$C$282&amp;'Claim Data'!$B$4:$B$282,0)),"")</f>
        <v>4580000</v>
      </c>
      <c r="E8" s="33">
        <f t="array" ref="E8">IFERROR(INDEX('Claim Data'!$D$4:$D$282,MATCH($B8&amp;E$6,'Claim Data'!$C$4:$C$282&amp;'Claim Data'!$B$4:$B$282,0)),"")</f>
        <v>1173000</v>
      </c>
      <c r="F8" s="33" t="str">
        <f t="array" ref="F8">IFERROR(INDEX('Claim Data'!$D$4:$D$282,MATCH($B8&amp;F$6,'Claim Data'!$C$4:$C$282&amp;'Claim Data'!$B$4:$B$282,0)),"")</f>
        <v/>
      </c>
      <c r="G8" s="33" t="str">
        <f t="array" ref="G8">IFERROR(INDEX('Claim Data'!$D$4:$D$282,MATCH($B8&amp;G$6,'Claim Data'!$C$4:$C$282&amp;'Claim Data'!$B$4:$B$282,0)),"")</f>
        <v/>
      </c>
      <c r="H8" s="33" t="str">
        <f t="array" ref="H8">IFERROR(INDEX('Claim Data'!$D$4:$D$282,MATCH($B8&amp;H$6,'Claim Data'!$C$4:$C$282&amp;'Claim Data'!$B$4:$B$282,0)),"")</f>
        <v/>
      </c>
      <c r="I8" s="33" t="str">
        <f t="array" ref="I8">IFERROR(INDEX('Claim Data'!$D$4:$D$282,MATCH($B8&amp;I$6,'Claim Data'!$C$4:$C$282&amp;'Claim Data'!$B$4:$B$282,0)),"")</f>
        <v/>
      </c>
      <c r="J8" s="33" t="str">
        <f t="array" ref="J8">IFERROR(INDEX('Claim Data'!$D$4:$D$282,MATCH($B8&amp;J$6,'Claim Data'!$C$4:$C$282&amp;'Claim Data'!$B$4:$B$282,0)),"")</f>
        <v/>
      </c>
      <c r="K8" s="33" t="str">
        <f t="array" ref="K8">IFERROR(INDEX('Claim Data'!$D$4:$D$282,MATCH($B8&amp;K$6,'Claim Data'!$C$4:$C$282&amp;'Claim Data'!$B$4:$B$282,0)),"")</f>
        <v/>
      </c>
      <c r="L8" s="33" t="str">
        <f t="array" ref="L8">IFERROR(INDEX('Claim Data'!$D$4:$D$282,MATCH($B8&amp;L$6,'Claim Data'!$C$4:$C$282&amp;'Claim Data'!$B$4:$B$282,0)),"")</f>
        <v/>
      </c>
      <c r="M8" s="33" t="str">
        <f t="array" ref="M8">IFERROR(INDEX('Claim Data'!$D$4:$D$282,MATCH($B8&amp;M$6,'Claim Data'!$C$4:$C$282&amp;'Claim Data'!$B$4:$B$282,0)),"")</f>
        <v/>
      </c>
      <c r="N8" s="33" t="str">
        <f t="array" ref="N8">IFERROR(INDEX('Claim Data'!$D$4:$D$282,MATCH($B8&amp;N$6,'Claim Data'!$C$4:$C$282&amp;'Claim Data'!$B$4:$B$282,0)),"")</f>
        <v/>
      </c>
      <c r="O8" s="33" t="str">
        <f t="array" ref="O8">IFERROR(INDEX('Claim Data'!$D$4:$D$282,MATCH($B8&amp;O$6,'Claim Data'!$C$4:$C$282&amp;'Claim Data'!$B$4:$B$282,0)),"")</f>
        <v/>
      </c>
      <c r="P8" s="33" t="str">
        <f t="array" ref="P8">IFERROR(INDEX('Claim Data'!$D$4:$D$282,MATCH($B8&amp;P$6,'Claim Data'!$C$4:$C$282&amp;'Claim Data'!$B$4:$B$282,0)),"")</f>
        <v/>
      </c>
      <c r="Q8" s="33" t="str">
        <f t="array" ref="Q8">IFERROR(INDEX('Claim Data'!$D$4:$D$282,MATCH($B8&amp;Q$6,'Claim Data'!$C$4:$C$282&amp;'Claim Data'!$B$4:$B$282,0)),"")</f>
        <v/>
      </c>
      <c r="R8" s="33" t="str">
        <f t="array" ref="R8">IFERROR(INDEX('Claim Data'!$D$4:$D$282,MATCH($B8&amp;R$6,'Claim Data'!$C$4:$C$282&amp;'Claim Data'!$B$4:$B$282,0)),"")</f>
        <v/>
      </c>
      <c r="S8" s="33" t="str">
        <f t="array" ref="S8">IFERROR(INDEX('Claim Data'!$D$4:$D$282,MATCH($B8&amp;S$6,'Claim Data'!$C$4:$C$282&amp;'Claim Data'!$B$4:$B$282,0)),"")</f>
        <v/>
      </c>
      <c r="T8" s="33" t="str">
        <f t="array" ref="T8">IFERROR(INDEX('Claim Data'!$D$4:$D$282,MATCH($B8&amp;T$6,'Claim Data'!$C$4:$C$282&amp;'Claim Data'!$B$4:$B$282,0)),"")</f>
        <v/>
      </c>
      <c r="U8" s="33" t="str">
        <f t="array" ref="U8">IFERROR(INDEX('Claim Data'!$D$4:$D$282,MATCH($B8&amp;U$6,'Claim Data'!$C$4:$C$282&amp;'Claim Data'!$B$4:$B$282,0)),"")</f>
        <v/>
      </c>
      <c r="V8" s="33" t="str">
        <f t="array" ref="V8">IFERROR(INDEX('Claim Data'!$D$4:$D$282,MATCH($B8&amp;V$6,'Claim Data'!$C$4:$C$282&amp;'Claim Data'!$B$4:$B$282,0)),"")</f>
        <v/>
      </c>
      <c r="W8" s="33" t="str">
        <f t="array" ref="W8">IFERROR(INDEX('Claim Data'!$D$4:$D$282,MATCH($B8&amp;W$6,'Claim Data'!$C$4:$C$282&amp;'Claim Data'!$B$4:$B$282,0)),"")</f>
        <v/>
      </c>
      <c r="X8" s="33" t="str">
        <f t="array" ref="X8">IFERROR(INDEX('Claim Data'!$D$4:$D$282,MATCH($B8&amp;X$6,'Claim Data'!$C$4:$C$282&amp;'Claim Data'!$B$4:$B$282,0)),"")</f>
        <v/>
      </c>
      <c r="Y8" s="33" t="str">
        <f t="array" ref="Y8">IFERROR(INDEX('Claim Data'!$D$4:$D$282,MATCH($B8&amp;Y$6,'Claim Data'!$C$4:$C$282&amp;'Claim Data'!$B$4:$B$282,0)),"")</f>
        <v/>
      </c>
      <c r="Z8" s="33" t="str">
        <f t="array" ref="Z8">IFERROR(INDEX('Claim Data'!$D$4:$D$282,MATCH($B8&amp;Z$6,'Claim Data'!$C$4:$C$282&amp;'Claim Data'!$B$4:$B$282,0)),"")</f>
        <v/>
      </c>
      <c r="AA8" s="33" t="str">
        <f t="array" ref="AA8">IFERROR(INDEX('Claim Data'!$D$4:$D$282,MATCH($B8&amp;AA$6,'Claim Data'!$C$4:$C$282&amp;'Claim Data'!$B$4:$B$282,0)),"")</f>
        <v/>
      </c>
    </row>
    <row r="9" spans="2:27" x14ac:dyDescent="0.25">
      <c r="B9" s="23">
        <f t="shared" ref="B9:B29" si="2">EDATE(B8,1)</f>
        <v>40603</v>
      </c>
      <c r="C9" s="33">
        <f t="shared" si="1"/>
        <v>7843000</v>
      </c>
      <c r="D9" s="33">
        <f t="array" ref="D9">IFERROR(INDEX('Claim Data'!$D$4:$D$282,MATCH($B9&amp;D$6,'Claim Data'!$C$4:$C$282&amp;'Claim Data'!$B$4:$B$282,0)),"")</f>
        <v>1934000</v>
      </c>
      <c r="E9" s="33">
        <f t="array" ref="E9">IFERROR(INDEX('Claim Data'!$D$4:$D$282,MATCH($B9&amp;E$6,'Claim Data'!$C$4:$C$282&amp;'Claim Data'!$B$4:$B$282,0)),"")</f>
        <v>4406000</v>
      </c>
      <c r="F9" s="33">
        <f t="array" ref="F9">IFERROR(INDEX('Claim Data'!$D$4:$D$282,MATCH($B9&amp;F$6,'Claim Data'!$C$4:$C$282&amp;'Claim Data'!$B$4:$B$282,0)),"")</f>
        <v>1503000</v>
      </c>
      <c r="G9" s="33" t="str">
        <f t="array" ref="G9">IFERROR(INDEX('Claim Data'!$D$4:$D$282,MATCH($B9&amp;G$6,'Claim Data'!$C$4:$C$282&amp;'Claim Data'!$B$4:$B$282,0)),"")</f>
        <v/>
      </c>
      <c r="H9" s="33" t="str">
        <f t="array" ref="H9">IFERROR(INDEX('Claim Data'!$D$4:$D$282,MATCH($B9&amp;H$6,'Claim Data'!$C$4:$C$282&amp;'Claim Data'!$B$4:$B$282,0)),"")</f>
        <v/>
      </c>
      <c r="I9" s="33" t="str">
        <f t="array" ref="I9">IFERROR(INDEX('Claim Data'!$D$4:$D$282,MATCH($B9&amp;I$6,'Claim Data'!$C$4:$C$282&amp;'Claim Data'!$B$4:$B$282,0)),"")</f>
        <v/>
      </c>
      <c r="J9" s="33" t="str">
        <f t="array" ref="J9">IFERROR(INDEX('Claim Data'!$D$4:$D$282,MATCH($B9&amp;J$6,'Claim Data'!$C$4:$C$282&amp;'Claim Data'!$B$4:$B$282,0)),"")</f>
        <v/>
      </c>
      <c r="K9" s="33" t="str">
        <f t="array" ref="K9">IFERROR(INDEX('Claim Data'!$D$4:$D$282,MATCH($B9&amp;K$6,'Claim Data'!$C$4:$C$282&amp;'Claim Data'!$B$4:$B$282,0)),"")</f>
        <v/>
      </c>
      <c r="L9" s="33" t="str">
        <f t="array" ref="L9">IFERROR(INDEX('Claim Data'!$D$4:$D$282,MATCH($B9&amp;L$6,'Claim Data'!$C$4:$C$282&amp;'Claim Data'!$B$4:$B$282,0)),"")</f>
        <v/>
      </c>
      <c r="M9" s="33" t="str">
        <f t="array" ref="M9">IFERROR(INDEX('Claim Data'!$D$4:$D$282,MATCH($B9&amp;M$6,'Claim Data'!$C$4:$C$282&amp;'Claim Data'!$B$4:$B$282,0)),"")</f>
        <v/>
      </c>
      <c r="N9" s="33" t="str">
        <f t="array" ref="N9">IFERROR(INDEX('Claim Data'!$D$4:$D$282,MATCH($B9&amp;N$6,'Claim Data'!$C$4:$C$282&amp;'Claim Data'!$B$4:$B$282,0)),"")</f>
        <v/>
      </c>
      <c r="O9" s="33" t="str">
        <f t="array" ref="O9">IFERROR(INDEX('Claim Data'!$D$4:$D$282,MATCH($B9&amp;O$6,'Claim Data'!$C$4:$C$282&amp;'Claim Data'!$B$4:$B$282,0)),"")</f>
        <v/>
      </c>
      <c r="P9" s="33" t="str">
        <f t="array" ref="P9">IFERROR(INDEX('Claim Data'!$D$4:$D$282,MATCH($B9&amp;P$6,'Claim Data'!$C$4:$C$282&amp;'Claim Data'!$B$4:$B$282,0)),"")</f>
        <v/>
      </c>
      <c r="Q9" s="33" t="str">
        <f t="array" ref="Q9">IFERROR(INDEX('Claim Data'!$D$4:$D$282,MATCH($B9&amp;Q$6,'Claim Data'!$C$4:$C$282&amp;'Claim Data'!$B$4:$B$282,0)),"")</f>
        <v/>
      </c>
      <c r="R9" s="33" t="str">
        <f t="array" ref="R9">IFERROR(INDEX('Claim Data'!$D$4:$D$282,MATCH($B9&amp;R$6,'Claim Data'!$C$4:$C$282&amp;'Claim Data'!$B$4:$B$282,0)),"")</f>
        <v/>
      </c>
      <c r="S9" s="33" t="str">
        <f t="array" ref="S9">IFERROR(INDEX('Claim Data'!$D$4:$D$282,MATCH($B9&amp;S$6,'Claim Data'!$C$4:$C$282&amp;'Claim Data'!$B$4:$B$282,0)),"")</f>
        <v/>
      </c>
      <c r="T9" s="33" t="str">
        <f t="array" ref="T9">IFERROR(INDEX('Claim Data'!$D$4:$D$282,MATCH($B9&amp;T$6,'Claim Data'!$C$4:$C$282&amp;'Claim Data'!$B$4:$B$282,0)),"")</f>
        <v/>
      </c>
      <c r="U9" s="33" t="str">
        <f t="array" ref="U9">IFERROR(INDEX('Claim Data'!$D$4:$D$282,MATCH($B9&amp;U$6,'Claim Data'!$C$4:$C$282&amp;'Claim Data'!$B$4:$B$282,0)),"")</f>
        <v/>
      </c>
      <c r="V9" s="33" t="str">
        <f t="array" ref="V9">IFERROR(INDEX('Claim Data'!$D$4:$D$282,MATCH($B9&amp;V$6,'Claim Data'!$C$4:$C$282&amp;'Claim Data'!$B$4:$B$282,0)),"")</f>
        <v/>
      </c>
      <c r="W9" s="33" t="str">
        <f t="array" ref="W9">IFERROR(INDEX('Claim Data'!$D$4:$D$282,MATCH($B9&amp;W$6,'Claim Data'!$C$4:$C$282&amp;'Claim Data'!$B$4:$B$282,0)),"")</f>
        <v/>
      </c>
      <c r="X9" s="33" t="str">
        <f t="array" ref="X9">IFERROR(INDEX('Claim Data'!$D$4:$D$282,MATCH($B9&amp;X$6,'Claim Data'!$C$4:$C$282&amp;'Claim Data'!$B$4:$B$282,0)),"")</f>
        <v/>
      </c>
      <c r="Y9" s="33" t="str">
        <f t="array" ref="Y9">IFERROR(INDEX('Claim Data'!$D$4:$D$282,MATCH($B9&amp;Y$6,'Claim Data'!$C$4:$C$282&amp;'Claim Data'!$B$4:$B$282,0)),"")</f>
        <v/>
      </c>
      <c r="Z9" s="33" t="str">
        <f t="array" ref="Z9">IFERROR(INDEX('Claim Data'!$D$4:$D$282,MATCH($B9&amp;Z$6,'Claim Data'!$C$4:$C$282&amp;'Claim Data'!$B$4:$B$282,0)),"")</f>
        <v/>
      </c>
      <c r="AA9" s="33" t="str">
        <f t="array" ref="AA9">IFERROR(INDEX('Claim Data'!$D$4:$D$282,MATCH($B9&amp;AA$6,'Claim Data'!$C$4:$C$282&amp;'Claim Data'!$B$4:$B$282,0)),"")</f>
        <v/>
      </c>
    </row>
    <row r="10" spans="2:27" x14ac:dyDescent="0.25">
      <c r="B10" s="23">
        <f t="shared" si="2"/>
        <v>40634</v>
      </c>
      <c r="C10" s="33">
        <f t="shared" si="1"/>
        <v>11370000</v>
      </c>
      <c r="D10" s="33">
        <f t="array" ref="D10">IFERROR(INDEX('Claim Data'!$D$4:$D$282,MATCH($B10&amp;D$6,'Claim Data'!$C$4:$C$282&amp;'Claim Data'!$B$4:$B$282,0)),"")</f>
        <v>1152000</v>
      </c>
      <c r="E10" s="33">
        <f t="array" ref="E10">IFERROR(INDEX('Claim Data'!$D$4:$D$282,MATCH($B10&amp;E$6,'Claim Data'!$C$4:$C$282&amp;'Claim Data'!$B$4:$B$282,0)),"")</f>
        <v>1671000</v>
      </c>
      <c r="F10" s="33">
        <f t="array" ref="F10">IFERROR(INDEX('Claim Data'!$D$4:$D$282,MATCH($B10&amp;F$6,'Claim Data'!$C$4:$C$282&amp;'Claim Data'!$B$4:$B$282,0)),"")</f>
        <v>6462000</v>
      </c>
      <c r="G10" s="33">
        <f t="array" ref="G10">IFERROR(INDEX('Claim Data'!$D$4:$D$282,MATCH($B10&amp;G$6,'Claim Data'!$C$4:$C$282&amp;'Claim Data'!$B$4:$B$282,0)),"")</f>
        <v>2085000</v>
      </c>
      <c r="H10" s="33" t="str">
        <f t="array" ref="H10">IFERROR(INDEX('Claim Data'!$D$4:$D$282,MATCH($B10&amp;H$6,'Claim Data'!$C$4:$C$282&amp;'Claim Data'!$B$4:$B$282,0)),"")</f>
        <v/>
      </c>
      <c r="I10" s="33" t="str">
        <f t="array" ref="I10">IFERROR(INDEX('Claim Data'!$D$4:$D$282,MATCH($B10&amp;I$6,'Claim Data'!$C$4:$C$282&amp;'Claim Data'!$B$4:$B$282,0)),"")</f>
        <v/>
      </c>
      <c r="J10" s="33" t="str">
        <f t="array" ref="J10">IFERROR(INDEX('Claim Data'!$D$4:$D$282,MATCH($B10&amp;J$6,'Claim Data'!$C$4:$C$282&amp;'Claim Data'!$B$4:$B$282,0)),"")</f>
        <v/>
      </c>
      <c r="K10" s="33" t="str">
        <f t="array" ref="K10">IFERROR(INDEX('Claim Data'!$D$4:$D$282,MATCH($B10&amp;K$6,'Claim Data'!$C$4:$C$282&amp;'Claim Data'!$B$4:$B$282,0)),"")</f>
        <v/>
      </c>
      <c r="L10" s="33" t="str">
        <f t="array" ref="L10">IFERROR(INDEX('Claim Data'!$D$4:$D$282,MATCH($B10&amp;L$6,'Claim Data'!$C$4:$C$282&amp;'Claim Data'!$B$4:$B$282,0)),"")</f>
        <v/>
      </c>
      <c r="M10" s="33" t="str">
        <f t="array" ref="M10">IFERROR(INDEX('Claim Data'!$D$4:$D$282,MATCH($B10&amp;M$6,'Claim Data'!$C$4:$C$282&amp;'Claim Data'!$B$4:$B$282,0)),"")</f>
        <v/>
      </c>
      <c r="N10" s="33" t="str">
        <f t="array" ref="N10">IFERROR(INDEX('Claim Data'!$D$4:$D$282,MATCH($B10&amp;N$6,'Claim Data'!$C$4:$C$282&amp;'Claim Data'!$B$4:$B$282,0)),"")</f>
        <v/>
      </c>
      <c r="O10" s="33" t="str">
        <f t="array" ref="O10">IFERROR(INDEX('Claim Data'!$D$4:$D$282,MATCH($B10&amp;O$6,'Claim Data'!$C$4:$C$282&amp;'Claim Data'!$B$4:$B$282,0)),"")</f>
        <v/>
      </c>
      <c r="P10" s="33" t="str">
        <f t="array" ref="P10">IFERROR(INDEX('Claim Data'!$D$4:$D$282,MATCH($B10&amp;P$6,'Claim Data'!$C$4:$C$282&amp;'Claim Data'!$B$4:$B$282,0)),"")</f>
        <v/>
      </c>
      <c r="Q10" s="33" t="str">
        <f t="array" ref="Q10">IFERROR(INDEX('Claim Data'!$D$4:$D$282,MATCH($B10&amp;Q$6,'Claim Data'!$C$4:$C$282&amp;'Claim Data'!$B$4:$B$282,0)),"")</f>
        <v/>
      </c>
      <c r="R10" s="33" t="str">
        <f t="array" ref="R10">IFERROR(INDEX('Claim Data'!$D$4:$D$282,MATCH($B10&amp;R$6,'Claim Data'!$C$4:$C$282&amp;'Claim Data'!$B$4:$B$282,0)),"")</f>
        <v/>
      </c>
      <c r="S10" s="33" t="str">
        <f t="array" ref="S10">IFERROR(INDEX('Claim Data'!$D$4:$D$282,MATCH($B10&amp;S$6,'Claim Data'!$C$4:$C$282&amp;'Claim Data'!$B$4:$B$282,0)),"")</f>
        <v/>
      </c>
      <c r="T10" s="33" t="str">
        <f t="array" ref="T10">IFERROR(INDEX('Claim Data'!$D$4:$D$282,MATCH($B10&amp;T$6,'Claim Data'!$C$4:$C$282&amp;'Claim Data'!$B$4:$B$282,0)),"")</f>
        <v/>
      </c>
      <c r="U10" s="33" t="str">
        <f t="array" ref="U10">IFERROR(INDEX('Claim Data'!$D$4:$D$282,MATCH($B10&amp;U$6,'Claim Data'!$C$4:$C$282&amp;'Claim Data'!$B$4:$B$282,0)),"")</f>
        <v/>
      </c>
      <c r="V10" s="33" t="str">
        <f t="array" ref="V10">IFERROR(INDEX('Claim Data'!$D$4:$D$282,MATCH($B10&amp;V$6,'Claim Data'!$C$4:$C$282&amp;'Claim Data'!$B$4:$B$282,0)),"")</f>
        <v/>
      </c>
      <c r="W10" s="33" t="str">
        <f t="array" ref="W10">IFERROR(INDEX('Claim Data'!$D$4:$D$282,MATCH($B10&amp;W$6,'Claim Data'!$C$4:$C$282&amp;'Claim Data'!$B$4:$B$282,0)),"")</f>
        <v/>
      </c>
      <c r="X10" s="33" t="str">
        <f t="array" ref="X10">IFERROR(INDEX('Claim Data'!$D$4:$D$282,MATCH($B10&amp;X$6,'Claim Data'!$C$4:$C$282&amp;'Claim Data'!$B$4:$B$282,0)),"")</f>
        <v/>
      </c>
      <c r="Y10" s="33" t="str">
        <f t="array" ref="Y10">IFERROR(INDEX('Claim Data'!$D$4:$D$282,MATCH($B10&amp;Y$6,'Claim Data'!$C$4:$C$282&amp;'Claim Data'!$B$4:$B$282,0)),"")</f>
        <v/>
      </c>
      <c r="Z10" s="33" t="str">
        <f t="array" ref="Z10">IFERROR(INDEX('Claim Data'!$D$4:$D$282,MATCH($B10&amp;Z$6,'Claim Data'!$C$4:$C$282&amp;'Claim Data'!$B$4:$B$282,0)),"")</f>
        <v/>
      </c>
      <c r="AA10" s="33" t="str">
        <f t="array" ref="AA10">IFERROR(INDEX('Claim Data'!$D$4:$D$282,MATCH($B10&amp;AA$6,'Claim Data'!$C$4:$C$282&amp;'Claim Data'!$B$4:$B$282,0)),"")</f>
        <v/>
      </c>
    </row>
    <row r="11" spans="2:27" x14ac:dyDescent="0.25">
      <c r="B11" s="23">
        <f t="shared" si="2"/>
        <v>40664</v>
      </c>
      <c r="C11" s="33">
        <f t="shared" si="1"/>
        <v>9134000</v>
      </c>
      <c r="D11" s="33">
        <f t="array" ref="D11">IFERROR(INDEX('Claim Data'!$D$4:$D$282,MATCH($B11&amp;D$6,'Claim Data'!$C$4:$C$282&amp;'Claim Data'!$B$4:$B$282,0)),"")</f>
        <v>221000</v>
      </c>
      <c r="E11" s="33">
        <f t="array" ref="E11">IFERROR(INDEX('Claim Data'!$D$4:$D$282,MATCH($B11&amp;E$6,'Claim Data'!$C$4:$C$282&amp;'Claim Data'!$B$4:$B$282,0)),"")</f>
        <v>571000</v>
      </c>
      <c r="F11" s="33">
        <f t="array" ref="F11">IFERROR(INDEX('Claim Data'!$D$4:$D$282,MATCH($B11&amp;F$6,'Claim Data'!$C$4:$C$282&amp;'Claim Data'!$B$4:$B$282,0)),"")</f>
        <v>1417000</v>
      </c>
      <c r="G11" s="33">
        <f t="array" ref="G11">IFERROR(INDEX('Claim Data'!$D$4:$D$282,MATCH($B11&amp;G$6,'Claim Data'!$C$4:$C$282&amp;'Claim Data'!$B$4:$B$282,0)),"")</f>
        <v>5009000</v>
      </c>
      <c r="H11" s="33">
        <f t="array" ref="H11">IFERROR(INDEX('Claim Data'!$D$4:$D$282,MATCH($B11&amp;H$6,'Claim Data'!$C$4:$C$282&amp;'Claim Data'!$B$4:$B$282,0)),"")</f>
        <v>1916000</v>
      </c>
      <c r="I11" s="33" t="str">
        <f t="array" ref="I11">IFERROR(INDEX('Claim Data'!$D$4:$D$282,MATCH($B11&amp;I$6,'Claim Data'!$C$4:$C$282&amp;'Claim Data'!$B$4:$B$282,0)),"")</f>
        <v/>
      </c>
      <c r="J11" s="33" t="str">
        <f t="array" ref="J11">IFERROR(INDEX('Claim Data'!$D$4:$D$282,MATCH($B11&amp;J$6,'Claim Data'!$C$4:$C$282&amp;'Claim Data'!$B$4:$B$282,0)),"")</f>
        <v/>
      </c>
      <c r="K11" s="33" t="str">
        <f t="array" ref="K11">IFERROR(INDEX('Claim Data'!$D$4:$D$282,MATCH($B11&amp;K$6,'Claim Data'!$C$4:$C$282&amp;'Claim Data'!$B$4:$B$282,0)),"")</f>
        <v/>
      </c>
      <c r="L11" s="33" t="str">
        <f t="array" ref="L11">IFERROR(INDEX('Claim Data'!$D$4:$D$282,MATCH($B11&amp;L$6,'Claim Data'!$C$4:$C$282&amp;'Claim Data'!$B$4:$B$282,0)),"")</f>
        <v/>
      </c>
      <c r="M11" s="33" t="str">
        <f t="array" ref="M11">IFERROR(INDEX('Claim Data'!$D$4:$D$282,MATCH($B11&amp;M$6,'Claim Data'!$C$4:$C$282&amp;'Claim Data'!$B$4:$B$282,0)),"")</f>
        <v/>
      </c>
      <c r="N11" s="33" t="str">
        <f t="array" ref="N11">IFERROR(INDEX('Claim Data'!$D$4:$D$282,MATCH($B11&amp;N$6,'Claim Data'!$C$4:$C$282&amp;'Claim Data'!$B$4:$B$282,0)),"")</f>
        <v/>
      </c>
      <c r="O11" s="33" t="str">
        <f t="array" ref="O11">IFERROR(INDEX('Claim Data'!$D$4:$D$282,MATCH($B11&amp;O$6,'Claim Data'!$C$4:$C$282&amp;'Claim Data'!$B$4:$B$282,0)),"")</f>
        <v/>
      </c>
      <c r="P11" s="33" t="str">
        <f t="array" ref="P11">IFERROR(INDEX('Claim Data'!$D$4:$D$282,MATCH($B11&amp;P$6,'Claim Data'!$C$4:$C$282&amp;'Claim Data'!$B$4:$B$282,0)),"")</f>
        <v/>
      </c>
      <c r="Q11" s="33" t="str">
        <f t="array" ref="Q11">IFERROR(INDEX('Claim Data'!$D$4:$D$282,MATCH($B11&amp;Q$6,'Claim Data'!$C$4:$C$282&amp;'Claim Data'!$B$4:$B$282,0)),"")</f>
        <v/>
      </c>
      <c r="R11" s="33" t="str">
        <f t="array" ref="R11">IFERROR(INDEX('Claim Data'!$D$4:$D$282,MATCH($B11&amp;R$6,'Claim Data'!$C$4:$C$282&amp;'Claim Data'!$B$4:$B$282,0)),"")</f>
        <v/>
      </c>
      <c r="S11" s="33" t="str">
        <f t="array" ref="S11">IFERROR(INDEX('Claim Data'!$D$4:$D$282,MATCH($B11&amp;S$6,'Claim Data'!$C$4:$C$282&amp;'Claim Data'!$B$4:$B$282,0)),"")</f>
        <v/>
      </c>
      <c r="T11" s="33" t="str">
        <f t="array" ref="T11">IFERROR(INDEX('Claim Data'!$D$4:$D$282,MATCH($B11&amp;T$6,'Claim Data'!$C$4:$C$282&amp;'Claim Data'!$B$4:$B$282,0)),"")</f>
        <v/>
      </c>
      <c r="U11" s="33" t="str">
        <f t="array" ref="U11">IFERROR(INDEX('Claim Data'!$D$4:$D$282,MATCH($B11&amp;U$6,'Claim Data'!$C$4:$C$282&amp;'Claim Data'!$B$4:$B$282,0)),"")</f>
        <v/>
      </c>
      <c r="V11" s="33" t="str">
        <f t="array" ref="V11">IFERROR(INDEX('Claim Data'!$D$4:$D$282,MATCH($B11&amp;V$6,'Claim Data'!$C$4:$C$282&amp;'Claim Data'!$B$4:$B$282,0)),"")</f>
        <v/>
      </c>
      <c r="W11" s="33" t="str">
        <f t="array" ref="W11">IFERROR(INDEX('Claim Data'!$D$4:$D$282,MATCH($B11&amp;W$6,'Claim Data'!$C$4:$C$282&amp;'Claim Data'!$B$4:$B$282,0)),"")</f>
        <v/>
      </c>
      <c r="X11" s="33" t="str">
        <f t="array" ref="X11">IFERROR(INDEX('Claim Data'!$D$4:$D$282,MATCH($B11&amp;X$6,'Claim Data'!$C$4:$C$282&amp;'Claim Data'!$B$4:$B$282,0)),"")</f>
        <v/>
      </c>
      <c r="Y11" s="33" t="str">
        <f t="array" ref="Y11">IFERROR(INDEX('Claim Data'!$D$4:$D$282,MATCH($B11&amp;Y$6,'Claim Data'!$C$4:$C$282&amp;'Claim Data'!$B$4:$B$282,0)),"")</f>
        <v/>
      </c>
      <c r="Z11" s="33" t="str">
        <f t="array" ref="Z11">IFERROR(INDEX('Claim Data'!$D$4:$D$282,MATCH($B11&amp;Z$6,'Claim Data'!$C$4:$C$282&amp;'Claim Data'!$B$4:$B$282,0)),"")</f>
        <v/>
      </c>
      <c r="AA11" s="33" t="str">
        <f t="array" ref="AA11">IFERROR(INDEX('Claim Data'!$D$4:$D$282,MATCH($B11&amp;AA$6,'Claim Data'!$C$4:$C$282&amp;'Claim Data'!$B$4:$B$282,0)),"")</f>
        <v/>
      </c>
    </row>
    <row r="12" spans="2:27" x14ac:dyDescent="0.25">
      <c r="B12" s="23">
        <f t="shared" si="2"/>
        <v>40695</v>
      </c>
      <c r="C12" s="33">
        <f t="shared" si="1"/>
        <v>8995000</v>
      </c>
      <c r="D12" s="33">
        <f t="array" ref="D12">IFERROR(INDEX('Claim Data'!$D$4:$D$282,MATCH($B12&amp;D$6,'Claim Data'!$C$4:$C$282&amp;'Claim Data'!$B$4:$B$282,0)),"")</f>
        <v>173000</v>
      </c>
      <c r="E12" s="33">
        <f t="array" ref="E12">IFERROR(INDEX('Claim Data'!$D$4:$D$282,MATCH($B12&amp;E$6,'Claim Data'!$C$4:$C$282&amp;'Claim Data'!$B$4:$B$282,0)),"")</f>
        <v>93000</v>
      </c>
      <c r="F12" s="33">
        <f t="array" ref="F12">IFERROR(INDEX('Claim Data'!$D$4:$D$282,MATCH($B12&amp;F$6,'Claim Data'!$C$4:$C$282&amp;'Claim Data'!$B$4:$B$282,0)),"")</f>
        <v>861000</v>
      </c>
      <c r="G12" s="33">
        <f t="array" ref="G12">IFERROR(INDEX('Claim Data'!$D$4:$D$282,MATCH($B12&amp;G$6,'Claim Data'!$C$4:$C$282&amp;'Claim Data'!$B$4:$B$282,0)),"")</f>
        <v>1164000</v>
      </c>
      <c r="H12" s="33">
        <f t="array" ref="H12">IFERROR(INDEX('Claim Data'!$D$4:$D$282,MATCH($B12&amp;H$6,'Claim Data'!$C$4:$C$282&amp;'Claim Data'!$B$4:$B$282,0)),"")</f>
        <v>4930000</v>
      </c>
      <c r="I12" s="33">
        <f t="array" ref="I12">IFERROR(INDEX('Claim Data'!$D$4:$D$282,MATCH($B12&amp;I$6,'Claim Data'!$C$4:$C$282&amp;'Claim Data'!$B$4:$B$282,0)),"")</f>
        <v>1774000</v>
      </c>
      <c r="J12" s="33" t="str">
        <f t="array" ref="J12">IFERROR(INDEX('Claim Data'!$D$4:$D$282,MATCH($B12&amp;J$6,'Claim Data'!$C$4:$C$282&amp;'Claim Data'!$B$4:$B$282,0)),"")</f>
        <v/>
      </c>
      <c r="K12" s="33" t="str">
        <f t="array" ref="K12">IFERROR(INDEX('Claim Data'!$D$4:$D$282,MATCH($B12&amp;K$6,'Claim Data'!$C$4:$C$282&amp;'Claim Data'!$B$4:$B$282,0)),"")</f>
        <v/>
      </c>
      <c r="L12" s="33" t="str">
        <f t="array" ref="L12">IFERROR(INDEX('Claim Data'!$D$4:$D$282,MATCH($B12&amp;L$6,'Claim Data'!$C$4:$C$282&amp;'Claim Data'!$B$4:$B$282,0)),"")</f>
        <v/>
      </c>
      <c r="M12" s="33" t="str">
        <f t="array" ref="M12">IFERROR(INDEX('Claim Data'!$D$4:$D$282,MATCH($B12&amp;M$6,'Claim Data'!$C$4:$C$282&amp;'Claim Data'!$B$4:$B$282,0)),"")</f>
        <v/>
      </c>
      <c r="N12" s="33" t="str">
        <f t="array" ref="N12">IFERROR(INDEX('Claim Data'!$D$4:$D$282,MATCH($B12&amp;N$6,'Claim Data'!$C$4:$C$282&amp;'Claim Data'!$B$4:$B$282,0)),"")</f>
        <v/>
      </c>
      <c r="O12" s="33" t="str">
        <f t="array" ref="O12">IFERROR(INDEX('Claim Data'!$D$4:$D$282,MATCH($B12&amp;O$6,'Claim Data'!$C$4:$C$282&amp;'Claim Data'!$B$4:$B$282,0)),"")</f>
        <v/>
      </c>
      <c r="P12" s="33" t="str">
        <f t="array" ref="P12">IFERROR(INDEX('Claim Data'!$D$4:$D$282,MATCH($B12&amp;P$6,'Claim Data'!$C$4:$C$282&amp;'Claim Data'!$B$4:$B$282,0)),"")</f>
        <v/>
      </c>
      <c r="Q12" s="33" t="str">
        <f t="array" ref="Q12">IFERROR(INDEX('Claim Data'!$D$4:$D$282,MATCH($B12&amp;Q$6,'Claim Data'!$C$4:$C$282&amp;'Claim Data'!$B$4:$B$282,0)),"")</f>
        <v/>
      </c>
      <c r="R12" s="33" t="str">
        <f t="array" ref="R12">IFERROR(INDEX('Claim Data'!$D$4:$D$282,MATCH($B12&amp;R$6,'Claim Data'!$C$4:$C$282&amp;'Claim Data'!$B$4:$B$282,0)),"")</f>
        <v/>
      </c>
      <c r="S12" s="33" t="str">
        <f t="array" ref="S12">IFERROR(INDEX('Claim Data'!$D$4:$D$282,MATCH($B12&amp;S$6,'Claim Data'!$C$4:$C$282&amp;'Claim Data'!$B$4:$B$282,0)),"")</f>
        <v/>
      </c>
      <c r="T12" s="33" t="str">
        <f t="array" ref="T12">IFERROR(INDEX('Claim Data'!$D$4:$D$282,MATCH($B12&amp;T$6,'Claim Data'!$C$4:$C$282&amp;'Claim Data'!$B$4:$B$282,0)),"")</f>
        <v/>
      </c>
      <c r="U12" s="33" t="str">
        <f t="array" ref="U12">IFERROR(INDEX('Claim Data'!$D$4:$D$282,MATCH($B12&amp;U$6,'Claim Data'!$C$4:$C$282&amp;'Claim Data'!$B$4:$B$282,0)),"")</f>
        <v/>
      </c>
      <c r="V12" s="33" t="str">
        <f t="array" ref="V12">IFERROR(INDEX('Claim Data'!$D$4:$D$282,MATCH($B12&amp;V$6,'Claim Data'!$C$4:$C$282&amp;'Claim Data'!$B$4:$B$282,0)),"")</f>
        <v/>
      </c>
      <c r="W12" s="33" t="str">
        <f t="array" ref="W12">IFERROR(INDEX('Claim Data'!$D$4:$D$282,MATCH($B12&amp;W$6,'Claim Data'!$C$4:$C$282&amp;'Claim Data'!$B$4:$B$282,0)),"")</f>
        <v/>
      </c>
      <c r="X12" s="33" t="str">
        <f t="array" ref="X12">IFERROR(INDEX('Claim Data'!$D$4:$D$282,MATCH($B12&amp;X$6,'Claim Data'!$C$4:$C$282&amp;'Claim Data'!$B$4:$B$282,0)),"")</f>
        <v/>
      </c>
      <c r="Y12" s="33" t="str">
        <f t="array" ref="Y12">IFERROR(INDEX('Claim Data'!$D$4:$D$282,MATCH($B12&amp;Y$6,'Claim Data'!$C$4:$C$282&amp;'Claim Data'!$B$4:$B$282,0)),"")</f>
        <v/>
      </c>
      <c r="Z12" s="33" t="str">
        <f t="array" ref="Z12">IFERROR(INDEX('Claim Data'!$D$4:$D$282,MATCH($B12&amp;Z$6,'Claim Data'!$C$4:$C$282&amp;'Claim Data'!$B$4:$B$282,0)),"")</f>
        <v/>
      </c>
      <c r="AA12" s="33" t="str">
        <f t="array" ref="AA12">IFERROR(INDEX('Claim Data'!$D$4:$D$282,MATCH($B12&amp;AA$6,'Claim Data'!$C$4:$C$282&amp;'Claim Data'!$B$4:$B$282,0)),"")</f>
        <v/>
      </c>
    </row>
    <row r="13" spans="2:27" x14ac:dyDescent="0.25">
      <c r="B13" s="23">
        <f t="shared" si="2"/>
        <v>40725</v>
      </c>
      <c r="C13" s="33">
        <f t="shared" si="1"/>
        <v>9945000</v>
      </c>
      <c r="D13" s="33">
        <f t="array" ref="D13">IFERROR(INDEX('Claim Data'!$D$4:$D$282,MATCH($B13&amp;D$6,'Claim Data'!$C$4:$C$282&amp;'Claim Data'!$B$4:$B$282,0)),"")</f>
        <v>60000</v>
      </c>
      <c r="E13" s="33">
        <f t="array" ref="E13">IFERROR(INDEX('Claim Data'!$D$4:$D$282,MATCH($B13&amp;E$6,'Claim Data'!$C$4:$C$282&amp;'Claim Data'!$B$4:$B$282,0)),"")</f>
        <v>129000</v>
      </c>
      <c r="F13" s="33">
        <f t="array" ref="F13">IFERROR(INDEX('Claim Data'!$D$4:$D$282,MATCH($B13&amp;F$6,'Claim Data'!$C$4:$C$282&amp;'Claim Data'!$B$4:$B$282,0)),"")</f>
        <v>243000</v>
      </c>
      <c r="G13" s="33">
        <f t="array" ref="G13">IFERROR(INDEX('Claim Data'!$D$4:$D$282,MATCH($B13&amp;G$6,'Claim Data'!$C$4:$C$282&amp;'Claim Data'!$B$4:$B$282,0)),"")</f>
        <v>388000</v>
      </c>
      <c r="H13" s="33">
        <f t="array" ref="H13">IFERROR(INDEX('Claim Data'!$D$4:$D$282,MATCH($B13&amp;H$6,'Claim Data'!$C$4:$C$282&amp;'Claim Data'!$B$4:$B$282,0)),"")</f>
        <v>1473000</v>
      </c>
      <c r="I13" s="33">
        <f t="array" ref="I13">IFERROR(INDEX('Claim Data'!$D$4:$D$282,MATCH($B13&amp;I$6,'Claim Data'!$C$4:$C$282&amp;'Claim Data'!$B$4:$B$282,0)),"")</f>
        <v>5681000</v>
      </c>
      <c r="J13" s="33">
        <f t="array" ref="J13">IFERROR(INDEX('Claim Data'!$D$4:$D$282,MATCH($B13&amp;J$6,'Claim Data'!$C$4:$C$282&amp;'Claim Data'!$B$4:$B$282,0)),"")</f>
        <v>1971000</v>
      </c>
      <c r="K13" s="33" t="str">
        <f t="array" ref="K13">IFERROR(INDEX('Claim Data'!$D$4:$D$282,MATCH($B13&amp;K$6,'Claim Data'!$C$4:$C$282&amp;'Claim Data'!$B$4:$B$282,0)),"")</f>
        <v/>
      </c>
      <c r="L13" s="33" t="str">
        <f t="array" ref="L13">IFERROR(INDEX('Claim Data'!$D$4:$D$282,MATCH($B13&amp;L$6,'Claim Data'!$C$4:$C$282&amp;'Claim Data'!$B$4:$B$282,0)),"")</f>
        <v/>
      </c>
      <c r="M13" s="33" t="str">
        <f t="array" ref="M13">IFERROR(INDEX('Claim Data'!$D$4:$D$282,MATCH($B13&amp;M$6,'Claim Data'!$C$4:$C$282&amp;'Claim Data'!$B$4:$B$282,0)),"")</f>
        <v/>
      </c>
      <c r="N13" s="33" t="str">
        <f t="array" ref="N13">IFERROR(INDEX('Claim Data'!$D$4:$D$282,MATCH($B13&amp;N$6,'Claim Data'!$C$4:$C$282&amp;'Claim Data'!$B$4:$B$282,0)),"")</f>
        <v/>
      </c>
      <c r="O13" s="33" t="str">
        <f t="array" ref="O13">IFERROR(INDEX('Claim Data'!$D$4:$D$282,MATCH($B13&amp;O$6,'Claim Data'!$C$4:$C$282&amp;'Claim Data'!$B$4:$B$282,0)),"")</f>
        <v/>
      </c>
      <c r="P13" s="33" t="str">
        <f t="array" ref="P13">IFERROR(INDEX('Claim Data'!$D$4:$D$282,MATCH($B13&amp;P$6,'Claim Data'!$C$4:$C$282&amp;'Claim Data'!$B$4:$B$282,0)),"")</f>
        <v/>
      </c>
      <c r="Q13" s="33" t="str">
        <f t="array" ref="Q13">IFERROR(INDEX('Claim Data'!$D$4:$D$282,MATCH($B13&amp;Q$6,'Claim Data'!$C$4:$C$282&amp;'Claim Data'!$B$4:$B$282,0)),"")</f>
        <v/>
      </c>
      <c r="R13" s="33" t="str">
        <f t="array" ref="R13">IFERROR(INDEX('Claim Data'!$D$4:$D$282,MATCH($B13&amp;R$6,'Claim Data'!$C$4:$C$282&amp;'Claim Data'!$B$4:$B$282,0)),"")</f>
        <v/>
      </c>
      <c r="S13" s="33" t="str">
        <f t="array" ref="S13">IFERROR(INDEX('Claim Data'!$D$4:$D$282,MATCH($B13&amp;S$6,'Claim Data'!$C$4:$C$282&amp;'Claim Data'!$B$4:$B$282,0)),"")</f>
        <v/>
      </c>
      <c r="T13" s="33" t="str">
        <f t="array" ref="T13">IFERROR(INDEX('Claim Data'!$D$4:$D$282,MATCH($B13&amp;T$6,'Claim Data'!$C$4:$C$282&amp;'Claim Data'!$B$4:$B$282,0)),"")</f>
        <v/>
      </c>
      <c r="U13" s="33" t="str">
        <f t="array" ref="U13">IFERROR(INDEX('Claim Data'!$D$4:$D$282,MATCH($B13&amp;U$6,'Claim Data'!$C$4:$C$282&amp;'Claim Data'!$B$4:$B$282,0)),"")</f>
        <v/>
      </c>
      <c r="V13" s="33" t="str">
        <f t="array" ref="V13">IFERROR(INDEX('Claim Data'!$D$4:$D$282,MATCH($B13&amp;V$6,'Claim Data'!$C$4:$C$282&amp;'Claim Data'!$B$4:$B$282,0)),"")</f>
        <v/>
      </c>
      <c r="W13" s="33" t="str">
        <f t="array" ref="W13">IFERROR(INDEX('Claim Data'!$D$4:$D$282,MATCH($B13&amp;W$6,'Claim Data'!$C$4:$C$282&amp;'Claim Data'!$B$4:$B$282,0)),"")</f>
        <v/>
      </c>
      <c r="X13" s="33" t="str">
        <f t="array" ref="X13">IFERROR(INDEX('Claim Data'!$D$4:$D$282,MATCH($B13&amp;X$6,'Claim Data'!$C$4:$C$282&amp;'Claim Data'!$B$4:$B$282,0)),"")</f>
        <v/>
      </c>
      <c r="Y13" s="33" t="str">
        <f t="array" ref="Y13">IFERROR(INDEX('Claim Data'!$D$4:$D$282,MATCH($B13&amp;Y$6,'Claim Data'!$C$4:$C$282&amp;'Claim Data'!$B$4:$B$282,0)),"")</f>
        <v/>
      </c>
      <c r="Z13" s="33" t="str">
        <f t="array" ref="Z13">IFERROR(INDEX('Claim Data'!$D$4:$D$282,MATCH($B13&amp;Z$6,'Claim Data'!$C$4:$C$282&amp;'Claim Data'!$B$4:$B$282,0)),"")</f>
        <v/>
      </c>
      <c r="AA13" s="33" t="str">
        <f t="array" ref="AA13">IFERROR(INDEX('Claim Data'!$D$4:$D$282,MATCH($B13&amp;AA$6,'Claim Data'!$C$4:$C$282&amp;'Claim Data'!$B$4:$B$282,0)),"")</f>
        <v/>
      </c>
    </row>
    <row r="14" spans="2:27" x14ac:dyDescent="0.25">
      <c r="B14" s="23">
        <f t="shared" si="2"/>
        <v>40756</v>
      </c>
      <c r="C14" s="33">
        <f t="shared" si="1"/>
        <v>8831000</v>
      </c>
      <c r="D14" s="33">
        <f t="array" ref="D14">IFERROR(INDEX('Claim Data'!$D$4:$D$282,MATCH($B14&amp;D$6,'Claim Data'!$C$4:$C$282&amp;'Claim Data'!$B$4:$B$282,0)),"")</f>
        <v>16000</v>
      </c>
      <c r="E14" s="33">
        <f t="array" ref="E14">IFERROR(INDEX('Claim Data'!$D$4:$D$282,MATCH($B14&amp;E$6,'Claim Data'!$C$4:$C$282&amp;'Claim Data'!$B$4:$B$282,0)),"")</f>
        <v>102000</v>
      </c>
      <c r="F14" s="33">
        <f t="array" ref="F14">IFERROR(INDEX('Claim Data'!$D$4:$D$282,MATCH($B14&amp;F$6,'Claim Data'!$C$4:$C$282&amp;'Claim Data'!$B$4:$B$282,0)),"")</f>
        <v>93000</v>
      </c>
      <c r="G14" s="33">
        <f t="array" ref="G14">IFERROR(INDEX('Claim Data'!$D$4:$D$282,MATCH($B14&amp;G$6,'Claim Data'!$C$4:$C$282&amp;'Claim Data'!$B$4:$B$282,0)),"")</f>
        <v>283000</v>
      </c>
      <c r="H14" s="33">
        <f t="array" ref="H14">IFERROR(INDEX('Claim Data'!$D$4:$D$282,MATCH($B14&amp;H$6,'Claim Data'!$C$4:$C$282&amp;'Claim Data'!$B$4:$B$282,0)),"")</f>
        <v>442000</v>
      </c>
      <c r="I14" s="33">
        <f t="array" ref="I14">IFERROR(INDEX('Claim Data'!$D$4:$D$282,MATCH($B14&amp;I$6,'Claim Data'!$C$4:$C$282&amp;'Claim Data'!$B$4:$B$282,0)),"")</f>
        <v>1560000</v>
      </c>
      <c r="J14" s="33">
        <f t="array" ref="J14">IFERROR(INDEX('Claim Data'!$D$4:$D$282,MATCH($B14&amp;J$6,'Claim Data'!$C$4:$C$282&amp;'Claim Data'!$B$4:$B$282,0)),"")</f>
        <v>4605000</v>
      </c>
      <c r="K14" s="33">
        <f t="array" ref="K14">IFERROR(INDEX('Claim Data'!$D$4:$D$282,MATCH($B14&amp;K$6,'Claim Data'!$C$4:$C$282&amp;'Claim Data'!$B$4:$B$282,0)),"")</f>
        <v>1730000</v>
      </c>
      <c r="L14" s="33" t="str">
        <f t="array" ref="L14">IFERROR(INDEX('Claim Data'!$D$4:$D$282,MATCH($B14&amp;L$6,'Claim Data'!$C$4:$C$282&amp;'Claim Data'!$B$4:$B$282,0)),"")</f>
        <v/>
      </c>
      <c r="M14" s="33" t="str">
        <f t="array" ref="M14">IFERROR(INDEX('Claim Data'!$D$4:$D$282,MATCH($B14&amp;M$6,'Claim Data'!$C$4:$C$282&amp;'Claim Data'!$B$4:$B$282,0)),"")</f>
        <v/>
      </c>
      <c r="N14" s="33" t="str">
        <f t="array" ref="N14">IFERROR(INDEX('Claim Data'!$D$4:$D$282,MATCH($B14&amp;N$6,'Claim Data'!$C$4:$C$282&amp;'Claim Data'!$B$4:$B$282,0)),"")</f>
        <v/>
      </c>
      <c r="O14" s="33" t="str">
        <f t="array" ref="O14">IFERROR(INDEX('Claim Data'!$D$4:$D$282,MATCH($B14&amp;O$6,'Claim Data'!$C$4:$C$282&amp;'Claim Data'!$B$4:$B$282,0)),"")</f>
        <v/>
      </c>
      <c r="P14" s="33" t="str">
        <f t="array" ref="P14">IFERROR(INDEX('Claim Data'!$D$4:$D$282,MATCH($B14&amp;P$6,'Claim Data'!$C$4:$C$282&amp;'Claim Data'!$B$4:$B$282,0)),"")</f>
        <v/>
      </c>
      <c r="Q14" s="33" t="str">
        <f t="array" ref="Q14">IFERROR(INDEX('Claim Data'!$D$4:$D$282,MATCH($B14&amp;Q$6,'Claim Data'!$C$4:$C$282&amp;'Claim Data'!$B$4:$B$282,0)),"")</f>
        <v/>
      </c>
      <c r="R14" s="33" t="str">
        <f t="array" ref="R14">IFERROR(INDEX('Claim Data'!$D$4:$D$282,MATCH($B14&amp;R$6,'Claim Data'!$C$4:$C$282&amp;'Claim Data'!$B$4:$B$282,0)),"")</f>
        <v/>
      </c>
      <c r="S14" s="33" t="str">
        <f t="array" ref="S14">IFERROR(INDEX('Claim Data'!$D$4:$D$282,MATCH($B14&amp;S$6,'Claim Data'!$C$4:$C$282&amp;'Claim Data'!$B$4:$B$282,0)),"")</f>
        <v/>
      </c>
      <c r="T14" s="33" t="str">
        <f t="array" ref="T14">IFERROR(INDEX('Claim Data'!$D$4:$D$282,MATCH($B14&amp;T$6,'Claim Data'!$C$4:$C$282&amp;'Claim Data'!$B$4:$B$282,0)),"")</f>
        <v/>
      </c>
      <c r="U14" s="33" t="str">
        <f t="array" ref="U14">IFERROR(INDEX('Claim Data'!$D$4:$D$282,MATCH($B14&amp;U$6,'Claim Data'!$C$4:$C$282&amp;'Claim Data'!$B$4:$B$282,0)),"")</f>
        <v/>
      </c>
      <c r="V14" s="33" t="str">
        <f t="array" ref="V14">IFERROR(INDEX('Claim Data'!$D$4:$D$282,MATCH($B14&amp;V$6,'Claim Data'!$C$4:$C$282&amp;'Claim Data'!$B$4:$B$282,0)),"")</f>
        <v/>
      </c>
      <c r="W14" s="33" t="str">
        <f t="array" ref="W14">IFERROR(INDEX('Claim Data'!$D$4:$D$282,MATCH($B14&amp;W$6,'Claim Data'!$C$4:$C$282&amp;'Claim Data'!$B$4:$B$282,0)),"")</f>
        <v/>
      </c>
      <c r="X14" s="33" t="str">
        <f t="array" ref="X14">IFERROR(INDEX('Claim Data'!$D$4:$D$282,MATCH($B14&amp;X$6,'Claim Data'!$C$4:$C$282&amp;'Claim Data'!$B$4:$B$282,0)),"")</f>
        <v/>
      </c>
      <c r="Y14" s="33" t="str">
        <f t="array" ref="Y14">IFERROR(INDEX('Claim Data'!$D$4:$D$282,MATCH($B14&amp;Y$6,'Claim Data'!$C$4:$C$282&amp;'Claim Data'!$B$4:$B$282,0)),"")</f>
        <v/>
      </c>
      <c r="Z14" s="33" t="str">
        <f t="array" ref="Z14">IFERROR(INDEX('Claim Data'!$D$4:$D$282,MATCH($B14&amp;Z$6,'Claim Data'!$C$4:$C$282&amp;'Claim Data'!$B$4:$B$282,0)),"")</f>
        <v/>
      </c>
      <c r="AA14" s="33" t="str">
        <f t="array" ref="AA14">IFERROR(INDEX('Claim Data'!$D$4:$D$282,MATCH($B14&amp;AA$6,'Claim Data'!$C$4:$C$282&amp;'Claim Data'!$B$4:$B$282,0)),"")</f>
        <v/>
      </c>
    </row>
    <row r="15" spans="2:27" x14ac:dyDescent="0.25">
      <c r="B15" s="23">
        <f t="shared" si="2"/>
        <v>40787</v>
      </c>
      <c r="C15" s="33">
        <f t="shared" si="1"/>
        <v>9873000</v>
      </c>
      <c r="D15" s="33">
        <f t="array" ref="D15">IFERROR(INDEX('Claim Data'!$D$4:$D$282,MATCH($B15&amp;D$6,'Claim Data'!$C$4:$C$282&amp;'Claim Data'!$B$4:$B$282,0)),"")</f>
        <v>6000</v>
      </c>
      <c r="E15" s="33">
        <f t="array" ref="E15">IFERROR(INDEX('Claim Data'!$D$4:$D$282,MATCH($B15&amp;E$6,'Claim Data'!$C$4:$C$282&amp;'Claim Data'!$B$4:$B$282,0)),"")</f>
        <v>23000</v>
      </c>
      <c r="F15" s="33">
        <f t="array" ref="F15">IFERROR(INDEX('Claim Data'!$D$4:$D$282,MATCH($B15&amp;F$6,'Claim Data'!$C$4:$C$282&amp;'Claim Data'!$B$4:$B$282,0)),"")</f>
        <v>65000</v>
      </c>
      <c r="G15" s="33">
        <f t="array" ref="G15">IFERROR(INDEX('Claim Data'!$D$4:$D$282,MATCH($B15&amp;G$6,'Claim Data'!$C$4:$C$282&amp;'Claim Data'!$B$4:$B$282,0)),"")</f>
        <v>261000</v>
      </c>
      <c r="H15" s="33">
        <f t="array" ref="H15">IFERROR(INDEX('Claim Data'!$D$4:$D$282,MATCH($B15&amp;H$6,'Claim Data'!$C$4:$C$282&amp;'Claim Data'!$B$4:$B$282,0)),"")</f>
        <v>244000</v>
      </c>
      <c r="I15" s="33">
        <f t="array" ref="I15">IFERROR(INDEX('Claim Data'!$D$4:$D$282,MATCH($B15&amp;I$6,'Claim Data'!$C$4:$C$282&amp;'Claim Data'!$B$4:$B$282,0)),"")</f>
        <v>565000</v>
      </c>
      <c r="J15" s="33">
        <f t="array" ref="J15">IFERROR(INDEX('Claim Data'!$D$4:$D$282,MATCH($B15&amp;J$6,'Claim Data'!$C$4:$C$282&amp;'Claim Data'!$B$4:$B$282,0)),"")</f>
        <v>1706000</v>
      </c>
      <c r="K15" s="33">
        <f t="array" ref="K15">IFERROR(INDEX('Claim Data'!$D$4:$D$282,MATCH($B15&amp;K$6,'Claim Data'!$C$4:$C$282&amp;'Claim Data'!$B$4:$B$282,0)),"")</f>
        <v>5000000</v>
      </c>
      <c r="L15" s="33">
        <f t="array" ref="L15">IFERROR(INDEX('Claim Data'!$D$4:$D$282,MATCH($B15&amp;L$6,'Claim Data'!$C$4:$C$282&amp;'Claim Data'!$B$4:$B$282,0)),"")</f>
        <v>2003000</v>
      </c>
      <c r="M15" s="33" t="str">
        <f t="array" ref="M15">IFERROR(INDEX('Claim Data'!$D$4:$D$282,MATCH($B15&amp;M$6,'Claim Data'!$C$4:$C$282&amp;'Claim Data'!$B$4:$B$282,0)),"")</f>
        <v/>
      </c>
      <c r="N15" s="33" t="str">
        <f t="array" ref="N15">IFERROR(INDEX('Claim Data'!$D$4:$D$282,MATCH($B15&amp;N$6,'Claim Data'!$C$4:$C$282&amp;'Claim Data'!$B$4:$B$282,0)),"")</f>
        <v/>
      </c>
      <c r="O15" s="33" t="str">
        <f t="array" ref="O15">IFERROR(INDEX('Claim Data'!$D$4:$D$282,MATCH($B15&amp;O$6,'Claim Data'!$C$4:$C$282&amp;'Claim Data'!$B$4:$B$282,0)),"")</f>
        <v/>
      </c>
      <c r="P15" s="33" t="str">
        <f t="array" ref="P15">IFERROR(INDEX('Claim Data'!$D$4:$D$282,MATCH($B15&amp;P$6,'Claim Data'!$C$4:$C$282&amp;'Claim Data'!$B$4:$B$282,0)),"")</f>
        <v/>
      </c>
      <c r="Q15" s="33" t="str">
        <f t="array" ref="Q15">IFERROR(INDEX('Claim Data'!$D$4:$D$282,MATCH($B15&amp;Q$6,'Claim Data'!$C$4:$C$282&amp;'Claim Data'!$B$4:$B$282,0)),"")</f>
        <v/>
      </c>
      <c r="R15" s="33" t="str">
        <f t="array" ref="R15">IFERROR(INDEX('Claim Data'!$D$4:$D$282,MATCH($B15&amp;R$6,'Claim Data'!$C$4:$C$282&amp;'Claim Data'!$B$4:$B$282,0)),"")</f>
        <v/>
      </c>
      <c r="S15" s="33" t="str">
        <f t="array" ref="S15">IFERROR(INDEX('Claim Data'!$D$4:$D$282,MATCH($B15&amp;S$6,'Claim Data'!$C$4:$C$282&amp;'Claim Data'!$B$4:$B$282,0)),"")</f>
        <v/>
      </c>
      <c r="T15" s="33" t="str">
        <f t="array" ref="T15">IFERROR(INDEX('Claim Data'!$D$4:$D$282,MATCH($B15&amp;T$6,'Claim Data'!$C$4:$C$282&amp;'Claim Data'!$B$4:$B$282,0)),"")</f>
        <v/>
      </c>
      <c r="U15" s="33" t="str">
        <f t="array" ref="U15">IFERROR(INDEX('Claim Data'!$D$4:$D$282,MATCH($B15&amp;U$6,'Claim Data'!$C$4:$C$282&amp;'Claim Data'!$B$4:$B$282,0)),"")</f>
        <v/>
      </c>
      <c r="V15" s="33" t="str">
        <f t="array" ref="V15">IFERROR(INDEX('Claim Data'!$D$4:$D$282,MATCH($B15&amp;V$6,'Claim Data'!$C$4:$C$282&amp;'Claim Data'!$B$4:$B$282,0)),"")</f>
        <v/>
      </c>
      <c r="W15" s="33" t="str">
        <f t="array" ref="W15">IFERROR(INDEX('Claim Data'!$D$4:$D$282,MATCH($B15&amp;W$6,'Claim Data'!$C$4:$C$282&amp;'Claim Data'!$B$4:$B$282,0)),"")</f>
        <v/>
      </c>
      <c r="X15" s="33" t="str">
        <f t="array" ref="X15">IFERROR(INDEX('Claim Data'!$D$4:$D$282,MATCH($B15&amp;X$6,'Claim Data'!$C$4:$C$282&amp;'Claim Data'!$B$4:$B$282,0)),"")</f>
        <v/>
      </c>
      <c r="Y15" s="33" t="str">
        <f t="array" ref="Y15">IFERROR(INDEX('Claim Data'!$D$4:$D$282,MATCH($B15&amp;Y$6,'Claim Data'!$C$4:$C$282&amp;'Claim Data'!$B$4:$B$282,0)),"")</f>
        <v/>
      </c>
      <c r="Z15" s="33" t="str">
        <f t="array" ref="Z15">IFERROR(INDEX('Claim Data'!$D$4:$D$282,MATCH($B15&amp;Z$6,'Claim Data'!$C$4:$C$282&amp;'Claim Data'!$B$4:$B$282,0)),"")</f>
        <v/>
      </c>
      <c r="AA15" s="33" t="str">
        <f t="array" ref="AA15">IFERROR(INDEX('Claim Data'!$D$4:$D$282,MATCH($B15&amp;AA$6,'Claim Data'!$C$4:$C$282&amp;'Claim Data'!$B$4:$B$282,0)),"")</f>
        <v/>
      </c>
    </row>
    <row r="16" spans="2:27" x14ac:dyDescent="0.25">
      <c r="B16" s="23">
        <f t="shared" si="2"/>
        <v>40817</v>
      </c>
      <c r="C16" s="33">
        <f t="shared" si="1"/>
        <v>8448000</v>
      </c>
      <c r="D16" s="33">
        <f t="array" ref="D16">IFERROR(INDEX('Claim Data'!$D$4:$D$282,MATCH($B16&amp;D$6,'Claim Data'!$C$4:$C$282&amp;'Claim Data'!$B$4:$B$282,0)),"")</f>
        <v>52000</v>
      </c>
      <c r="E16" s="33">
        <f t="array" ref="E16">IFERROR(INDEX('Claim Data'!$D$4:$D$282,MATCH($B16&amp;E$6,'Claim Data'!$C$4:$C$282&amp;'Claim Data'!$B$4:$B$282,0)),"")</f>
        <v>11000</v>
      </c>
      <c r="F16" s="33">
        <f t="array" ref="F16">IFERROR(INDEX('Claim Data'!$D$4:$D$282,MATCH($B16&amp;F$6,'Claim Data'!$C$4:$C$282&amp;'Claim Data'!$B$4:$B$282,0)),"")</f>
        <v>17000</v>
      </c>
      <c r="G16" s="33">
        <f t="array" ref="G16">IFERROR(INDEX('Claim Data'!$D$4:$D$282,MATCH($B16&amp;G$6,'Claim Data'!$C$4:$C$282&amp;'Claim Data'!$B$4:$B$282,0)),"")</f>
        <v>35000</v>
      </c>
      <c r="H16" s="33">
        <f t="array" ref="H16">IFERROR(INDEX('Claim Data'!$D$4:$D$282,MATCH($B16&amp;H$6,'Claim Data'!$C$4:$C$282&amp;'Claim Data'!$B$4:$B$282,0)),"")</f>
        <v>96000</v>
      </c>
      <c r="I16" s="33">
        <f t="array" ref="I16">IFERROR(INDEX('Claim Data'!$D$4:$D$282,MATCH($B16&amp;I$6,'Claim Data'!$C$4:$C$282&amp;'Claim Data'!$B$4:$B$282,0)),"")</f>
        <v>149000</v>
      </c>
      <c r="J16" s="33">
        <f t="array" ref="J16">IFERROR(INDEX('Claim Data'!$D$4:$D$282,MATCH($B16&amp;J$6,'Claim Data'!$C$4:$C$282&amp;'Claim Data'!$B$4:$B$282,0)),"")</f>
        <v>480000</v>
      </c>
      <c r="K16" s="33">
        <f t="array" ref="K16">IFERROR(INDEX('Claim Data'!$D$4:$D$282,MATCH($B16&amp;K$6,'Claim Data'!$C$4:$C$282&amp;'Claim Data'!$B$4:$B$282,0)),"")</f>
        <v>1243000</v>
      </c>
      <c r="L16" s="33">
        <f t="array" ref="L16">IFERROR(INDEX('Claim Data'!$D$4:$D$282,MATCH($B16&amp;L$6,'Claim Data'!$C$4:$C$282&amp;'Claim Data'!$B$4:$B$282,0)),"")</f>
        <v>4356000</v>
      </c>
      <c r="M16" s="33">
        <f t="array" ref="M16">IFERROR(INDEX('Claim Data'!$D$4:$D$282,MATCH($B16&amp;M$6,'Claim Data'!$C$4:$C$282&amp;'Claim Data'!$B$4:$B$282,0)),"")</f>
        <v>2009000</v>
      </c>
      <c r="N16" s="33" t="str">
        <f t="array" ref="N16">IFERROR(INDEX('Claim Data'!$D$4:$D$282,MATCH($B16&amp;N$6,'Claim Data'!$C$4:$C$282&amp;'Claim Data'!$B$4:$B$282,0)),"")</f>
        <v/>
      </c>
      <c r="O16" s="33" t="str">
        <f t="array" ref="O16">IFERROR(INDEX('Claim Data'!$D$4:$D$282,MATCH($B16&amp;O$6,'Claim Data'!$C$4:$C$282&amp;'Claim Data'!$B$4:$B$282,0)),"")</f>
        <v/>
      </c>
      <c r="P16" s="33" t="str">
        <f t="array" ref="P16">IFERROR(INDEX('Claim Data'!$D$4:$D$282,MATCH($B16&amp;P$6,'Claim Data'!$C$4:$C$282&amp;'Claim Data'!$B$4:$B$282,0)),"")</f>
        <v/>
      </c>
      <c r="Q16" s="33" t="str">
        <f t="array" ref="Q16">IFERROR(INDEX('Claim Data'!$D$4:$D$282,MATCH($B16&amp;Q$6,'Claim Data'!$C$4:$C$282&amp;'Claim Data'!$B$4:$B$282,0)),"")</f>
        <v/>
      </c>
      <c r="R16" s="33" t="str">
        <f t="array" ref="R16">IFERROR(INDEX('Claim Data'!$D$4:$D$282,MATCH($B16&amp;R$6,'Claim Data'!$C$4:$C$282&amp;'Claim Data'!$B$4:$B$282,0)),"")</f>
        <v/>
      </c>
      <c r="S16" s="33" t="str">
        <f t="array" ref="S16">IFERROR(INDEX('Claim Data'!$D$4:$D$282,MATCH($B16&amp;S$6,'Claim Data'!$C$4:$C$282&amp;'Claim Data'!$B$4:$B$282,0)),"")</f>
        <v/>
      </c>
      <c r="T16" s="33" t="str">
        <f t="array" ref="T16">IFERROR(INDEX('Claim Data'!$D$4:$D$282,MATCH($B16&amp;T$6,'Claim Data'!$C$4:$C$282&amp;'Claim Data'!$B$4:$B$282,0)),"")</f>
        <v/>
      </c>
      <c r="U16" s="33" t="str">
        <f t="array" ref="U16">IFERROR(INDEX('Claim Data'!$D$4:$D$282,MATCH($B16&amp;U$6,'Claim Data'!$C$4:$C$282&amp;'Claim Data'!$B$4:$B$282,0)),"")</f>
        <v/>
      </c>
      <c r="V16" s="33" t="str">
        <f t="array" ref="V16">IFERROR(INDEX('Claim Data'!$D$4:$D$282,MATCH($B16&amp;V$6,'Claim Data'!$C$4:$C$282&amp;'Claim Data'!$B$4:$B$282,0)),"")</f>
        <v/>
      </c>
      <c r="W16" s="33" t="str">
        <f t="array" ref="W16">IFERROR(INDEX('Claim Data'!$D$4:$D$282,MATCH($B16&amp;W$6,'Claim Data'!$C$4:$C$282&amp;'Claim Data'!$B$4:$B$282,0)),"")</f>
        <v/>
      </c>
      <c r="X16" s="33" t="str">
        <f t="array" ref="X16">IFERROR(INDEX('Claim Data'!$D$4:$D$282,MATCH($B16&amp;X$6,'Claim Data'!$C$4:$C$282&amp;'Claim Data'!$B$4:$B$282,0)),"")</f>
        <v/>
      </c>
      <c r="Y16" s="33" t="str">
        <f t="array" ref="Y16">IFERROR(INDEX('Claim Data'!$D$4:$D$282,MATCH($B16&amp;Y$6,'Claim Data'!$C$4:$C$282&amp;'Claim Data'!$B$4:$B$282,0)),"")</f>
        <v/>
      </c>
      <c r="Z16" s="33" t="str">
        <f t="array" ref="Z16">IFERROR(INDEX('Claim Data'!$D$4:$D$282,MATCH($B16&amp;Z$6,'Claim Data'!$C$4:$C$282&amp;'Claim Data'!$B$4:$B$282,0)),"")</f>
        <v/>
      </c>
      <c r="AA16" s="33" t="str">
        <f t="array" ref="AA16">IFERROR(INDEX('Claim Data'!$D$4:$D$282,MATCH($B16&amp;AA$6,'Claim Data'!$C$4:$C$282&amp;'Claim Data'!$B$4:$B$282,0)),"")</f>
        <v/>
      </c>
    </row>
    <row r="17" spans="2:27" x14ac:dyDescent="0.25">
      <c r="B17" s="23">
        <f t="shared" si="2"/>
        <v>40848</v>
      </c>
      <c r="C17" s="33">
        <f t="shared" si="1"/>
        <v>9493000</v>
      </c>
      <c r="D17" s="33">
        <f t="array" ref="D17">IFERROR(INDEX('Claim Data'!$D$4:$D$282,MATCH($B17&amp;D$6,'Claim Data'!$C$4:$C$282&amp;'Claim Data'!$B$4:$B$282,0)),"")</f>
        <v>21000</v>
      </c>
      <c r="E17" s="33">
        <f t="array" ref="E17">IFERROR(INDEX('Claim Data'!$D$4:$D$282,MATCH($B17&amp;E$6,'Claim Data'!$C$4:$C$282&amp;'Claim Data'!$B$4:$B$282,0)),"")</f>
        <v>24000</v>
      </c>
      <c r="F17" s="33">
        <f t="array" ref="F17">IFERROR(INDEX('Claim Data'!$D$4:$D$282,MATCH($B17&amp;F$6,'Claim Data'!$C$4:$C$282&amp;'Claim Data'!$B$4:$B$282,0)),"")</f>
        <v>16000</v>
      </c>
      <c r="G17" s="33">
        <f t="array" ref="G17">IFERROR(INDEX('Claim Data'!$D$4:$D$282,MATCH($B17&amp;G$6,'Claim Data'!$C$4:$C$282&amp;'Claim Data'!$B$4:$B$282,0)),"")</f>
        <v>26000</v>
      </c>
      <c r="H17" s="33">
        <f t="array" ref="H17">IFERROR(INDEX('Claim Data'!$D$4:$D$282,MATCH($B17&amp;H$6,'Claim Data'!$C$4:$C$282&amp;'Claim Data'!$B$4:$B$282,0)),"")</f>
        <v>24000</v>
      </c>
      <c r="I17" s="33">
        <f t="array" ref="I17">IFERROR(INDEX('Claim Data'!$D$4:$D$282,MATCH($B17&amp;I$6,'Claim Data'!$C$4:$C$282&amp;'Claim Data'!$B$4:$B$282,0)),"")</f>
        <v>129000</v>
      </c>
      <c r="J17" s="33">
        <f t="array" ref="J17">IFERROR(INDEX('Claim Data'!$D$4:$D$282,MATCH($B17&amp;J$6,'Claim Data'!$C$4:$C$282&amp;'Claim Data'!$B$4:$B$282,0)),"")</f>
        <v>126000</v>
      </c>
      <c r="K17" s="33">
        <f t="array" ref="K17">IFERROR(INDEX('Claim Data'!$D$4:$D$282,MATCH($B17&amp;K$6,'Claim Data'!$C$4:$C$282&amp;'Claim Data'!$B$4:$B$282,0)),"")</f>
        <v>873000</v>
      </c>
      <c r="L17" s="33">
        <f t="array" ref="L17">IFERROR(INDEX('Claim Data'!$D$4:$D$282,MATCH($B17&amp;L$6,'Claim Data'!$C$4:$C$282&amp;'Claim Data'!$B$4:$B$282,0)),"")</f>
        <v>1255000</v>
      </c>
      <c r="M17" s="33">
        <f t="array" ref="M17">IFERROR(INDEX('Claim Data'!$D$4:$D$282,MATCH($B17&amp;M$6,'Claim Data'!$C$4:$C$282&amp;'Claim Data'!$B$4:$B$282,0)),"")</f>
        <v>4883000</v>
      </c>
      <c r="N17" s="33">
        <f t="array" ref="N17">IFERROR(INDEX('Claim Data'!$D$4:$D$282,MATCH($B17&amp;N$6,'Claim Data'!$C$4:$C$282&amp;'Claim Data'!$B$4:$B$282,0)),"")</f>
        <v>2116000</v>
      </c>
      <c r="O17" s="33" t="str">
        <f t="array" ref="O17">IFERROR(INDEX('Claim Data'!$D$4:$D$282,MATCH($B17&amp;O$6,'Claim Data'!$C$4:$C$282&amp;'Claim Data'!$B$4:$B$282,0)),"")</f>
        <v/>
      </c>
      <c r="P17" s="33" t="str">
        <f t="array" ref="P17">IFERROR(INDEX('Claim Data'!$D$4:$D$282,MATCH($B17&amp;P$6,'Claim Data'!$C$4:$C$282&amp;'Claim Data'!$B$4:$B$282,0)),"")</f>
        <v/>
      </c>
      <c r="Q17" s="33" t="str">
        <f t="array" ref="Q17">IFERROR(INDEX('Claim Data'!$D$4:$D$282,MATCH($B17&amp;Q$6,'Claim Data'!$C$4:$C$282&amp;'Claim Data'!$B$4:$B$282,0)),"")</f>
        <v/>
      </c>
      <c r="R17" s="33" t="str">
        <f t="array" ref="R17">IFERROR(INDEX('Claim Data'!$D$4:$D$282,MATCH($B17&amp;R$6,'Claim Data'!$C$4:$C$282&amp;'Claim Data'!$B$4:$B$282,0)),"")</f>
        <v/>
      </c>
      <c r="S17" s="33" t="str">
        <f t="array" ref="S17">IFERROR(INDEX('Claim Data'!$D$4:$D$282,MATCH($B17&amp;S$6,'Claim Data'!$C$4:$C$282&amp;'Claim Data'!$B$4:$B$282,0)),"")</f>
        <v/>
      </c>
      <c r="T17" s="33" t="str">
        <f t="array" ref="T17">IFERROR(INDEX('Claim Data'!$D$4:$D$282,MATCH($B17&amp;T$6,'Claim Data'!$C$4:$C$282&amp;'Claim Data'!$B$4:$B$282,0)),"")</f>
        <v/>
      </c>
      <c r="U17" s="33" t="str">
        <f t="array" ref="U17">IFERROR(INDEX('Claim Data'!$D$4:$D$282,MATCH($B17&amp;U$6,'Claim Data'!$C$4:$C$282&amp;'Claim Data'!$B$4:$B$282,0)),"")</f>
        <v/>
      </c>
      <c r="V17" s="33" t="str">
        <f t="array" ref="V17">IFERROR(INDEX('Claim Data'!$D$4:$D$282,MATCH($B17&amp;V$6,'Claim Data'!$C$4:$C$282&amp;'Claim Data'!$B$4:$B$282,0)),"")</f>
        <v/>
      </c>
      <c r="W17" s="33" t="str">
        <f t="array" ref="W17">IFERROR(INDEX('Claim Data'!$D$4:$D$282,MATCH($B17&amp;W$6,'Claim Data'!$C$4:$C$282&amp;'Claim Data'!$B$4:$B$282,0)),"")</f>
        <v/>
      </c>
      <c r="X17" s="33" t="str">
        <f t="array" ref="X17">IFERROR(INDEX('Claim Data'!$D$4:$D$282,MATCH($B17&amp;X$6,'Claim Data'!$C$4:$C$282&amp;'Claim Data'!$B$4:$B$282,0)),"")</f>
        <v/>
      </c>
      <c r="Y17" s="33" t="str">
        <f t="array" ref="Y17">IFERROR(INDEX('Claim Data'!$D$4:$D$282,MATCH($B17&amp;Y$6,'Claim Data'!$C$4:$C$282&amp;'Claim Data'!$B$4:$B$282,0)),"")</f>
        <v/>
      </c>
      <c r="Z17" s="33" t="str">
        <f t="array" ref="Z17">IFERROR(INDEX('Claim Data'!$D$4:$D$282,MATCH($B17&amp;Z$6,'Claim Data'!$C$4:$C$282&amp;'Claim Data'!$B$4:$B$282,0)),"")</f>
        <v/>
      </c>
      <c r="AA17" s="33" t="str">
        <f t="array" ref="AA17">IFERROR(INDEX('Claim Data'!$D$4:$D$282,MATCH($B17&amp;AA$6,'Claim Data'!$C$4:$C$282&amp;'Claim Data'!$B$4:$B$282,0)),"")</f>
        <v/>
      </c>
    </row>
    <row r="18" spans="2:27" x14ac:dyDescent="0.25">
      <c r="B18" s="23">
        <f t="shared" si="2"/>
        <v>40878</v>
      </c>
      <c r="C18" s="33">
        <f t="shared" si="1"/>
        <v>9935000</v>
      </c>
      <c r="D18" s="33">
        <f t="array" ref="D18">IFERROR(INDEX('Claim Data'!$D$4:$D$282,MATCH($B18&amp;D$6,'Claim Data'!$C$4:$C$282&amp;'Claim Data'!$B$4:$B$282,0)),"")</f>
        <v>85000</v>
      </c>
      <c r="E18" s="33">
        <f t="array" ref="E18">IFERROR(INDEX('Claim Data'!$D$4:$D$282,MATCH($B18&amp;E$6,'Claim Data'!$C$4:$C$282&amp;'Claim Data'!$B$4:$B$282,0)),"")</f>
        <v>29000</v>
      </c>
      <c r="F18" s="33">
        <f t="array" ref="F18">IFERROR(INDEX('Claim Data'!$D$4:$D$282,MATCH($B18&amp;F$6,'Claim Data'!$C$4:$C$282&amp;'Claim Data'!$B$4:$B$282,0)),"")</f>
        <v>29000</v>
      </c>
      <c r="G18" s="33">
        <f t="array" ref="G18">IFERROR(INDEX('Claim Data'!$D$4:$D$282,MATCH($B18&amp;G$6,'Claim Data'!$C$4:$C$282&amp;'Claim Data'!$B$4:$B$282,0)),"")</f>
        <v>17000</v>
      </c>
      <c r="H18" s="33">
        <f t="array" ref="H18">IFERROR(INDEX('Claim Data'!$D$4:$D$282,MATCH($B18&amp;H$6,'Claim Data'!$C$4:$C$282&amp;'Claim Data'!$B$4:$B$282,0)),"")</f>
        <v>18000</v>
      </c>
      <c r="I18" s="33">
        <f t="array" ref="I18">IFERROR(INDEX('Claim Data'!$D$4:$D$282,MATCH($B18&amp;I$6,'Claim Data'!$C$4:$C$282&amp;'Claim Data'!$B$4:$B$282,0)),"")</f>
        <v>128000</v>
      </c>
      <c r="J18" s="33">
        <f t="array" ref="J18">IFERROR(INDEX('Claim Data'!$D$4:$D$282,MATCH($B18&amp;J$6,'Claim Data'!$C$4:$C$282&amp;'Claim Data'!$B$4:$B$282,0)),"")</f>
        <v>91000</v>
      </c>
      <c r="K18" s="33">
        <f t="array" ref="K18">IFERROR(INDEX('Claim Data'!$D$4:$D$282,MATCH($B18&amp;K$6,'Claim Data'!$C$4:$C$282&amp;'Claim Data'!$B$4:$B$282,0)),"")</f>
        <v>291000</v>
      </c>
      <c r="L18" s="33">
        <f t="array" ref="L18">IFERROR(INDEX('Claim Data'!$D$4:$D$282,MATCH($B18&amp;L$6,'Claim Data'!$C$4:$C$282&amp;'Claim Data'!$B$4:$B$282,0)),"")</f>
        <v>560000</v>
      </c>
      <c r="M18" s="33">
        <f t="array" ref="M18">IFERROR(INDEX('Claim Data'!$D$4:$D$282,MATCH($B18&amp;M$6,'Claim Data'!$C$4:$C$282&amp;'Claim Data'!$B$4:$B$282,0)),"")</f>
        <v>1246000</v>
      </c>
      <c r="N18" s="33">
        <f t="array" ref="N18">IFERROR(INDEX('Claim Data'!$D$4:$D$282,MATCH($B18&amp;N$6,'Claim Data'!$C$4:$C$282&amp;'Claim Data'!$B$4:$B$282,0)),"")</f>
        <v>4984000</v>
      </c>
      <c r="O18" s="33">
        <f t="array" ref="O18">IFERROR(INDEX('Claim Data'!$D$4:$D$282,MATCH($B18&amp;O$6,'Claim Data'!$C$4:$C$282&amp;'Claim Data'!$B$4:$B$282,0)),"")</f>
        <v>2457000</v>
      </c>
      <c r="P18" s="33" t="str">
        <f t="array" ref="P18">IFERROR(INDEX('Claim Data'!$D$4:$D$282,MATCH($B18&amp;P$6,'Claim Data'!$C$4:$C$282&amp;'Claim Data'!$B$4:$B$282,0)),"")</f>
        <v/>
      </c>
      <c r="Q18" s="33" t="str">
        <f t="array" ref="Q18">IFERROR(INDEX('Claim Data'!$D$4:$D$282,MATCH($B18&amp;Q$6,'Claim Data'!$C$4:$C$282&amp;'Claim Data'!$B$4:$B$282,0)),"")</f>
        <v/>
      </c>
      <c r="R18" s="33" t="str">
        <f t="array" ref="R18">IFERROR(INDEX('Claim Data'!$D$4:$D$282,MATCH($B18&amp;R$6,'Claim Data'!$C$4:$C$282&amp;'Claim Data'!$B$4:$B$282,0)),"")</f>
        <v/>
      </c>
      <c r="S18" s="33" t="str">
        <f t="array" ref="S18">IFERROR(INDEX('Claim Data'!$D$4:$D$282,MATCH($B18&amp;S$6,'Claim Data'!$C$4:$C$282&amp;'Claim Data'!$B$4:$B$282,0)),"")</f>
        <v/>
      </c>
      <c r="T18" s="33" t="str">
        <f t="array" ref="T18">IFERROR(INDEX('Claim Data'!$D$4:$D$282,MATCH($B18&amp;T$6,'Claim Data'!$C$4:$C$282&amp;'Claim Data'!$B$4:$B$282,0)),"")</f>
        <v/>
      </c>
      <c r="U18" s="33" t="str">
        <f t="array" ref="U18">IFERROR(INDEX('Claim Data'!$D$4:$D$282,MATCH($B18&amp;U$6,'Claim Data'!$C$4:$C$282&amp;'Claim Data'!$B$4:$B$282,0)),"")</f>
        <v/>
      </c>
      <c r="V18" s="33" t="str">
        <f t="array" ref="V18">IFERROR(INDEX('Claim Data'!$D$4:$D$282,MATCH($B18&amp;V$6,'Claim Data'!$C$4:$C$282&amp;'Claim Data'!$B$4:$B$282,0)),"")</f>
        <v/>
      </c>
      <c r="W18" s="33" t="str">
        <f t="array" ref="W18">IFERROR(INDEX('Claim Data'!$D$4:$D$282,MATCH($B18&amp;W$6,'Claim Data'!$C$4:$C$282&amp;'Claim Data'!$B$4:$B$282,0)),"")</f>
        <v/>
      </c>
      <c r="X18" s="33" t="str">
        <f t="array" ref="X18">IFERROR(INDEX('Claim Data'!$D$4:$D$282,MATCH($B18&amp;X$6,'Claim Data'!$C$4:$C$282&amp;'Claim Data'!$B$4:$B$282,0)),"")</f>
        <v/>
      </c>
      <c r="Y18" s="33" t="str">
        <f t="array" ref="Y18">IFERROR(INDEX('Claim Data'!$D$4:$D$282,MATCH($B18&amp;Y$6,'Claim Data'!$C$4:$C$282&amp;'Claim Data'!$B$4:$B$282,0)),"")</f>
        <v/>
      </c>
      <c r="Z18" s="33" t="str">
        <f t="array" ref="Z18">IFERROR(INDEX('Claim Data'!$D$4:$D$282,MATCH($B18&amp;Z$6,'Claim Data'!$C$4:$C$282&amp;'Claim Data'!$B$4:$B$282,0)),"")</f>
        <v/>
      </c>
      <c r="AA18" s="33" t="str">
        <f t="array" ref="AA18">IFERROR(INDEX('Claim Data'!$D$4:$D$282,MATCH($B18&amp;AA$6,'Claim Data'!$C$4:$C$282&amp;'Claim Data'!$B$4:$B$282,0)),"")</f>
        <v/>
      </c>
    </row>
    <row r="19" spans="2:27" x14ac:dyDescent="0.25">
      <c r="B19" s="23">
        <f t="shared" si="2"/>
        <v>40909</v>
      </c>
      <c r="C19" s="33">
        <f t="shared" si="1"/>
        <v>7149000</v>
      </c>
      <c r="D19" s="33">
        <f t="array" ref="D19">IFERROR(INDEX('Claim Data'!$D$4:$D$282,MATCH($B19&amp;D$6,'Claim Data'!$C$4:$C$282&amp;'Claim Data'!$B$4:$B$282,0)),"")</f>
        <v>2000</v>
      </c>
      <c r="E19" s="33">
        <f t="array" ref="E19">IFERROR(INDEX('Claim Data'!$D$4:$D$282,MATCH($B19&amp;E$6,'Claim Data'!$C$4:$C$282&amp;'Claim Data'!$B$4:$B$282,0)),"")</f>
        <v>10000</v>
      </c>
      <c r="F19" s="33">
        <f t="array" ref="F19">IFERROR(INDEX('Claim Data'!$D$4:$D$282,MATCH($B19&amp;F$6,'Claim Data'!$C$4:$C$282&amp;'Claim Data'!$B$4:$B$282,0)),"")</f>
        <v>21000</v>
      </c>
      <c r="G19" s="33">
        <f t="array" ref="G19">IFERROR(INDEX('Claim Data'!$D$4:$D$282,MATCH($B19&amp;G$6,'Claim Data'!$C$4:$C$282&amp;'Claim Data'!$B$4:$B$282,0)),"")</f>
        <v>10000</v>
      </c>
      <c r="H19" s="33">
        <f t="array" ref="H19">IFERROR(INDEX('Claim Data'!$D$4:$D$282,MATCH($B19&amp;H$6,'Claim Data'!$C$4:$C$282&amp;'Claim Data'!$B$4:$B$282,0)),"")</f>
        <v>-5000</v>
      </c>
      <c r="I19" s="33">
        <f t="array" ref="I19">IFERROR(INDEX('Claim Data'!$D$4:$D$282,MATCH($B19&amp;I$6,'Claim Data'!$C$4:$C$282&amp;'Claim Data'!$B$4:$B$282,0)),"")</f>
        <v>37000</v>
      </c>
      <c r="J19" s="33">
        <f t="array" ref="J19">IFERROR(INDEX('Claim Data'!$D$4:$D$282,MATCH($B19&amp;J$6,'Claim Data'!$C$4:$C$282&amp;'Claim Data'!$B$4:$B$282,0)),"")</f>
        <v>78000</v>
      </c>
      <c r="K19" s="33">
        <f t="array" ref="K19">IFERROR(INDEX('Claim Data'!$D$4:$D$282,MATCH($B19&amp;K$6,'Claim Data'!$C$4:$C$282&amp;'Claim Data'!$B$4:$B$282,0)),"")</f>
        <v>101000</v>
      </c>
      <c r="L19" s="33">
        <f t="array" ref="L19">IFERROR(INDEX('Claim Data'!$D$4:$D$282,MATCH($B19&amp;L$6,'Claim Data'!$C$4:$C$282&amp;'Claim Data'!$B$4:$B$282,0)),"")</f>
        <v>224000</v>
      </c>
      <c r="M19" s="33">
        <f t="array" ref="M19">IFERROR(INDEX('Claim Data'!$D$4:$D$282,MATCH($B19&amp;M$6,'Claim Data'!$C$4:$C$282&amp;'Claim Data'!$B$4:$B$282,0)),"")</f>
        <v>174000</v>
      </c>
      <c r="N19" s="33">
        <f t="array" ref="N19">IFERROR(INDEX('Claim Data'!$D$4:$D$282,MATCH($B19&amp;N$6,'Claim Data'!$C$4:$C$282&amp;'Claim Data'!$B$4:$B$282,0)),"")</f>
        <v>694000</v>
      </c>
      <c r="O19" s="33">
        <f t="array" ref="O19">IFERROR(INDEX('Claim Data'!$D$4:$D$282,MATCH($B19&amp;O$6,'Claim Data'!$C$4:$C$282&amp;'Claim Data'!$B$4:$B$282,0)),"")</f>
        <v>4241000</v>
      </c>
      <c r="P19" s="33">
        <f t="array" ref="P19">IFERROR(INDEX('Claim Data'!$D$4:$D$282,MATCH($B19&amp;P$6,'Claim Data'!$C$4:$C$282&amp;'Claim Data'!$B$4:$B$282,0)),"")</f>
        <v>1562000</v>
      </c>
      <c r="Q19" s="33" t="str">
        <f t="array" ref="Q19">IFERROR(INDEX('Claim Data'!$D$4:$D$282,MATCH($B19&amp;Q$6,'Claim Data'!$C$4:$C$282&amp;'Claim Data'!$B$4:$B$282,0)),"")</f>
        <v/>
      </c>
      <c r="R19" s="33" t="str">
        <f t="array" ref="R19">IFERROR(INDEX('Claim Data'!$D$4:$D$282,MATCH($B19&amp;R$6,'Claim Data'!$C$4:$C$282&amp;'Claim Data'!$B$4:$B$282,0)),"")</f>
        <v/>
      </c>
      <c r="S19" s="33" t="str">
        <f t="array" ref="S19">IFERROR(INDEX('Claim Data'!$D$4:$D$282,MATCH($B19&amp;S$6,'Claim Data'!$C$4:$C$282&amp;'Claim Data'!$B$4:$B$282,0)),"")</f>
        <v/>
      </c>
      <c r="T19" s="33" t="str">
        <f t="array" ref="T19">IFERROR(INDEX('Claim Data'!$D$4:$D$282,MATCH($B19&amp;T$6,'Claim Data'!$C$4:$C$282&amp;'Claim Data'!$B$4:$B$282,0)),"")</f>
        <v/>
      </c>
      <c r="U19" s="33" t="str">
        <f t="array" ref="U19">IFERROR(INDEX('Claim Data'!$D$4:$D$282,MATCH($B19&amp;U$6,'Claim Data'!$C$4:$C$282&amp;'Claim Data'!$B$4:$B$282,0)),"")</f>
        <v/>
      </c>
      <c r="V19" s="33" t="str">
        <f t="array" ref="V19">IFERROR(INDEX('Claim Data'!$D$4:$D$282,MATCH($B19&amp;V$6,'Claim Data'!$C$4:$C$282&amp;'Claim Data'!$B$4:$B$282,0)),"")</f>
        <v/>
      </c>
      <c r="W19" s="33" t="str">
        <f t="array" ref="W19">IFERROR(INDEX('Claim Data'!$D$4:$D$282,MATCH($B19&amp;W$6,'Claim Data'!$C$4:$C$282&amp;'Claim Data'!$B$4:$B$282,0)),"")</f>
        <v/>
      </c>
      <c r="X19" s="33" t="str">
        <f t="array" ref="X19">IFERROR(INDEX('Claim Data'!$D$4:$D$282,MATCH($B19&amp;X$6,'Claim Data'!$C$4:$C$282&amp;'Claim Data'!$B$4:$B$282,0)),"")</f>
        <v/>
      </c>
      <c r="Y19" s="33" t="str">
        <f t="array" ref="Y19">IFERROR(INDEX('Claim Data'!$D$4:$D$282,MATCH($B19&amp;Y$6,'Claim Data'!$C$4:$C$282&amp;'Claim Data'!$B$4:$B$282,0)),"")</f>
        <v/>
      </c>
      <c r="Z19" s="33" t="str">
        <f t="array" ref="Z19">IFERROR(INDEX('Claim Data'!$D$4:$D$282,MATCH($B19&amp;Z$6,'Claim Data'!$C$4:$C$282&amp;'Claim Data'!$B$4:$B$282,0)),"")</f>
        <v/>
      </c>
      <c r="AA19" s="33" t="str">
        <f t="array" ref="AA19">IFERROR(INDEX('Claim Data'!$D$4:$D$282,MATCH($B19&amp;AA$6,'Claim Data'!$C$4:$C$282&amp;'Claim Data'!$B$4:$B$282,0)),"")</f>
        <v/>
      </c>
    </row>
    <row r="20" spans="2:27" x14ac:dyDescent="0.25">
      <c r="B20" s="23">
        <f t="shared" si="2"/>
        <v>40940</v>
      </c>
      <c r="C20" s="33">
        <f t="shared" si="1"/>
        <v>8034000</v>
      </c>
      <c r="D20" s="33">
        <f t="array" ref="D20">IFERROR(INDEX('Claim Data'!$D$4:$D$282,MATCH($B20&amp;D$6,'Claim Data'!$C$4:$C$282&amp;'Claim Data'!$B$4:$B$282,0)),"")</f>
        <v>9000</v>
      </c>
      <c r="E20" s="33">
        <f t="array" ref="E20">IFERROR(INDEX('Claim Data'!$D$4:$D$282,MATCH($B20&amp;E$6,'Claim Data'!$C$4:$C$282&amp;'Claim Data'!$B$4:$B$282,0)),"")</f>
        <v>2000</v>
      </c>
      <c r="F20" s="33">
        <f t="array" ref="F20">IFERROR(INDEX('Claim Data'!$D$4:$D$282,MATCH($B20&amp;F$6,'Claim Data'!$C$4:$C$282&amp;'Claim Data'!$B$4:$B$282,0)),"")</f>
        <v>10000</v>
      </c>
      <c r="G20" s="33">
        <f t="array" ref="G20">IFERROR(INDEX('Claim Data'!$D$4:$D$282,MATCH($B20&amp;G$6,'Claim Data'!$C$4:$C$282&amp;'Claim Data'!$B$4:$B$282,0)),"")</f>
        <v>8000</v>
      </c>
      <c r="H20" s="33">
        <f t="array" ref="H20">IFERROR(INDEX('Claim Data'!$D$4:$D$282,MATCH($B20&amp;H$6,'Claim Data'!$C$4:$C$282&amp;'Claim Data'!$B$4:$B$282,0)),"")</f>
        <v>13000</v>
      </c>
      <c r="I20" s="33">
        <f t="array" ref="I20">IFERROR(INDEX('Claim Data'!$D$4:$D$282,MATCH($B20&amp;I$6,'Claim Data'!$C$4:$C$282&amp;'Claim Data'!$B$4:$B$282,0)),"")</f>
        <v>17000</v>
      </c>
      <c r="J20" s="33">
        <f t="array" ref="J20">IFERROR(INDEX('Claim Data'!$D$4:$D$282,MATCH($B20&amp;J$6,'Claim Data'!$C$4:$C$282&amp;'Claim Data'!$B$4:$B$282,0)),"")</f>
        <v>42000</v>
      </c>
      <c r="K20" s="33">
        <f t="array" ref="K20">IFERROR(INDEX('Claim Data'!$D$4:$D$282,MATCH($B20&amp;K$6,'Claim Data'!$C$4:$C$282&amp;'Claim Data'!$B$4:$B$282,0)),"")</f>
        <v>62000</v>
      </c>
      <c r="L20" s="33">
        <f t="array" ref="L20">IFERROR(INDEX('Claim Data'!$D$4:$D$282,MATCH($B20&amp;L$6,'Claim Data'!$C$4:$C$282&amp;'Claim Data'!$B$4:$B$282,0)),"")</f>
        <v>92000</v>
      </c>
      <c r="M20" s="33">
        <f t="array" ref="M20">IFERROR(INDEX('Claim Data'!$D$4:$D$282,MATCH($B20&amp;M$6,'Claim Data'!$C$4:$C$282&amp;'Claim Data'!$B$4:$B$282,0)),"")</f>
        <v>150000</v>
      </c>
      <c r="N20" s="33">
        <f t="array" ref="N20">IFERROR(INDEX('Claim Data'!$D$4:$D$282,MATCH($B20&amp;N$6,'Claim Data'!$C$4:$C$282&amp;'Claim Data'!$B$4:$B$282,0)),"")</f>
        <v>340000</v>
      </c>
      <c r="O20" s="33">
        <f t="array" ref="O20">IFERROR(INDEX('Claim Data'!$D$4:$D$282,MATCH($B20&amp;O$6,'Claim Data'!$C$4:$C$282&amp;'Claim Data'!$B$4:$B$282,0)),"")</f>
        <v>960000</v>
      </c>
      <c r="P20" s="33">
        <f t="array" ref="P20">IFERROR(INDEX('Claim Data'!$D$4:$D$282,MATCH($B20&amp;P$6,'Claim Data'!$C$4:$C$282&amp;'Claim Data'!$B$4:$B$282,0)),"")</f>
        <v>4735000</v>
      </c>
      <c r="Q20" s="33">
        <f t="array" ref="Q20">IFERROR(INDEX('Claim Data'!$D$4:$D$282,MATCH($B20&amp;Q$6,'Claim Data'!$C$4:$C$282&amp;'Claim Data'!$B$4:$B$282,0)),"")</f>
        <v>1594000</v>
      </c>
      <c r="R20" s="33" t="str">
        <f t="array" ref="R20">IFERROR(INDEX('Claim Data'!$D$4:$D$282,MATCH($B20&amp;R$6,'Claim Data'!$C$4:$C$282&amp;'Claim Data'!$B$4:$B$282,0)),"")</f>
        <v/>
      </c>
      <c r="S20" s="33" t="str">
        <f t="array" ref="S20">IFERROR(INDEX('Claim Data'!$D$4:$D$282,MATCH($B20&amp;S$6,'Claim Data'!$C$4:$C$282&amp;'Claim Data'!$B$4:$B$282,0)),"")</f>
        <v/>
      </c>
      <c r="T20" s="33" t="str">
        <f t="array" ref="T20">IFERROR(INDEX('Claim Data'!$D$4:$D$282,MATCH($B20&amp;T$6,'Claim Data'!$C$4:$C$282&amp;'Claim Data'!$B$4:$B$282,0)),"")</f>
        <v/>
      </c>
      <c r="U20" s="33" t="str">
        <f t="array" ref="U20">IFERROR(INDEX('Claim Data'!$D$4:$D$282,MATCH($B20&amp;U$6,'Claim Data'!$C$4:$C$282&amp;'Claim Data'!$B$4:$B$282,0)),"")</f>
        <v/>
      </c>
      <c r="V20" s="33" t="str">
        <f t="array" ref="V20">IFERROR(INDEX('Claim Data'!$D$4:$D$282,MATCH($B20&amp;V$6,'Claim Data'!$C$4:$C$282&amp;'Claim Data'!$B$4:$B$282,0)),"")</f>
        <v/>
      </c>
      <c r="W20" s="33" t="str">
        <f t="array" ref="W20">IFERROR(INDEX('Claim Data'!$D$4:$D$282,MATCH($B20&amp;W$6,'Claim Data'!$C$4:$C$282&amp;'Claim Data'!$B$4:$B$282,0)),"")</f>
        <v/>
      </c>
      <c r="X20" s="33" t="str">
        <f t="array" ref="X20">IFERROR(INDEX('Claim Data'!$D$4:$D$282,MATCH($B20&amp;X$6,'Claim Data'!$C$4:$C$282&amp;'Claim Data'!$B$4:$B$282,0)),"")</f>
        <v/>
      </c>
      <c r="Y20" s="33" t="str">
        <f t="array" ref="Y20">IFERROR(INDEX('Claim Data'!$D$4:$D$282,MATCH($B20&amp;Y$6,'Claim Data'!$C$4:$C$282&amp;'Claim Data'!$B$4:$B$282,0)),"")</f>
        <v/>
      </c>
      <c r="Z20" s="33" t="str">
        <f t="array" ref="Z20">IFERROR(INDEX('Claim Data'!$D$4:$D$282,MATCH($B20&amp;Z$6,'Claim Data'!$C$4:$C$282&amp;'Claim Data'!$B$4:$B$282,0)),"")</f>
        <v/>
      </c>
      <c r="AA20" s="33" t="str">
        <f t="array" ref="AA20">IFERROR(INDEX('Claim Data'!$D$4:$D$282,MATCH($B20&amp;AA$6,'Claim Data'!$C$4:$C$282&amp;'Claim Data'!$B$4:$B$282,0)),"")</f>
        <v/>
      </c>
    </row>
    <row r="21" spans="2:27" x14ac:dyDescent="0.25">
      <c r="B21" s="23">
        <f t="shared" si="2"/>
        <v>40969</v>
      </c>
      <c r="C21" s="33">
        <f t="shared" si="1"/>
        <v>10806000</v>
      </c>
      <c r="D21" s="33">
        <f t="array" ref="D21">IFERROR(INDEX('Claim Data'!$D$4:$D$282,MATCH($B21&amp;D$6,'Claim Data'!$C$4:$C$282&amp;'Claim Data'!$B$4:$B$282,0)),"")</f>
        <v>5000</v>
      </c>
      <c r="E21" s="33">
        <f t="array" ref="E21">IFERROR(INDEX('Claim Data'!$D$4:$D$282,MATCH($B21&amp;E$6,'Claim Data'!$C$4:$C$282&amp;'Claim Data'!$B$4:$B$282,0)),"")</f>
        <v>67000</v>
      </c>
      <c r="F21" s="33">
        <f t="array" ref="F21">IFERROR(INDEX('Claim Data'!$D$4:$D$282,MATCH($B21&amp;F$6,'Claim Data'!$C$4:$C$282&amp;'Claim Data'!$B$4:$B$282,0)),"")</f>
        <v>10000</v>
      </c>
      <c r="G21" s="33">
        <f t="array" ref="G21">IFERROR(INDEX('Claim Data'!$D$4:$D$282,MATCH($B21&amp;G$6,'Claim Data'!$C$4:$C$282&amp;'Claim Data'!$B$4:$B$282,0)),"")</f>
        <v>40000</v>
      </c>
      <c r="H21" s="33">
        <f t="array" ref="H21">IFERROR(INDEX('Claim Data'!$D$4:$D$282,MATCH($B21&amp;H$6,'Claim Data'!$C$4:$C$282&amp;'Claim Data'!$B$4:$B$282,0)),"")</f>
        <v>52000</v>
      </c>
      <c r="I21" s="33">
        <f t="array" ref="I21">IFERROR(INDEX('Claim Data'!$D$4:$D$282,MATCH($B21&amp;I$6,'Claim Data'!$C$4:$C$282&amp;'Claim Data'!$B$4:$B$282,0)),"")</f>
        <v>275000</v>
      </c>
      <c r="J21" s="33">
        <f t="array" ref="J21">IFERROR(INDEX('Claim Data'!$D$4:$D$282,MATCH($B21&amp;J$6,'Claim Data'!$C$4:$C$282&amp;'Claim Data'!$B$4:$B$282,0)),"")</f>
        <v>27000</v>
      </c>
      <c r="K21" s="33">
        <f t="array" ref="K21">IFERROR(INDEX('Claim Data'!$D$4:$D$282,MATCH($B21&amp;K$6,'Claim Data'!$C$4:$C$282&amp;'Claim Data'!$B$4:$B$282,0)),"")</f>
        <v>53000</v>
      </c>
      <c r="L21" s="33">
        <f t="array" ref="L21">IFERROR(INDEX('Claim Data'!$D$4:$D$282,MATCH($B21&amp;L$6,'Claim Data'!$C$4:$C$282&amp;'Claim Data'!$B$4:$B$282,0)),"")</f>
        <v>67000</v>
      </c>
      <c r="M21" s="33">
        <f t="array" ref="M21">IFERROR(INDEX('Claim Data'!$D$4:$D$282,MATCH($B21&amp;M$6,'Claim Data'!$C$4:$C$282&amp;'Claim Data'!$B$4:$B$282,0)),"")</f>
        <v>110000</v>
      </c>
      <c r="N21" s="33">
        <f t="array" ref="N21">IFERROR(INDEX('Claim Data'!$D$4:$D$282,MATCH($B21&amp;N$6,'Claim Data'!$C$4:$C$282&amp;'Claim Data'!$B$4:$B$282,0)),"")</f>
        <v>564000</v>
      </c>
      <c r="O21" s="33">
        <f t="array" ref="O21">IFERROR(INDEX('Claim Data'!$D$4:$D$282,MATCH($B21&amp;O$6,'Claim Data'!$C$4:$C$282&amp;'Claim Data'!$B$4:$B$282,0)),"")</f>
        <v>452000</v>
      </c>
      <c r="P21" s="33">
        <f t="array" ref="P21">IFERROR(INDEX('Claim Data'!$D$4:$D$282,MATCH($B21&amp;P$6,'Claim Data'!$C$4:$C$282&amp;'Claim Data'!$B$4:$B$282,0)),"")</f>
        <v>1194000</v>
      </c>
      <c r="Q21" s="33">
        <f t="array" ref="Q21">IFERROR(INDEX('Claim Data'!$D$4:$D$282,MATCH($B21&amp;Q$6,'Claim Data'!$C$4:$C$282&amp;'Claim Data'!$B$4:$B$282,0)),"")</f>
        <v>4996000</v>
      </c>
      <c r="R21" s="33">
        <f t="array" ref="R21">IFERROR(INDEX('Claim Data'!$D$4:$D$282,MATCH($B21&amp;R$6,'Claim Data'!$C$4:$C$282&amp;'Claim Data'!$B$4:$B$282,0)),"")</f>
        <v>2894000</v>
      </c>
      <c r="S21" s="33" t="str">
        <f t="array" ref="S21">IFERROR(INDEX('Claim Data'!$D$4:$D$282,MATCH($B21&amp;S$6,'Claim Data'!$C$4:$C$282&amp;'Claim Data'!$B$4:$B$282,0)),"")</f>
        <v/>
      </c>
      <c r="T21" s="33" t="str">
        <f t="array" ref="T21">IFERROR(INDEX('Claim Data'!$D$4:$D$282,MATCH($B21&amp;T$6,'Claim Data'!$C$4:$C$282&amp;'Claim Data'!$B$4:$B$282,0)),"")</f>
        <v/>
      </c>
      <c r="U21" s="33" t="str">
        <f t="array" ref="U21">IFERROR(INDEX('Claim Data'!$D$4:$D$282,MATCH($B21&amp;U$6,'Claim Data'!$C$4:$C$282&amp;'Claim Data'!$B$4:$B$282,0)),"")</f>
        <v/>
      </c>
      <c r="V21" s="33" t="str">
        <f t="array" ref="V21">IFERROR(INDEX('Claim Data'!$D$4:$D$282,MATCH($B21&amp;V$6,'Claim Data'!$C$4:$C$282&amp;'Claim Data'!$B$4:$B$282,0)),"")</f>
        <v/>
      </c>
      <c r="W21" s="33" t="str">
        <f t="array" ref="W21">IFERROR(INDEX('Claim Data'!$D$4:$D$282,MATCH($B21&amp;W$6,'Claim Data'!$C$4:$C$282&amp;'Claim Data'!$B$4:$B$282,0)),"")</f>
        <v/>
      </c>
      <c r="X21" s="33" t="str">
        <f t="array" ref="X21">IFERROR(INDEX('Claim Data'!$D$4:$D$282,MATCH($B21&amp;X$6,'Claim Data'!$C$4:$C$282&amp;'Claim Data'!$B$4:$B$282,0)),"")</f>
        <v/>
      </c>
      <c r="Y21" s="33" t="str">
        <f t="array" ref="Y21">IFERROR(INDEX('Claim Data'!$D$4:$D$282,MATCH($B21&amp;Y$6,'Claim Data'!$C$4:$C$282&amp;'Claim Data'!$B$4:$B$282,0)),"")</f>
        <v/>
      </c>
      <c r="Z21" s="33" t="str">
        <f t="array" ref="Z21">IFERROR(INDEX('Claim Data'!$D$4:$D$282,MATCH($B21&amp;Z$6,'Claim Data'!$C$4:$C$282&amp;'Claim Data'!$B$4:$B$282,0)),"")</f>
        <v/>
      </c>
      <c r="AA21" s="33" t="str">
        <f t="array" ref="AA21">IFERROR(INDEX('Claim Data'!$D$4:$D$282,MATCH($B21&amp;AA$6,'Claim Data'!$C$4:$C$282&amp;'Claim Data'!$B$4:$B$282,0)),"")</f>
        <v/>
      </c>
    </row>
    <row r="22" spans="2:27" x14ac:dyDescent="0.25">
      <c r="B22" s="23">
        <f t="shared" si="2"/>
        <v>41000</v>
      </c>
      <c r="C22" s="33">
        <f t="shared" si="1"/>
        <v>9259000</v>
      </c>
      <c r="D22" s="33">
        <f t="array" ref="D22">IFERROR(INDEX('Claim Data'!$D$4:$D$282,MATCH($B22&amp;D$6,'Claim Data'!$C$4:$C$282&amp;'Claim Data'!$B$4:$B$282,0)),"")</f>
        <v>2000</v>
      </c>
      <c r="E22" s="33">
        <f t="array" ref="E22">IFERROR(INDEX('Claim Data'!$D$4:$D$282,MATCH($B22&amp;E$6,'Claim Data'!$C$4:$C$282&amp;'Claim Data'!$B$4:$B$282,0)),"")</f>
        <v>19000</v>
      </c>
      <c r="F22" s="33">
        <f t="array" ref="F22">IFERROR(INDEX('Claim Data'!$D$4:$D$282,MATCH($B22&amp;F$6,'Claim Data'!$C$4:$C$282&amp;'Claim Data'!$B$4:$B$282,0)),"")</f>
        <v>12000</v>
      </c>
      <c r="G22" s="33">
        <f t="array" ref="G22">IFERROR(INDEX('Claim Data'!$D$4:$D$282,MATCH($B22&amp;G$6,'Claim Data'!$C$4:$C$282&amp;'Claim Data'!$B$4:$B$282,0)),"")</f>
        <v>27000</v>
      </c>
      <c r="H22" s="33">
        <f t="array" ref="H22">IFERROR(INDEX('Claim Data'!$D$4:$D$282,MATCH($B22&amp;H$6,'Claim Data'!$C$4:$C$282&amp;'Claim Data'!$B$4:$B$282,0)),"")</f>
        <v>302000</v>
      </c>
      <c r="I22" s="33">
        <f t="array" ref="I22">IFERROR(INDEX('Claim Data'!$D$4:$D$282,MATCH($B22&amp;I$6,'Claim Data'!$C$4:$C$282&amp;'Claim Data'!$B$4:$B$282,0)),"")</f>
        <v>19000</v>
      </c>
      <c r="J22" s="33">
        <f t="array" ref="J22">IFERROR(INDEX('Claim Data'!$D$4:$D$282,MATCH($B22&amp;J$6,'Claim Data'!$C$4:$C$282&amp;'Claim Data'!$B$4:$B$282,0)),"")</f>
        <v>0</v>
      </c>
      <c r="K22" s="33">
        <f t="array" ref="K22">IFERROR(INDEX('Claim Data'!$D$4:$D$282,MATCH($B22&amp;K$6,'Claim Data'!$C$4:$C$282&amp;'Claim Data'!$B$4:$B$282,0)),"")</f>
        <v>-14000</v>
      </c>
      <c r="L22" s="33">
        <f t="array" ref="L22">IFERROR(INDEX('Claim Data'!$D$4:$D$282,MATCH($B22&amp;L$6,'Claim Data'!$C$4:$C$282&amp;'Claim Data'!$B$4:$B$282,0)),"")</f>
        <v>25000</v>
      </c>
      <c r="M22" s="33">
        <f t="array" ref="M22">IFERROR(INDEX('Claim Data'!$D$4:$D$282,MATCH($B22&amp;M$6,'Claim Data'!$C$4:$C$282&amp;'Claim Data'!$B$4:$B$282,0)),"")</f>
        <v>43000</v>
      </c>
      <c r="N22" s="33">
        <f t="array" ref="N22">IFERROR(INDEX('Claim Data'!$D$4:$D$282,MATCH($B22&amp;N$6,'Claim Data'!$C$4:$C$282&amp;'Claim Data'!$B$4:$B$282,0)),"")</f>
        <v>179000</v>
      </c>
      <c r="O22" s="33">
        <f t="array" ref="O22">IFERROR(INDEX('Claim Data'!$D$4:$D$282,MATCH($B22&amp;O$6,'Claim Data'!$C$4:$C$282&amp;'Claim Data'!$B$4:$B$282,0)),"")</f>
        <v>192000</v>
      </c>
      <c r="P22" s="33">
        <f t="array" ref="P22">IFERROR(INDEX('Claim Data'!$D$4:$D$282,MATCH($B22&amp;P$6,'Claim Data'!$C$4:$C$282&amp;'Claim Data'!$B$4:$B$282,0)),"")</f>
        <v>445000</v>
      </c>
      <c r="Q22" s="33">
        <f t="array" ref="Q22">IFERROR(INDEX('Claim Data'!$D$4:$D$282,MATCH($B22&amp;Q$6,'Claim Data'!$C$4:$C$282&amp;'Claim Data'!$B$4:$B$282,0)),"")</f>
        <v>768000</v>
      </c>
      <c r="R22" s="33">
        <f t="array" ref="R22">IFERROR(INDEX('Claim Data'!$D$4:$D$282,MATCH($B22&amp;R$6,'Claim Data'!$C$4:$C$282&amp;'Claim Data'!$B$4:$B$282,0)),"")</f>
        <v>4857000</v>
      </c>
      <c r="S22" s="33">
        <f t="array" ref="S22">IFERROR(INDEX('Claim Data'!$D$4:$D$282,MATCH($B22&amp;S$6,'Claim Data'!$C$4:$C$282&amp;'Claim Data'!$B$4:$B$282,0)),"")</f>
        <v>2383000</v>
      </c>
      <c r="T22" s="33" t="str">
        <f t="array" ref="T22">IFERROR(INDEX('Claim Data'!$D$4:$D$282,MATCH($B22&amp;T$6,'Claim Data'!$C$4:$C$282&amp;'Claim Data'!$B$4:$B$282,0)),"")</f>
        <v/>
      </c>
      <c r="U22" s="33" t="str">
        <f t="array" ref="U22">IFERROR(INDEX('Claim Data'!$D$4:$D$282,MATCH($B22&amp;U$6,'Claim Data'!$C$4:$C$282&amp;'Claim Data'!$B$4:$B$282,0)),"")</f>
        <v/>
      </c>
      <c r="V22" s="33" t="str">
        <f t="array" ref="V22">IFERROR(INDEX('Claim Data'!$D$4:$D$282,MATCH($B22&amp;V$6,'Claim Data'!$C$4:$C$282&amp;'Claim Data'!$B$4:$B$282,0)),"")</f>
        <v/>
      </c>
      <c r="W22" s="33" t="str">
        <f t="array" ref="W22">IFERROR(INDEX('Claim Data'!$D$4:$D$282,MATCH($B22&amp;W$6,'Claim Data'!$C$4:$C$282&amp;'Claim Data'!$B$4:$B$282,0)),"")</f>
        <v/>
      </c>
      <c r="X22" s="33" t="str">
        <f t="array" ref="X22">IFERROR(INDEX('Claim Data'!$D$4:$D$282,MATCH($B22&amp;X$6,'Claim Data'!$C$4:$C$282&amp;'Claim Data'!$B$4:$B$282,0)),"")</f>
        <v/>
      </c>
      <c r="Y22" s="33" t="str">
        <f t="array" ref="Y22">IFERROR(INDEX('Claim Data'!$D$4:$D$282,MATCH($B22&amp;Y$6,'Claim Data'!$C$4:$C$282&amp;'Claim Data'!$B$4:$B$282,0)),"")</f>
        <v/>
      </c>
      <c r="Z22" s="33" t="str">
        <f t="array" ref="Z22">IFERROR(INDEX('Claim Data'!$D$4:$D$282,MATCH($B22&amp;Z$6,'Claim Data'!$C$4:$C$282&amp;'Claim Data'!$B$4:$B$282,0)),"")</f>
        <v/>
      </c>
      <c r="AA22" s="33" t="str">
        <f t="array" ref="AA22">IFERROR(INDEX('Claim Data'!$D$4:$D$282,MATCH($B22&amp;AA$6,'Claim Data'!$C$4:$C$282&amp;'Claim Data'!$B$4:$B$282,0)),"")</f>
        <v/>
      </c>
    </row>
    <row r="23" spans="2:27" x14ac:dyDescent="0.25">
      <c r="B23" s="23">
        <f t="shared" si="2"/>
        <v>41030</v>
      </c>
      <c r="C23" s="33">
        <f t="shared" si="1"/>
        <v>8892000</v>
      </c>
      <c r="D23" s="33">
        <f t="array" ref="D23">IFERROR(INDEX('Claim Data'!$D$4:$D$282,MATCH($B23&amp;D$6,'Claim Data'!$C$4:$C$282&amp;'Claim Data'!$B$4:$B$282,0)),"")</f>
        <v>2000</v>
      </c>
      <c r="E23" s="33">
        <f t="array" ref="E23">IFERROR(INDEX('Claim Data'!$D$4:$D$282,MATCH($B23&amp;E$6,'Claim Data'!$C$4:$C$282&amp;'Claim Data'!$B$4:$B$282,0)),"")</f>
        <v>2000</v>
      </c>
      <c r="F23" s="33">
        <f t="array" ref="F23">IFERROR(INDEX('Claim Data'!$D$4:$D$282,MATCH($B23&amp;F$6,'Claim Data'!$C$4:$C$282&amp;'Claim Data'!$B$4:$B$282,0)),"")</f>
        <v>-1000</v>
      </c>
      <c r="G23" s="33">
        <f t="array" ref="G23">IFERROR(INDEX('Claim Data'!$D$4:$D$282,MATCH($B23&amp;G$6,'Claim Data'!$C$4:$C$282&amp;'Claim Data'!$B$4:$B$282,0)),"")</f>
        <v>19000</v>
      </c>
      <c r="H23" s="33">
        <f t="array" ref="H23">IFERROR(INDEX('Claim Data'!$D$4:$D$282,MATCH($B23&amp;H$6,'Claim Data'!$C$4:$C$282&amp;'Claim Data'!$B$4:$B$282,0)),"")</f>
        <v>-5000</v>
      </c>
      <c r="I23" s="33">
        <f t="array" ref="I23">IFERROR(INDEX('Claim Data'!$D$4:$D$282,MATCH($B23&amp;I$6,'Claim Data'!$C$4:$C$282&amp;'Claim Data'!$B$4:$B$282,0)),"")</f>
        <v>24000</v>
      </c>
      <c r="J23" s="33">
        <f t="array" ref="J23">IFERROR(INDEX('Claim Data'!$D$4:$D$282,MATCH($B23&amp;J$6,'Claim Data'!$C$4:$C$282&amp;'Claim Data'!$B$4:$B$282,0)),"")</f>
        <v>0</v>
      </c>
      <c r="K23" s="33">
        <f t="array" ref="K23">IFERROR(INDEX('Claim Data'!$D$4:$D$282,MATCH($B23&amp;K$6,'Claim Data'!$C$4:$C$282&amp;'Claim Data'!$B$4:$B$282,0)),"")</f>
        <v>27000</v>
      </c>
      <c r="L23" s="33">
        <f t="array" ref="L23">IFERROR(INDEX('Claim Data'!$D$4:$D$282,MATCH($B23&amp;L$6,'Claim Data'!$C$4:$C$282&amp;'Claim Data'!$B$4:$B$282,0)),"")</f>
        <v>17000</v>
      </c>
      <c r="M23" s="33">
        <f t="array" ref="M23">IFERROR(INDEX('Claim Data'!$D$4:$D$282,MATCH($B23&amp;M$6,'Claim Data'!$C$4:$C$282&amp;'Claim Data'!$B$4:$B$282,0)),"")</f>
        <v>12000</v>
      </c>
      <c r="N23" s="33">
        <f t="array" ref="N23">IFERROR(INDEX('Claim Data'!$D$4:$D$282,MATCH($B23&amp;N$6,'Claim Data'!$C$4:$C$282&amp;'Claim Data'!$B$4:$B$282,0)),"")</f>
        <v>325000</v>
      </c>
      <c r="O23" s="33">
        <f t="array" ref="O23">IFERROR(INDEX('Claim Data'!$D$4:$D$282,MATCH($B23&amp;O$6,'Claim Data'!$C$4:$C$282&amp;'Claim Data'!$B$4:$B$282,0)),"")</f>
        <v>106000</v>
      </c>
      <c r="P23" s="33">
        <f t="array" ref="P23">IFERROR(INDEX('Claim Data'!$D$4:$D$282,MATCH($B23&amp;P$6,'Claim Data'!$C$4:$C$282&amp;'Claim Data'!$B$4:$B$282,0)),"")</f>
        <v>173000</v>
      </c>
      <c r="Q23" s="33">
        <f t="array" ref="Q23">IFERROR(INDEX('Claim Data'!$D$4:$D$282,MATCH($B23&amp;Q$6,'Claim Data'!$C$4:$C$282&amp;'Claim Data'!$B$4:$B$282,0)),"")</f>
        <v>260000</v>
      </c>
      <c r="R23" s="33">
        <f t="array" ref="R23">IFERROR(INDEX('Claim Data'!$D$4:$D$282,MATCH($B23&amp;R$6,'Claim Data'!$C$4:$C$282&amp;'Claim Data'!$B$4:$B$282,0)),"")</f>
        <v>961000</v>
      </c>
      <c r="S23" s="33">
        <f t="array" ref="S23">IFERROR(INDEX('Claim Data'!$D$4:$D$282,MATCH($B23&amp;S$6,'Claim Data'!$C$4:$C$282&amp;'Claim Data'!$B$4:$B$282,0)),"")</f>
        <v>4659000</v>
      </c>
      <c r="T23" s="33">
        <f t="array" ref="T23">IFERROR(INDEX('Claim Data'!$D$4:$D$282,MATCH($B23&amp;T$6,'Claim Data'!$C$4:$C$282&amp;'Claim Data'!$B$4:$B$282,0)),"")</f>
        <v>2311000</v>
      </c>
      <c r="U23" s="33" t="str">
        <f t="array" ref="U23">IFERROR(INDEX('Claim Data'!$D$4:$D$282,MATCH($B23&amp;U$6,'Claim Data'!$C$4:$C$282&amp;'Claim Data'!$B$4:$B$282,0)),"")</f>
        <v/>
      </c>
      <c r="V23" s="33" t="str">
        <f t="array" ref="V23">IFERROR(INDEX('Claim Data'!$D$4:$D$282,MATCH($B23&amp;V$6,'Claim Data'!$C$4:$C$282&amp;'Claim Data'!$B$4:$B$282,0)),"")</f>
        <v/>
      </c>
      <c r="W23" s="33" t="str">
        <f t="array" ref="W23">IFERROR(INDEX('Claim Data'!$D$4:$D$282,MATCH($B23&amp;W$6,'Claim Data'!$C$4:$C$282&amp;'Claim Data'!$B$4:$B$282,0)),"")</f>
        <v/>
      </c>
      <c r="X23" s="33" t="str">
        <f t="array" ref="X23">IFERROR(INDEX('Claim Data'!$D$4:$D$282,MATCH($B23&amp;X$6,'Claim Data'!$C$4:$C$282&amp;'Claim Data'!$B$4:$B$282,0)),"")</f>
        <v/>
      </c>
      <c r="Y23" s="33" t="str">
        <f t="array" ref="Y23">IFERROR(INDEX('Claim Data'!$D$4:$D$282,MATCH($B23&amp;Y$6,'Claim Data'!$C$4:$C$282&amp;'Claim Data'!$B$4:$B$282,0)),"")</f>
        <v/>
      </c>
      <c r="Z23" s="33" t="str">
        <f t="array" ref="Z23">IFERROR(INDEX('Claim Data'!$D$4:$D$282,MATCH($B23&amp;Z$6,'Claim Data'!$C$4:$C$282&amp;'Claim Data'!$B$4:$B$282,0)),"")</f>
        <v/>
      </c>
      <c r="AA23" s="33" t="str">
        <f t="array" ref="AA23">IFERROR(INDEX('Claim Data'!$D$4:$D$282,MATCH($B23&amp;AA$6,'Claim Data'!$C$4:$C$282&amp;'Claim Data'!$B$4:$B$282,0)),"")</f>
        <v/>
      </c>
    </row>
    <row r="24" spans="2:27" x14ac:dyDescent="0.25">
      <c r="B24" s="23">
        <f t="shared" si="2"/>
        <v>41061</v>
      </c>
      <c r="C24" s="33">
        <f t="shared" si="1"/>
        <v>10537000</v>
      </c>
      <c r="D24" s="33">
        <f t="array" ref="D24">IFERROR(INDEX('Claim Data'!$D$4:$D$282,MATCH($B24&amp;D$6,'Claim Data'!$C$4:$C$282&amp;'Claim Data'!$B$4:$B$282,0)),"")</f>
        <v>2000</v>
      </c>
      <c r="E24" s="33">
        <f t="array" ref="E24">IFERROR(INDEX('Claim Data'!$D$4:$D$282,MATCH($B24&amp;E$6,'Claim Data'!$C$4:$C$282&amp;'Claim Data'!$B$4:$B$282,0)),"")</f>
        <v>7000</v>
      </c>
      <c r="F24" s="33">
        <f t="array" ref="F24">IFERROR(INDEX('Claim Data'!$D$4:$D$282,MATCH($B24&amp;F$6,'Claim Data'!$C$4:$C$282&amp;'Claim Data'!$B$4:$B$282,0)),"")</f>
        <v>9000</v>
      </c>
      <c r="G24" s="33">
        <f t="array" ref="G24">IFERROR(INDEX('Claim Data'!$D$4:$D$282,MATCH($B24&amp;G$6,'Claim Data'!$C$4:$C$282&amp;'Claim Data'!$B$4:$B$282,0)),"")</f>
        <v>6000</v>
      </c>
      <c r="H24" s="33">
        <f t="array" ref="H24">IFERROR(INDEX('Claim Data'!$D$4:$D$282,MATCH($B24&amp;H$6,'Claim Data'!$C$4:$C$282&amp;'Claim Data'!$B$4:$B$282,0)),"")</f>
        <v>20000</v>
      </c>
      <c r="I24" s="33">
        <f t="array" ref="I24">IFERROR(INDEX('Claim Data'!$D$4:$D$282,MATCH($B24&amp;I$6,'Claim Data'!$C$4:$C$282&amp;'Claim Data'!$B$4:$B$282,0)),"")</f>
        <v>-14000</v>
      </c>
      <c r="J24" s="33">
        <f t="array" ref="J24">IFERROR(INDEX('Claim Data'!$D$4:$D$282,MATCH($B24&amp;J$6,'Claim Data'!$C$4:$C$282&amp;'Claim Data'!$B$4:$B$282,0)),"")</f>
        <v>-12000</v>
      </c>
      <c r="K24" s="33">
        <f t="array" ref="K24">IFERROR(INDEX('Claim Data'!$D$4:$D$282,MATCH($B24&amp;K$6,'Claim Data'!$C$4:$C$282&amp;'Claim Data'!$B$4:$B$282,0)),"")</f>
        <v>17000</v>
      </c>
      <c r="L24" s="33">
        <f t="array" ref="L24">IFERROR(INDEX('Claim Data'!$D$4:$D$282,MATCH($B24&amp;L$6,'Claim Data'!$C$4:$C$282&amp;'Claim Data'!$B$4:$B$282,0)),"")</f>
        <v>22000</v>
      </c>
      <c r="M24" s="33">
        <f t="array" ref="M24">IFERROR(INDEX('Claim Data'!$D$4:$D$282,MATCH($B24&amp;M$6,'Claim Data'!$C$4:$C$282&amp;'Claim Data'!$B$4:$B$282,0)),"")</f>
        <v>16000</v>
      </c>
      <c r="N24" s="33">
        <f t="array" ref="N24">IFERROR(INDEX('Claim Data'!$D$4:$D$282,MATCH($B24&amp;N$6,'Claim Data'!$C$4:$C$282&amp;'Claim Data'!$B$4:$B$282,0)),"")</f>
        <v>61000</v>
      </c>
      <c r="O24" s="33">
        <f t="array" ref="O24">IFERROR(INDEX('Claim Data'!$D$4:$D$282,MATCH($B24&amp;O$6,'Claim Data'!$C$4:$C$282&amp;'Claim Data'!$B$4:$B$282,0)),"")</f>
        <v>76000</v>
      </c>
      <c r="P24" s="33">
        <f t="array" ref="P24">IFERROR(INDEX('Claim Data'!$D$4:$D$282,MATCH($B24&amp;P$6,'Claim Data'!$C$4:$C$282&amp;'Claim Data'!$B$4:$B$282,0)),"")</f>
        <v>61000</v>
      </c>
      <c r="Q24" s="33">
        <f t="array" ref="Q24">IFERROR(INDEX('Claim Data'!$D$4:$D$282,MATCH($B24&amp;Q$6,'Claim Data'!$C$4:$C$282&amp;'Claim Data'!$B$4:$B$282,0)),"")</f>
        <v>340000</v>
      </c>
      <c r="R24" s="33">
        <f t="array" ref="R24">IFERROR(INDEX('Claim Data'!$D$4:$D$282,MATCH($B24&amp;R$6,'Claim Data'!$C$4:$C$282&amp;'Claim Data'!$B$4:$B$282,0)),"")</f>
        <v>445000</v>
      </c>
      <c r="S24" s="33">
        <f t="array" ref="S24">IFERROR(INDEX('Claim Data'!$D$4:$D$282,MATCH($B24&amp;S$6,'Claim Data'!$C$4:$C$282&amp;'Claim Data'!$B$4:$B$282,0)),"")</f>
        <v>1276000</v>
      </c>
      <c r="T24" s="33">
        <f t="array" ref="T24">IFERROR(INDEX('Claim Data'!$D$4:$D$282,MATCH($B24&amp;T$6,'Claim Data'!$C$4:$C$282&amp;'Claim Data'!$B$4:$B$282,0)),"")</f>
        <v>5423000</v>
      </c>
      <c r="U24" s="33">
        <f t="array" ref="U24">IFERROR(INDEX('Claim Data'!$D$4:$D$282,MATCH($B24&amp;U$6,'Claim Data'!$C$4:$C$282&amp;'Claim Data'!$B$4:$B$282,0)),"")</f>
        <v>2782000</v>
      </c>
      <c r="V24" s="33" t="str">
        <f t="array" ref="V24">IFERROR(INDEX('Claim Data'!$D$4:$D$282,MATCH($B24&amp;V$6,'Claim Data'!$C$4:$C$282&amp;'Claim Data'!$B$4:$B$282,0)),"")</f>
        <v/>
      </c>
      <c r="W24" s="33" t="str">
        <f t="array" ref="W24">IFERROR(INDEX('Claim Data'!$D$4:$D$282,MATCH($B24&amp;W$6,'Claim Data'!$C$4:$C$282&amp;'Claim Data'!$B$4:$B$282,0)),"")</f>
        <v/>
      </c>
      <c r="X24" s="33" t="str">
        <f t="array" ref="X24">IFERROR(INDEX('Claim Data'!$D$4:$D$282,MATCH($B24&amp;X$6,'Claim Data'!$C$4:$C$282&amp;'Claim Data'!$B$4:$B$282,0)),"")</f>
        <v/>
      </c>
      <c r="Y24" s="33" t="str">
        <f t="array" ref="Y24">IFERROR(INDEX('Claim Data'!$D$4:$D$282,MATCH($B24&amp;Y$6,'Claim Data'!$C$4:$C$282&amp;'Claim Data'!$B$4:$B$282,0)),"")</f>
        <v/>
      </c>
      <c r="Z24" s="33" t="str">
        <f t="array" ref="Z24">IFERROR(INDEX('Claim Data'!$D$4:$D$282,MATCH($B24&amp;Z$6,'Claim Data'!$C$4:$C$282&amp;'Claim Data'!$B$4:$B$282,0)),"")</f>
        <v/>
      </c>
      <c r="AA24" s="33" t="str">
        <f t="array" ref="AA24">IFERROR(INDEX('Claim Data'!$D$4:$D$282,MATCH($B24&amp;AA$6,'Claim Data'!$C$4:$C$282&amp;'Claim Data'!$B$4:$B$282,0)),"")</f>
        <v/>
      </c>
    </row>
    <row r="25" spans="2:27" x14ac:dyDescent="0.25">
      <c r="B25" s="23">
        <f t="shared" si="2"/>
        <v>41091</v>
      </c>
      <c r="C25" s="33">
        <f t="shared" si="1"/>
        <v>8212000</v>
      </c>
      <c r="D25" s="33" t="str">
        <f t="array" ref="D25">IFERROR(INDEX('Claim Data'!$D$4:$D$282,MATCH($B25&amp;D$6,'Claim Data'!$C$4:$C$282&amp;'Claim Data'!$B$4:$B$282,0)),"")</f>
        <v/>
      </c>
      <c r="E25" s="33">
        <f t="array" ref="E25">IFERROR(INDEX('Claim Data'!$D$4:$D$282,MATCH($B25&amp;E$6,'Claim Data'!$C$4:$C$282&amp;'Claim Data'!$B$4:$B$282,0)),"")</f>
        <v>12000</v>
      </c>
      <c r="F25" s="33">
        <f t="array" ref="F25">IFERROR(INDEX('Claim Data'!$D$4:$D$282,MATCH($B25&amp;F$6,'Claim Data'!$C$4:$C$282&amp;'Claim Data'!$B$4:$B$282,0)),"")</f>
        <v>22000</v>
      </c>
      <c r="G25" s="33">
        <f t="array" ref="G25">IFERROR(INDEX('Claim Data'!$D$4:$D$282,MATCH($B25&amp;G$6,'Claim Data'!$C$4:$C$282&amp;'Claim Data'!$B$4:$B$282,0)),"")</f>
        <v>4000</v>
      </c>
      <c r="H25" s="33">
        <f t="array" ref="H25">IFERROR(INDEX('Claim Data'!$D$4:$D$282,MATCH($B25&amp;H$6,'Claim Data'!$C$4:$C$282&amp;'Claim Data'!$B$4:$B$282,0)),"")</f>
        <v>7000</v>
      </c>
      <c r="I25" s="33">
        <f t="array" ref="I25">IFERROR(INDEX('Claim Data'!$D$4:$D$282,MATCH($B25&amp;I$6,'Claim Data'!$C$4:$C$282&amp;'Claim Data'!$B$4:$B$282,0)),"")</f>
        <v>-1000</v>
      </c>
      <c r="J25" s="33">
        <f t="array" ref="J25">IFERROR(INDEX('Claim Data'!$D$4:$D$282,MATCH($B25&amp;J$6,'Claim Data'!$C$4:$C$282&amp;'Claim Data'!$B$4:$B$282,0)),"")</f>
        <v>9000</v>
      </c>
      <c r="K25" s="33">
        <f t="array" ref="K25">IFERROR(INDEX('Claim Data'!$D$4:$D$282,MATCH($B25&amp;K$6,'Claim Data'!$C$4:$C$282&amp;'Claim Data'!$B$4:$B$282,0)),"")</f>
        <v>56000</v>
      </c>
      <c r="L25" s="33">
        <f t="array" ref="L25">IFERROR(INDEX('Claim Data'!$D$4:$D$282,MATCH($B25&amp;L$6,'Claim Data'!$C$4:$C$282&amp;'Claim Data'!$B$4:$B$282,0)),"")</f>
        <v>2000</v>
      </c>
      <c r="M25" s="33">
        <f t="array" ref="M25">IFERROR(INDEX('Claim Data'!$D$4:$D$282,MATCH($B25&amp;M$6,'Claim Data'!$C$4:$C$282&amp;'Claim Data'!$B$4:$B$282,0)),"")</f>
        <v>21000</v>
      </c>
      <c r="N25" s="33">
        <f t="array" ref="N25">IFERROR(INDEX('Claim Data'!$D$4:$D$282,MATCH($B25&amp;N$6,'Claim Data'!$C$4:$C$282&amp;'Claim Data'!$B$4:$B$282,0)),"")</f>
        <v>9000</v>
      </c>
      <c r="O25" s="33">
        <f t="array" ref="O25">IFERROR(INDEX('Claim Data'!$D$4:$D$282,MATCH($B25&amp;O$6,'Claim Data'!$C$4:$C$282&amp;'Claim Data'!$B$4:$B$282,0)),"")</f>
        <v>46000</v>
      </c>
      <c r="P25" s="33">
        <f t="array" ref="P25">IFERROR(INDEX('Claim Data'!$D$4:$D$282,MATCH($B25&amp;P$6,'Claim Data'!$C$4:$C$282&amp;'Claim Data'!$B$4:$B$282,0)),"")</f>
        <v>40000</v>
      </c>
      <c r="Q25" s="33">
        <f t="array" ref="Q25">IFERROR(INDEX('Claim Data'!$D$4:$D$282,MATCH($B25&amp;Q$6,'Claim Data'!$C$4:$C$282&amp;'Claim Data'!$B$4:$B$282,0)),"")</f>
        <v>114000</v>
      </c>
      <c r="R25" s="33">
        <f t="array" ref="R25">IFERROR(INDEX('Claim Data'!$D$4:$D$282,MATCH($B25&amp;R$6,'Claim Data'!$C$4:$C$282&amp;'Claim Data'!$B$4:$B$282,0)),"")</f>
        <v>127000</v>
      </c>
      <c r="S25" s="33">
        <f t="array" ref="S25">IFERROR(INDEX('Claim Data'!$D$4:$D$282,MATCH($B25&amp;S$6,'Claim Data'!$C$4:$C$282&amp;'Claim Data'!$B$4:$B$282,0)),"")</f>
        <v>355000</v>
      </c>
      <c r="T25" s="33">
        <f t="array" ref="T25">IFERROR(INDEX('Claim Data'!$D$4:$D$282,MATCH($B25&amp;T$6,'Claim Data'!$C$4:$C$282&amp;'Claim Data'!$B$4:$B$282,0)),"")</f>
        <v>651000</v>
      </c>
      <c r="U25" s="33">
        <f t="array" ref="U25">IFERROR(INDEX('Claim Data'!$D$4:$D$282,MATCH($B25&amp;U$6,'Claim Data'!$C$4:$C$282&amp;'Claim Data'!$B$4:$B$282,0)),"")</f>
        <v>4821000</v>
      </c>
      <c r="V25" s="33">
        <f t="array" ref="V25">IFERROR(INDEX('Claim Data'!$D$4:$D$282,MATCH($B25&amp;V$6,'Claim Data'!$C$4:$C$282&amp;'Claim Data'!$B$4:$B$282,0)),"")</f>
        <v>1917000</v>
      </c>
      <c r="W25" s="33" t="str">
        <f t="array" ref="W25">IFERROR(INDEX('Claim Data'!$D$4:$D$282,MATCH($B25&amp;W$6,'Claim Data'!$C$4:$C$282&amp;'Claim Data'!$B$4:$B$282,0)),"")</f>
        <v/>
      </c>
      <c r="X25" s="33" t="str">
        <f t="array" ref="X25">IFERROR(INDEX('Claim Data'!$D$4:$D$282,MATCH($B25&amp;X$6,'Claim Data'!$C$4:$C$282&amp;'Claim Data'!$B$4:$B$282,0)),"")</f>
        <v/>
      </c>
      <c r="Y25" s="33" t="str">
        <f t="array" ref="Y25">IFERROR(INDEX('Claim Data'!$D$4:$D$282,MATCH($B25&amp;Y$6,'Claim Data'!$C$4:$C$282&amp;'Claim Data'!$B$4:$B$282,0)),"")</f>
        <v/>
      </c>
      <c r="Z25" s="33" t="str">
        <f t="array" ref="Z25">IFERROR(INDEX('Claim Data'!$D$4:$D$282,MATCH($B25&amp;Z$6,'Claim Data'!$C$4:$C$282&amp;'Claim Data'!$B$4:$B$282,0)),"")</f>
        <v/>
      </c>
      <c r="AA25" s="33" t="str">
        <f t="array" ref="AA25">IFERROR(INDEX('Claim Data'!$D$4:$D$282,MATCH($B25&amp;AA$6,'Claim Data'!$C$4:$C$282&amp;'Claim Data'!$B$4:$B$282,0)),"")</f>
        <v/>
      </c>
    </row>
    <row r="26" spans="2:27" x14ac:dyDescent="0.25">
      <c r="B26" s="23">
        <f t="shared" si="2"/>
        <v>41122</v>
      </c>
      <c r="C26" s="33">
        <f t="shared" si="1"/>
        <v>7933500</v>
      </c>
      <c r="D26" s="33" t="str">
        <f t="array" ref="D26">IFERROR(INDEX('Claim Data'!$D$4:$D$282,MATCH($B26&amp;D$6,'Claim Data'!$C$4:$C$282&amp;'Claim Data'!$B$4:$B$282,0)),"")</f>
        <v/>
      </c>
      <c r="E26" s="33" t="str">
        <f t="array" ref="E26">IFERROR(INDEX('Claim Data'!$D$4:$D$282,MATCH($B26&amp;E$6,'Claim Data'!$C$4:$C$282&amp;'Claim Data'!$B$4:$B$282,0)),"")</f>
        <v/>
      </c>
      <c r="F26" s="33">
        <f t="array" ref="F26">IFERROR(INDEX('Claim Data'!$D$4:$D$282,MATCH($B26&amp;F$6,'Claim Data'!$C$4:$C$282&amp;'Claim Data'!$B$4:$B$282,0)),"")</f>
        <v>8000</v>
      </c>
      <c r="G26" s="33">
        <f t="array" ref="G26">IFERROR(INDEX('Claim Data'!$D$4:$D$282,MATCH($B26&amp;G$6,'Claim Data'!$C$4:$C$282&amp;'Claim Data'!$B$4:$B$282,0)),"")</f>
        <v>-2000</v>
      </c>
      <c r="H26" s="33">
        <f t="array" ref="H26">IFERROR(INDEX('Claim Data'!$D$4:$D$282,MATCH($B26&amp;H$6,'Claim Data'!$C$4:$C$282&amp;'Claim Data'!$B$4:$B$282,0)),"")</f>
        <v>4000</v>
      </c>
      <c r="I26" s="33">
        <f t="array" ref="I26">IFERROR(INDEX('Claim Data'!$D$4:$D$282,MATCH($B26&amp;I$6,'Claim Data'!$C$4:$C$282&amp;'Claim Data'!$B$4:$B$282,0)),"")</f>
        <v>-5000</v>
      </c>
      <c r="J26" s="33">
        <f t="array" ref="J26">IFERROR(INDEX('Claim Data'!$D$4:$D$282,MATCH($B26&amp;J$6,'Claim Data'!$C$4:$C$282&amp;'Claim Data'!$B$4:$B$282,0)),"")</f>
        <v>0</v>
      </c>
      <c r="K26" s="33">
        <f t="array" ref="K26">IFERROR(INDEX('Claim Data'!$D$4:$D$282,MATCH($B26&amp;K$6,'Claim Data'!$C$4:$C$282&amp;'Claim Data'!$B$4:$B$282,0)),"")</f>
        <v>9500</v>
      </c>
      <c r="L26" s="33">
        <f t="array" ref="L26">IFERROR(INDEX('Claim Data'!$D$4:$D$282,MATCH($B26&amp;L$6,'Claim Data'!$C$4:$C$282&amp;'Claim Data'!$B$4:$B$282,0)),"")</f>
        <v>3000</v>
      </c>
      <c r="M26" s="33">
        <f t="array" ref="M26">IFERROR(INDEX('Claim Data'!$D$4:$D$282,MATCH($B26&amp;M$6,'Claim Data'!$C$4:$C$282&amp;'Claim Data'!$B$4:$B$282,0)),"")</f>
        <v>4000</v>
      </c>
      <c r="N26" s="33">
        <f t="array" ref="N26">IFERROR(INDEX('Claim Data'!$D$4:$D$282,MATCH($B26&amp;N$6,'Claim Data'!$C$4:$C$282&amp;'Claim Data'!$B$4:$B$282,0)),"")</f>
        <v>4000</v>
      </c>
      <c r="O26" s="33">
        <f t="array" ref="O26">IFERROR(INDEX('Claim Data'!$D$4:$D$282,MATCH($B26&amp;O$6,'Claim Data'!$C$4:$C$282&amp;'Claim Data'!$B$4:$B$282,0)),"")</f>
        <v>9000</v>
      </c>
      <c r="P26" s="33">
        <f t="array" ref="P26">IFERROR(INDEX('Claim Data'!$D$4:$D$282,MATCH($B26&amp;P$6,'Claim Data'!$C$4:$C$282&amp;'Claim Data'!$B$4:$B$282,0)),"")</f>
        <v>26000</v>
      </c>
      <c r="Q26" s="33">
        <f t="array" ref="Q26">IFERROR(INDEX('Claim Data'!$D$4:$D$282,MATCH($B26&amp;Q$6,'Claim Data'!$C$4:$C$282&amp;'Claim Data'!$B$4:$B$282,0)),"")</f>
        <v>36000</v>
      </c>
      <c r="R26" s="33">
        <f t="array" ref="R26">IFERROR(INDEX('Claim Data'!$D$4:$D$282,MATCH($B26&amp;R$6,'Claim Data'!$C$4:$C$282&amp;'Claim Data'!$B$4:$B$282,0)),"")</f>
        <v>131000</v>
      </c>
      <c r="S26" s="33">
        <f t="array" ref="S26">IFERROR(INDEX('Claim Data'!$D$4:$D$282,MATCH($B26&amp;S$6,'Claim Data'!$C$4:$C$282&amp;'Claim Data'!$B$4:$B$282,0)),"")</f>
        <v>152000</v>
      </c>
      <c r="T26" s="33">
        <f t="array" ref="T26">IFERROR(INDEX('Claim Data'!$D$4:$D$282,MATCH($B26&amp;T$6,'Claim Data'!$C$4:$C$282&amp;'Claim Data'!$B$4:$B$282,0)),"")</f>
        <v>455000</v>
      </c>
      <c r="U26" s="33">
        <f t="array" ref="U26">IFERROR(INDEX('Claim Data'!$D$4:$D$282,MATCH($B26&amp;U$6,'Claim Data'!$C$4:$C$282&amp;'Claim Data'!$B$4:$B$282,0)),"")</f>
        <v>942000</v>
      </c>
      <c r="V26" s="33">
        <f t="array" ref="V26">IFERROR(INDEX('Claim Data'!$D$4:$D$282,MATCH($B26&amp;V$6,'Claim Data'!$C$4:$C$282&amp;'Claim Data'!$B$4:$B$282,0)),"")</f>
        <v>4472000</v>
      </c>
      <c r="W26" s="33">
        <f t="array" ref="W26">IFERROR(INDEX('Claim Data'!$D$4:$D$282,MATCH($B26&amp;W$6,'Claim Data'!$C$4:$C$282&amp;'Claim Data'!$B$4:$B$282,0)),"")</f>
        <v>1685000</v>
      </c>
      <c r="X26" s="33" t="str">
        <f t="array" ref="X26">IFERROR(INDEX('Claim Data'!$D$4:$D$282,MATCH($B26&amp;X$6,'Claim Data'!$C$4:$C$282&amp;'Claim Data'!$B$4:$B$282,0)),"")</f>
        <v/>
      </c>
      <c r="Y26" s="33" t="str">
        <f t="array" ref="Y26">IFERROR(INDEX('Claim Data'!$D$4:$D$282,MATCH($B26&amp;Y$6,'Claim Data'!$C$4:$C$282&amp;'Claim Data'!$B$4:$B$282,0)),"")</f>
        <v/>
      </c>
      <c r="Z26" s="33" t="str">
        <f t="array" ref="Z26">IFERROR(INDEX('Claim Data'!$D$4:$D$282,MATCH($B26&amp;Z$6,'Claim Data'!$C$4:$C$282&amp;'Claim Data'!$B$4:$B$282,0)),"")</f>
        <v/>
      </c>
      <c r="AA26" s="33" t="str">
        <f t="array" ref="AA26">IFERROR(INDEX('Claim Data'!$D$4:$D$282,MATCH($B26&amp;AA$6,'Claim Data'!$C$4:$C$282&amp;'Claim Data'!$B$4:$B$282,0)),"")</f>
        <v/>
      </c>
    </row>
    <row r="27" spans="2:27" x14ac:dyDescent="0.25">
      <c r="B27" s="23">
        <f t="shared" si="2"/>
        <v>41153</v>
      </c>
      <c r="C27" s="33">
        <f t="shared" si="1"/>
        <v>7858000</v>
      </c>
      <c r="D27" s="33" t="str">
        <f t="array" ref="D27">IFERROR(INDEX('Claim Data'!$D$4:$D$282,MATCH($B27&amp;D$6,'Claim Data'!$C$4:$C$282&amp;'Claim Data'!$B$4:$B$282,0)),"")</f>
        <v/>
      </c>
      <c r="E27" s="33" t="str">
        <f t="array" ref="E27">IFERROR(INDEX('Claim Data'!$D$4:$D$282,MATCH($B27&amp;E$6,'Claim Data'!$C$4:$C$282&amp;'Claim Data'!$B$4:$B$282,0)),"")</f>
        <v/>
      </c>
      <c r="F27" s="33" t="str">
        <f t="array" ref="F27">IFERROR(INDEX('Claim Data'!$D$4:$D$282,MATCH($B27&amp;F$6,'Claim Data'!$C$4:$C$282&amp;'Claim Data'!$B$4:$B$282,0)),"")</f>
        <v/>
      </c>
      <c r="G27" s="33">
        <f t="array" ref="G27">IFERROR(INDEX('Claim Data'!$D$4:$D$282,MATCH($B27&amp;G$6,'Claim Data'!$C$4:$C$282&amp;'Claim Data'!$B$4:$B$282,0)),"")</f>
        <v>2000</v>
      </c>
      <c r="H27" s="33">
        <f t="array" ref="H27">IFERROR(INDEX('Claim Data'!$D$4:$D$282,MATCH($B27&amp;H$6,'Claim Data'!$C$4:$C$282&amp;'Claim Data'!$B$4:$B$282,0)),"")</f>
        <v>0</v>
      </c>
      <c r="I27" s="33">
        <f t="array" ref="I27">IFERROR(INDEX('Claim Data'!$D$4:$D$282,MATCH($B27&amp;I$6,'Claim Data'!$C$4:$C$282&amp;'Claim Data'!$B$4:$B$282,0)),"")</f>
        <v>3000</v>
      </c>
      <c r="J27" s="33">
        <f t="array" ref="J27">IFERROR(INDEX('Claim Data'!$D$4:$D$282,MATCH($B27&amp;J$6,'Claim Data'!$C$4:$C$282&amp;'Claim Data'!$B$4:$B$282,0)),"")</f>
        <v>-2000</v>
      </c>
      <c r="K27" s="33">
        <f t="array" ref="K27">IFERROR(INDEX('Claim Data'!$D$4:$D$282,MATCH($B27&amp;K$6,'Claim Data'!$C$4:$C$282&amp;'Claim Data'!$B$4:$B$282,0)),"")</f>
        <v>2000</v>
      </c>
      <c r="L27" s="33">
        <f t="array" ref="L27">IFERROR(INDEX('Claim Data'!$D$4:$D$282,MATCH($B27&amp;L$6,'Claim Data'!$C$4:$C$282&amp;'Claim Data'!$B$4:$B$282,0)),"")</f>
        <v>-4000</v>
      </c>
      <c r="M27" s="33">
        <f t="array" ref="M27">IFERROR(INDEX('Claim Data'!$D$4:$D$282,MATCH($B27&amp;M$6,'Claim Data'!$C$4:$C$282&amp;'Claim Data'!$B$4:$B$282,0)),"")</f>
        <v>-3000</v>
      </c>
      <c r="N27" s="33">
        <f t="array" ref="N27">IFERROR(INDEX('Claim Data'!$D$4:$D$282,MATCH($B27&amp;N$6,'Claim Data'!$C$4:$C$282&amp;'Claim Data'!$B$4:$B$282,0)),"")</f>
        <v>19000</v>
      </c>
      <c r="O27" s="33">
        <f t="array" ref="O27">IFERROR(INDEX('Claim Data'!$D$4:$D$282,MATCH($B27&amp;O$6,'Claim Data'!$C$4:$C$282&amp;'Claim Data'!$B$4:$B$282,0)),"")</f>
        <v>-1000</v>
      </c>
      <c r="P27" s="33">
        <f t="array" ref="P27">IFERROR(INDEX('Claim Data'!$D$4:$D$282,MATCH($B27&amp;P$6,'Claim Data'!$C$4:$C$282&amp;'Claim Data'!$B$4:$B$282,0)),"")</f>
        <v>13000</v>
      </c>
      <c r="Q27" s="33">
        <f t="array" ref="Q27">IFERROR(INDEX('Claim Data'!$D$4:$D$282,MATCH($B27&amp;Q$6,'Claim Data'!$C$4:$C$282&amp;'Claim Data'!$B$4:$B$282,0)),"")</f>
        <v>42000</v>
      </c>
      <c r="R27" s="33">
        <f t="array" ref="R27">IFERROR(INDEX('Claim Data'!$D$4:$D$282,MATCH($B27&amp;R$6,'Claim Data'!$C$4:$C$282&amp;'Claim Data'!$B$4:$B$282,0)),"")</f>
        <v>24000</v>
      </c>
      <c r="S27" s="33">
        <f t="array" ref="S27">IFERROR(INDEX('Claim Data'!$D$4:$D$282,MATCH($B27&amp;S$6,'Claim Data'!$C$4:$C$282&amp;'Claim Data'!$B$4:$B$282,0)),"")</f>
        <v>238000</v>
      </c>
      <c r="T27" s="33">
        <f t="array" ref="T27">IFERROR(INDEX('Claim Data'!$D$4:$D$282,MATCH($B27&amp;T$6,'Claim Data'!$C$4:$C$282&amp;'Claim Data'!$B$4:$B$282,0)),"")</f>
        <v>317000</v>
      </c>
      <c r="U27" s="33">
        <f t="array" ref="U27">IFERROR(INDEX('Claim Data'!$D$4:$D$282,MATCH($B27&amp;U$6,'Claim Data'!$C$4:$C$282&amp;'Claim Data'!$B$4:$B$282,0)),"")</f>
        <v>188000</v>
      </c>
      <c r="V27" s="33">
        <f t="array" ref="V27">IFERROR(INDEX('Claim Data'!$D$4:$D$282,MATCH($B27&amp;V$6,'Claim Data'!$C$4:$C$282&amp;'Claim Data'!$B$4:$B$282,0)),"")</f>
        <v>880000</v>
      </c>
      <c r="W27" s="33">
        <f t="array" ref="W27">IFERROR(INDEX('Claim Data'!$D$4:$D$282,MATCH($B27&amp;W$6,'Claim Data'!$C$4:$C$282&amp;'Claim Data'!$B$4:$B$282,0)),"")</f>
        <v>4785000</v>
      </c>
      <c r="X27" s="33">
        <f t="array" ref="X27">IFERROR(INDEX('Claim Data'!$D$4:$D$282,MATCH($B27&amp;X$6,'Claim Data'!$C$4:$C$282&amp;'Claim Data'!$B$4:$B$282,0)),"")</f>
        <v>1355000</v>
      </c>
      <c r="Y27" s="33" t="str">
        <f t="array" ref="Y27">IFERROR(INDEX('Claim Data'!$D$4:$D$282,MATCH($B27&amp;Y$6,'Claim Data'!$C$4:$C$282&amp;'Claim Data'!$B$4:$B$282,0)),"")</f>
        <v/>
      </c>
      <c r="Z27" s="33" t="str">
        <f t="array" ref="Z27">IFERROR(INDEX('Claim Data'!$D$4:$D$282,MATCH($B27&amp;Z$6,'Claim Data'!$C$4:$C$282&amp;'Claim Data'!$B$4:$B$282,0)),"")</f>
        <v/>
      </c>
      <c r="AA27" s="33" t="str">
        <f t="array" ref="AA27">IFERROR(INDEX('Claim Data'!$D$4:$D$282,MATCH($B27&amp;AA$6,'Claim Data'!$C$4:$C$282&amp;'Claim Data'!$B$4:$B$282,0)),"")</f>
        <v/>
      </c>
    </row>
    <row r="28" spans="2:27" x14ac:dyDescent="0.25">
      <c r="B28" s="23">
        <f t="shared" si="2"/>
        <v>41183</v>
      </c>
      <c r="C28" s="33">
        <f t="shared" si="1"/>
        <v>8976000</v>
      </c>
      <c r="D28" s="33" t="str">
        <f t="array" ref="D28">IFERROR(INDEX('Claim Data'!$D$4:$D$282,MATCH($B28&amp;D$6,'Claim Data'!$C$4:$C$282&amp;'Claim Data'!$B$4:$B$282,0)),"")</f>
        <v/>
      </c>
      <c r="E28" s="33" t="str">
        <f t="array" ref="E28">IFERROR(INDEX('Claim Data'!$D$4:$D$282,MATCH($B28&amp;E$6,'Claim Data'!$C$4:$C$282&amp;'Claim Data'!$B$4:$B$282,0)),"")</f>
        <v/>
      </c>
      <c r="F28" s="33" t="str">
        <f t="array" ref="F28">IFERROR(INDEX('Claim Data'!$D$4:$D$282,MATCH($B28&amp;F$6,'Claim Data'!$C$4:$C$282&amp;'Claim Data'!$B$4:$B$282,0)),"")</f>
        <v/>
      </c>
      <c r="G28" s="33" t="str">
        <f t="array" ref="G28">IFERROR(INDEX('Claim Data'!$D$4:$D$282,MATCH($B28&amp;G$6,'Claim Data'!$C$4:$C$282&amp;'Claim Data'!$B$4:$B$282,0)),"")</f>
        <v/>
      </c>
      <c r="H28" s="33">
        <f t="array" ref="H28">IFERROR(INDEX('Claim Data'!$D$4:$D$282,MATCH($B28&amp;H$6,'Claim Data'!$C$4:$C$282&amp;'Claim Data'!$B$4:$B$282,0)),"")</f>
        <v>5000</v>
      </c>
      <c r="I28" s="33">
        <f t="array" ref="I28">IFERROR(INDEX('Claim Data'!$D$4:$D$282,MATCH($B28&amp;I$6,'Claim Data'!$C$4:$C$282&amp;'Claim Data'!$B$4:$B$282,0)),"")</f>
        <v>15000</v>
      </c>
      <c r="J28" s="33">
        <f t="array" ref="J28">IFERROR(INDEX('Claim Data'!$D$4:$D$282,MATCH($B28&amp;J$6,'Claim Data'!$C$4:$C$282&amp;'Claim Data'!$B$4:$B$282,0)),"")</f>
        <v>-11000</v>
      </c>
      <c r="K28" s="33">
        <f t="array" ref="K28">IFERROR(INDEX('Claim Data'!$D$4:$D$282,MATCH($B28&amp;K$6,'Claim Data'!$C$4:$C$282&amp;'Claim Data'!$B$4:$B$282,0)),"")</f>
        <v>-2000</v>
      </c>
      <c r="L28" s="33">
        <f t="array" ref="L28">IFERROR(INDEX('Claim Data'!$D$4:$D$282,MATCH($B28&amp;L$6,'Claim Data'!$C$4:$C$282&amp;'Claim Data'!$B$4:$B$282,0)),"")</f>
        <v>3000</v>
      </c>
      <c r="M28" s="33">
        <f t="array" ref="M28">IFERROR(INDEX('Claim Data'!$D$4:$D$282,MATCH($B28&amp;M$6,'Claim Data'!$C$4:$C$282&amp;'Claim Data'!$B$4:$B$282,0)),"")</f>
        <v>-8000</v>
      </c>
      <c r="N28" s="33">
        <f t="array" ref="N28">IFERROR(INDEX('Claim Data'!$D$4:$D$282,MATCH($B28&amp;N$6,'Claim Data'!$C$4:$C$282&amp;'Claim Data'!$B$4:$B$282,0)),"")</f>
        <v>-15000</v>
      </c>
      <c r="O28" s="33">
        <f t="array" ref="O28">IFERROR(INDEX('Claim Data'!$D$4:$D$282,MATCH($B28&amp;O$6,'Claim Data'!$C$4:$C$282&amp;'Claim Data'!$B$4:$B$282,0)),"")</f>
        <v>-9000</v>
      </c>
      <c r="P28" s="33">
        <f t="array" ref="P28">IFERROR(INDEX('Claim Data'!$D$4:$D$282,MATCH($B28&amp;P$6,'Claim Data'!$C$4:$C$282&amp;'Claim Data'!$B$4:$B$282,0)),"")</f>
        <v>25000</v>
      </c>
      <c r="Q28" s="33">
        <f t="array" ref="Q28">IFERROR(INDEX('Claim Data'!$D$4:$D$282,MATCH($B28&amp;Q$6,'Claim Data'!$C$4:$C$282&amp;'Claim Data'!$B$4:$B$282,0)),"")</f>
        <v>27000</v>
      </c>
      <c r="R28" s="33">
        <f t="array" ref="R28">IFERROR(INDEX('Claim Data'!$D$4:$D$282,MATCH($B28&amp;R$6,'Claim Data'!$C$4:$C$282&amp;'Claim Data'!$B$4:$B$282,0)),"")</f>
        <v>56000</v>
      </c>
      <c r="S28" s="33">
        <f t="array" ref="S28">IFERROR(INDEX('Claim Data'!$D$4:$D$282,MATCH($B28&amp;S$6,'Claim Data'!$C$4:$C$282&amp;'Claim Data'!$B$4:$B$282,0)),"")</f>
        <v>63000</v>
      </c>
      <c r="T28" s="33">
        <f t="array" ref="T28">IFERROR(INDEX('Claim Data'!$D$4:$D$282,MATCH($B28&amp;T$6,'Claim Data'!$C$4:$C$282&amp;'Claim Data'!$B$4:$B$282,0)),"")</f>
        <v>60000</v>
      </c>
      <c r="U28" s="33">
        <f t="array" ref="U28">IFERROR(INDEX('Claim Data'!$D$4:$D$282,MATCH($B28&amp;U$6,'Claim Data'!$C$4:$C$282&amp;'Claim Data'!$B$4:$B$282,0)),"")</f>
        <v>135000</v>
      </c>
      <c r="V28" s="33">
        <f t="array" ref="V28">IFERROR(INDEX('Claim Data'!$D$4:$D$282,MATCH($B28&amp;V$6,'Claim Data'!$C$4:$C$282&amp;'Claim Data'!$B$4:$B$282,0)),"")</f>
        <v>423000</v>
      </c>
      <c r="W28" s="33">
        <f t="array" ref="W28">IFERROR(INDEX('Claim Data'!$D$4:$D$282,MATCH($B28&amp;W$6,'Claim Data'!$C$4:$C$282&amp;'Claim Data'!$B$4:$B$282,0)),"")</f>
        <v>1518000</v>
      </c>
      <c r="X28" s="33">
        <f t="array" ref="X28">IFERROR(INDEX('Claim Data'!$D$4:$D$282,MATCH($B28&amp;X$6,'Claim Data'!$C$4:$C$282&amp;'Claim Data'!$B$4:$B$282,0)),"")</f>
        <v>4888000</v>
      </c>
      <c r="Y28" s="33">
        <f t="array" ref="Y28">IFERROR(INDEX('Claim Data'!$D$4:$D$282,MATCH($B28&amp;Y$6,'Claim Data'!$C$4:$C$282&amp;'Claim Data'!$B$4:$B$282,0)),"")</f>
        <v>1803000</v>
      </c>
      <c r="Z28" s="33" t="str">
        <f t="array" ref="Z28">IFERROR(INDEX('Claim Data'!$D$4:$D$282,MATCH($B28&amp;Z$6,'Claim Data'!$C$4:$C$282&amp;'Claim Data'!$B$4:$B$282,0)),"")</f>
        <v/>
      </c>
      <c r="AA28" s="33" t="str">
        <f t="array" ref="AA28">IFERROR(INDEX('Claim Data'!$D$4:$D$282,MATCH($B28&amp;AA$6,'Claim Data'!$C$4:$C$282&amp;'Claim Data'!$B$4:$B$282,0)),"")</f>
        <v/>
      </c>
    </row>
    <row r="29" spans="2:27" x14ac:dyDescent="0.25">
      <c r="B29" s="23">
        <f t="shared" si="2"/>
        <v>41214</v>
      </c>
      <c r="C29" s="33">
        <f t="shared" si="1"/>
        <v>7401000</v>
      </c>
      <c r="D29" s="33" t="str">
        <f t="array" ref="D29">IFERROR(INDEX('Claim Data'!$D$4:$D$282,MATCH($B29&amp;D$6,'Claim Data'!$C$4:$C$282&amp;'Claim Data'!$B$4:$B$282,0)),"")</f>
        <v/>
      </c>
      <c r="E29" s="33" t="str">
        <f t="array" ref="E29">IFERROR(INDEX('Claim Data'!$D$4:$D$282,MATCH($B29&amp;E$6,'Claim Data'!$C$4:$C$282&amp;'Claim Data'!$B$4:$B$282,0)),"")</f>
        <v/>
      </c>
      <c r="F29" s="33" t="str">
        <f t="array" ref="F29">IFERROR(INDEX('Claim Data'!$D$4:$D$282,MATCH($B29&amp;F$6,'Claim Data'!$C$4:$C$282&amp;'Claim Data'!$B$4:$B$282,0)),"")</f>
        <v/>
      </c>
      <c r="G29" s="33" t="str">
        <f t="array" ref="G29">IFERROR(INDEX('Claim Data'!$D$4:$D$282,MATCH($B29&amp;G$6,'Claim Data'!$C$4:$C$282&amp;'Claim Data'!$B$4:$B$282,0)),"")</f>
        <v/>
      </c>
      <c r="H29" s="33" t="str">
        <f t="array" ref="H29">IFERROR(INDEX('Claim Data'!$D$4:$D$282,MATCH($B29&amp;H$6,'Claim Data'!$C$4:$C$282&amp;'Claim Data'!$B$4:$B$282,0)),"")</f>
        <v/>
      </c>
      <c r="I29" s="33">
        <f t="array" ref="I29">IFERROR(INDEX('Claim Data'!$D$4:$D$282,MATCH($B29&amp;I$6,'Claim Data'!$C$4:$C$282&amp;'Claim Data'!$B$4:$B$282,0)),"")</f>
        <v>-1000</v>
      </c>
      <c r="J29" s="33">
        <f t="array" ref="J29">IFERROR(INDEX('Claim Data'!$D$4:$D$282,MATCH($B29&amp;J$6,'Claim Data'!$C$4:$C$282&amp;'Claim Data'!$B$4:$B$282,0)),"")</f>
        <v>25000</v>
      </c>
      <c r="K29" s="33">
        <f t="array" ref="K29">IFERROR(INDEX('Claim Data'!$D$4:$D$282,MATCH($B29&amp;K$6,'Claim Data'!$C$4:$C$282&amp;'Claim Data'!$B$4:$B$282,0)),"")</f>
        <v>-1000</v>
      </c>
      <c r="L29" s="33">
        <f t="array" ref="L29">IFERROR(INDEX('Claim Data'!$D$4:$D$282,MATCH($B29&amp;L$6,'Claim Data'!$C$4:$C$282&amp;'Claim Data'!$B$4:$B$282,0)),"")</f>
        <v>61000</v>
      </c>
      <c r="M29" s="33">
        <f t="array" ref="M29">IFERROR(INDEX('Claim Data'!$D$4:$D$282,MATCH($B29&amp;M$6,'Claim Data'!$C$4:$C$282&amp;'Claim Data'!$B$4:$B$282,0)),"")</f>
        <v>-5000</v>
      </c>
      <c r="N29" s="33">
        <f t="array" ref="N29">IFERROR(INDEX('Claim Data'!$D$4:$D$282,MATCH($B29&amp;N$6,'Claim Data'!$C$4:$C$282&amp;'Claim Data'!$B$4:$B$282,0)),"")</f>
        <v>-7000</v>
      </c>
      <c r="O29" s="33">
        <f t="array" ref="O29">IFERROR(INDEX('Claim Data'!$D$4:$D$282,MATCH($B29&amp;O$6,'Claim Data'!$C$4:$C$282&amp;'Claim Data'!$B$4:$B$282,0)),"")</f>
        <v>0</v>
      </c>
      <c r="P29" s="33">
        <f t="array" ref="P29">IFERROR(INDEX('Claim Data'!$D$4:$D$282,MATCH($B29&amp;P$6,'Claim Data'!$C$4:$C$282&amp;'Claim Data'!$B$4:$B$282,0)),"")</f>
        <v>-20000</v>
      </c>
      <c r="Q29" s="33">
        <f t="array" ref="Q29">IFERROR(INDEX('Claim Data'!$D$4:$D$282,MATCH($B29&amp;Q$6,'Claim Data'!$C$4:$C$282&amp;'Claim Data'!$B$4:$B$282,0)),"")</f>
        <v>2000</v>
      </c>
      <c r="R29" s="33">
        <f t="array" ref="R29">IFERROR(INDEX('Claim Data'!$D$4:$D$282,MATCH($B29&amp;R$6,'Claim Data'!$C$4:$C$282&amp;'Claim Data'!$B$4:$B$282,0)),"")</f>
        <v>13000</v>
      </c>
      <c r="S29" s="33">
        <f t="array" ref="S29">IFERROR(INDEX('Claim Data'!$D$4:$D$282,MATCH($B29&amp;S$6,'Claim Data'!$C$4:$C$282&amp;'Claim Data'!$B$4:$B$282,0)),"")</f>
        <v>17000</v>
      </c>
      <c r="T29" s="33">
        <f t="array" ref="T29">IFERROR(INDEX('Claim Data'!$D$4:$D$282,MATCH($B29&amp;T$6,'Claim Data'!$C$4:$C$282&amp;'Claim Data'!$B$4:$B$282,0)),"")</f>
        <v>74000</v>
      </c>
      <c r="U29" s="33">
        <f t="array" ref="U29">IFERROR(INDEX('Claim Data'!$D$4:$D$282,MATCH($B29&amp;U$6,'Claim Data'!$C$4:$C$282&amp;'Claim Data'!$B$4:$B$282,0)),"")</f>
        <v>77000</v>
      </c>
      <c r="V29" s="33">
        <f t="array" ref="V29">IFERROR(INDEX('Claim Data'!$D$4:$D$282,MATCH($B29&amp;V$6,'Claim Data'!$C$4:$C$282&amp;'Claim Data'!$B$4:$B$282,0)),"")</f>
        <v>146000</v>
      </c>
      <c r="W29" s="33">
        <f t="array" ref="W29">IFERROR(INDEX('Claim Data'!$D$4:$D$282,MATCH($B29&amp;W$6,'Claim Data'!$C$4:$C$282&amp;'Claim Data'!$B$4:$B$282,0)),"")</f>
        <v>417000</v>
      </c>
      <c r="X29" s="33">
        <f t="array" ref="X29">IFERROR(INDEX('Claim Data'!$D$4:$D$282,MATCH($B29&amp;X$6,'Claim Data'!$C$4:$C$282&amp;'Claim Data'!$B$4:$B$282,0)),"")</f>
        <v>743000</v>
      </c>
      <c r="Y29" s="33">
        <f t="array" ref="Y29">IFERROR(INDEX('Claim Data'!$D$4:$D$282,MATCH($B29&amp;Y$6,'Claim Data'!$C$4:$C$282&amp;'Claim Data'!$B$4:$B$282,0)),"")</f>
        <v>4503000</v>
      </c>
      <c r="Z29" s="33">
        <f t="array" ref="Z29">IFERROR(INDEX('Claim Data'!$D$4:$D$282,MATCH($B29&amp;Z$6,'Claim Data'!$C$4:$C$282&amp;'Claim Data'!$B$4:$B$282,0)),"")</f>
        <v>1357000</v>
      </c>
      <c r="AA29" s="33" t="str">
        <f t="array" ref="AA29">IFERROR(INDEX('Claim Data'!$D$4:$D$282,MATCH($B29&amp;AA$6,'Claim Data'!$C$4:$C$282&amp;'Claim Data'!$B$4:$B$282,0)),"")</f>
        <v/>
      </c>
    </row>
    <row r="30" spans="2:27" x14ac:dyDescent="0.25">
      <c r="B30" s="23">
        <f>EDATE(B29,1)</f>
        <v>41244</v>
      </c>
      <c r="C30" s="33">
        <f t="shared" si="1"/>
        <v>8973000</v>
      </c>
      <c r="D30" s="33" t="str">
        <f t="array" ref="D30">IFERROR(INDEX('Claim Data'!$D$4:$D$282,MATCH($B30&amp;D$6,'Claim Data'!$C$4:$C$282&amp;'Claim Data'!$B$4:$B$282,0)),"")</f>
        <v/>
      </c>
      <c r="E30" s="33" t="str">
        <f t="array" ref="E30">IFERROR(INDEX('Claim Data'!$D$4:$D$282,MATCH($B30&amp;E$6,'Claim Data'!$C$4:$C$282&amp;'Claim Data'!$B$4:$B$282,0)),"")</f>
        <v/>
      </c>
      <c r="F30" s="33" t="str">
        <f t="array" ref="F30">IFERROR(INDEX('Claim Data'!$D$4:$D$282,MATCH($B30&amp;F$6,'Claim Data'!$C$4:$C$282&amp;'Claim Data'!$B$4:$B$282,0)),"")</f>
        <v/>
      </c>
      <c r="G30" s="33" t="str">
        <f t="array" ref="G30">IFERROR(INDEX('Claim Data'!$D$4:$D$282,MATCH($B30&amp;G$6,'Claim Data'!$C$4:$C$282&amp;'Claim Data'!$B$4:$B$282,0)),"")</f>
        <v/>
      </c>
      <c r="H30" s="33" t="str">
        <f t="array" ref="H30">IFERROR(INDEX('Claim Data'!$D$4:$D$282,MATCH($B30&amp;H$6,'Claim Data'!$C$4:$C$282&amp;'Claim Data'!$B$4:$B$282,0)),"")</f>
        <v/>
      </c>
      <c r="I30" s="33" t="str">
        <f t="array" ref="I30">IFERROR(INDEX('Claim Data'!$D$4:$D$282,MATCH($B30&amp;I$6,'Claim Data'!$C$4:$C$282&amp;'Claim Data'!$B$4:$B$282,0)),"")</f>
        <v/>
      </c>
      <c r="J30" s="33">
        <f t="array" ref="J30">IFERROR(INDEX('Claim Data'!$D$4:$D$282,MATCH($B30&amp;J$6,'Claim Data'!$C$4:$C$282&amp;'Claim Data'!$B$4:$B$282,0)),"")</f>
        <v>2000</v>
      </c>
      <c r="K30" s="33">
        <f t="array" ref="K30">IFERROR(INDEX('Claim Data'!$D$4:$D$282,MATCH($B30&amp;K$6,'Claim Data'!$C$4:$C$282&amp;'Claim Data'!$B$4:$B$282,0)),"")</f>
        <v>12000</v>
      </c>
      <c r="L30" s="33">
        <f t="array" ref="L30">IFERROR(INDEX('Claim Data'!$D$4:$D$282,MATCH($B30&amp;L$6,'Claim Data'!$C$4:$C$282&amp;'Claim Data'!$B$4:$B$282,0)),"")</f>
        <v>5000</v>
      </c>
      <c r="M30" s="33">
        <f t="array" ref="M30">IFERROR(INDEX('Claim Data'!$D$4:$D$282,MATCH($B30&amp;M$6,'Claim Data'!$C$4:$C$282&amp;'Claim Data'!$B$4:$B$282,0)),"")</f>
        <v>11000</v>
      </c>
      <c r="N30" s="33">
        <f t="array" ref="N30">IFERROR(INDEX('Claim Data'!$D$4:$D$282,MATCH($B30&amp;N$6,'Claim Data'!$C$4:$C$282&amp;'Claim Data'!$B$4:$B$282,0)),"")</f>
        <v>21000</v>
      </c>
      <c r="O30" s="33">
        <f t="array" ref="O30">IFERROR(INDEX('Claim Data'!$D$4:$D$282,MATCH($B30&amp;O$6,'Claim Data'!$C$4:$C$282&amp;'Claim Data'!$B$4:$B$282,0)),"")</f>
        <v>-4000</v>
      </c>
      <c r="P30" s="33">
        <f t="array" ref="P30">IFERROR(INDEX('Claim Data'!$D$4:$D$282,MATCH($B30&amp;P$6,'Claim Data'!$C$4:$C$282&amp;'Claim Data'!$B$4:$B$282,0)),"")</f>
        <v>50000</v>
      </c>
      <c r="Q30" s="33">
        <f t="array" ref="Q30">IFERROR(INDEX('Claim Data'!$D$4:$D$282,MATCH($B30&amp;Q$6,'Claim Data'!$C$4:$C$282&amp;'Claim Data'!$B$4:$B$282,0)),"")</f>
        <v>-5000</v>
      </c>
      <c r="R30" s="33">
        <f t="array" ref="R30">IFERROR(INDEX('Claim Data'!$D$4:$D$282,MATCH($B30&amp;R$6,'Claim Data'!$C$4:$C$282&amp;'Claim Data'!$B$4:$B$282,0)),"")</f>
        <v>38000</v>
      </c>
      <c r="S30" s="33">
        <f t="array" ref="S30">IFERROR(INDEX('Claim Data'!$D$4:$D$282,MATCH($B30&amp;S$6,'Claim Data'!$C$4:$C$282&amp;'Claim Data'!$B$4:$B$282,0)),"")</f>
        <v>24000</v>
      </c>
      <c r="T30" s="33">
        <f t="array" ref="T30">IFERROR(INDEX('Claim Data'!$D$4:$D$282,MATCH($B30&amp;T$6,'Claim Data'!$C$4:$C$282&amp;'Claim Data'!$B$4:$B$282,0)),"")</f>
        <v>-14000</v>
      </c>
      <c r="U30" s="33">
        <f t="array" ref="U30">IFERROR(INDEX('Claim Data'!$D$4:$D$282,MATCH($B30&amp;U$6,'Claim Data'!$C$4:$C$282&amp;'Claim Data'!$B$4:$B$282,0)),"")</f>
        <v>38000</v>
      </c>
      <c r="V30" s="33">
        <f t="array" ref="V30">IFERROR(INDEX('Claim Data'!$D$4:$D$282,MATCH($B30&amp;V$6,'Claim Data'!$C$4:$C$282&amp;'Claim Data'!$B$4:$B$282,0)),"")</f>
        <v>69000</v>
      </c>
      <c r="W30" s="33">
        <f t="array" ref="W30">IFERROR(INDEX('Claim Data'!$D$4:$D$282,MATCH($B30&amp;W$6,'Claim Data'!$C$4:$C$282&amp;'Claim Data'!$B$4:$B$282,0)),"")</f>
        <v>187000</v>
      </c>
      <c r="X30" s="33">
        <f t="array" ref="X30">IFERROR(INDEX('Claim Data'!$D$4:$D$282,MATCH($B30&amp;X$6,'Claim Data'!$C$4:$C$282&amp;'Claim Data'!$B$4:$B$282,0)),"")</f>
        <v>386000</v>
      </c>
      <c r="Y30" s="33">
        <f t="array" ref="Y30">IFERROR(INDEX('Claim Data'!$D$4:$D$282,MATCH($B30&amp;Y$6,'Claim Data'!$C$4:$C$282&amp;'Claim Data'!$B$4:$B$282,0)),"")</f>
        <v>876000</v>
      </c>
      <c r="Z30" s="33">
        <f t="array" ref="Z30">IFERROR(INDEX('Claim Data'!$D$4:$D$282,MATCH($B30&amp;Z$6,'Claim Data'!$C$4:$C$282&amp;'Claim Data'!$B$4:$B$282,0)),"")</f>
        <v>5339000</v>
      </c>
      <c r="AA30" s="33">
        <f t="array" ref="AA30">IFERROR(INDEX('Claim Data'!$D$4:$D$282,MATCH($B30&amp;AA$6,'Claim Data'!$C$4:$C$282&amp;'Claim Data'!$B$4:$B$282,0)),"")</f>
        <v>1938000</v>
      </c>
    </row>
    <row r="31" spans="2:27" x14ac:dyDescent="0.25">
      <c r="B31" s="24" t="s">
        <v>14</v>
      </c>
      <c r="C31" s="33">
        <f t="shared" si="1"/>
        <v>205299500</v>
      </c>
      <c r="D31" s="33">
        <f>SUM(D7:D30)</f>
        <v>9971000</v>
      </c>
      <c r="E31" s="33">
        <f t="shared" ref="E31:G31" si="3">SUM(E7:E30)</f>
        <v>8351000</v>
      </c>
      <c r="F31" s="33">
        <f t="shared" si="3"/>
        <v>10797000</v>
      </c>
      <c r="G31" s="33">
        <f t="shared" si="3"/>
        <v>9382000</v>
      </c>
      <c r="H31" s="33">
        <f t="shared" ref="H31" si="4">SUM(H7:H30)</f>
        <v>9536000</v>
      </c>
      <c r="I31" s="33">
        <f t="shared" ref="I31:J31" si="5">SUM(I7:I30)</f>
        <v>10355000</v>
      </c>
      <c r="J31" s="33">
        <f t="shared" si="5"/>
        <v>9137000</v>
      </c>
      <c r="K31" s="33">
        <f>SUM(K7:K30)</f>
        <v>9459500</v>
      </c>
      <c r="L31" s="33">
        <f t="shared" ref="L31" si="6">SUM(L7:L30)</f>
        <v>8691000</v>
      </c>
      <c r="M31" s="33">
        <f t="shared" ref="M31" si="7">SUM(M7:M30)</f>
        <v>8663000</v>
      </c>
      <c r="N31" s="33">
        <f t="shared" ref="N31" si="8">SUM(N7:N30)</f>
        <v>9294000</v>
      </c>
      <c r="O31" s="33">
        <f t="shared" ref="O31" si="9">SUM(O7:O30)</f>
        <v>8525000</v>
      </c>
      <c r="P31" s="33">
        <f t="shared" ref="P31" si="10">SUM(P7:P30)</f>
        <v>8304000</v>
      </c>
      <c r="Q31" s="33">
        <f t="shared" ref="Q31" si="11">SUM(Q7:Q30)</f>
        <v>8174000</v>
      </c>
      <c r="R31" s="33">
        <f>SUM(R7:R30)</f>
        <v>9546000</v>
      </c>
      <c r="S31" s="33">
        <f t="shared" ref="S31" si="12">SUM(S7:S30)</f>
        <v>9167000</v>
      </c>
      <c r="T31" s="33">
        <f t="shared" ref="T31" si="13">SUM(T7:T30)</f>
        <v>9277000</v>
      </c>
      <c r="U31" s="33">
        <f t="shared" ref="U31" si="14">SUM(U7:U30)</f>
        <v>8983000</v>
      </c>
      <c r="V31" s="33">
        <f t="shared" ref="V31" si="15">SUM(V7:V30)</f>
        <v>7907000</v>
      </c>
      <c r="W31" s="33">
        <f t="shared" ref="W31" si="16">SUM(W7:W30)</f>
        <v>8592000</v>
      </c>
      <c r="X31" s="33">
        <f t="shared" ref="X31" si="17">SUM(X7:X30)</f>
        <v>7372000</v>
      </c>
      <c r="Y31" s="33">
        <f>SUM(Y7:Y30)</f>
        <v>7182000</v>
      </c>
      <c r="Z31" s="33">
        <f t="shared" ref="Z31" si="18">SUM(Z7:Z30)</f>
        <v>6696000</v>
      </c>
      <c r="AA31" s="33">
        <f t="shared" ref="AA31" si="19">SUM(AA7:AA30)</f>
        <v>1938000</v>
      </c>
    </row>
    <row r="33" spans="2:27" x14ac:dyDescent="0.25">
      <c r="B33" s="26" t="s">
        <v>17</v>
      </c>
      <c r="C33" s="26" t="s">
        <v>18</v>
      </c>
      <c r="D33" s="32">
        <f>(LOOKUP(D$6,'Claim Data'!$G$4:$G$27,'Claim Data'!$H$4:$H$27))/1000</f>
        <v>47.76</v>
      </c>
      <c r="E33" s="32">
        <f>(LOOKUP(E$6,'Claim Data'!$G$4:$G$27,'Claim Data'!$H$4:$H$27))/1000</f>
        <v>46.98</v>
      </c>
      <c r="F33" s="32">
        <f>(LOOKUP(F$6,'Claim Data'!$G$4:$G$27,'Claim Data'!$H$4:$H$27))/1000</f>
        <v>46.3</v>
      </c>
      <c r="G33" s="32">
        <f>(LOOKUP(G$6,'Claim Data'!$G$4:$G$27,'Claim Data'!$H$4:$H$27))/1000</f>
        <v>45.52</v>
      </c>
      <c r="H33" s="32">
        <f>(LOOKUP(H$6,'Claim Data'!$G$4:$G$27,'Claim Data'!$H$4:$H$27))/1000</f>
        <v>45.38</v>
      </c>
      <c r="I33" s="32">
        <f>(LOOKUP(I$6,'Claim Data'!$G$4:$G$27,'Claim Data'!$H$4:$H$27))/1000</f>
        <v>44.72</v>
      </c>
      <c r="J33" s="32">
        <f>(LOOKUP(J$6,'Claim Data'!$G$4:$G$27,'Claim Data'!$H$4:$H$27))/1000</f>
        <v>43.52</v>
      </c>
      <c r="K33" s="32">
        <f>(LOOKUP(K$6,'Claim Data'!$G$4:$G$27,'Claim Data'!$H$4:$H$27))/1000</f>
        <v>42.5</v>
      </c>
      <c r="L33" s="32">
        <f>(LOOKUP(L$6,'Claim Data'!$G$4:$G$27,'Claim Data'!$H$4:$H$27))/1000</f>
        <v>42.36</v>
      </c>
      <c r="M33" s="32">
        <f>(LOOKUP(M$6,'Claim Data'!$G$4:$G$27,'Claim Data'!$H$4:$H$27))/1000</f>
        <v>42.02</v>
      </c>
      <c r="N33" s="32">
        <f>(LOOKUP(N$6,'Claim Data'!$G$4:$G$27,'Claim Data'!$H$4:$H$27))/1000</f>
        <v>41.85</v>
      </c>
      <c r="O33" s="32">
        <f>(LOOKUP(O$6,'Claim Data'!$G$4:$G$27,'Claim Data'!$H$4:$H$27))/1000</f>
        <v>42.25</v>
      </c>
      <c r="P33" s="32">
        <f>(LOOKUP(P$6,'Claim Data'!$G$4:$G$27,'Claim Data'!$H$4:$H$27))/1000</f>
        <v>37.43</v>
      </c>
      <c r="Q33" s="32">
        <f>(LOOKUP(Q$6,'Claim Data'!$G$4:$G$27,'Claim Data'!$H$4:$H$27))/1000</f>
        <v>39.35</v>
      </c>
      <c r="R33" s="32">
        <f>(LOOKUP(R$6,'Claim Data'!$G$4:$G$27,'Claim Data'!$H$4:$H$27))/1000</f>
        <v>40.06</v>
      </c>
      <c r="S33" s="32">
        <f>(LOOKUP(S$6,'Claim Data'!$G$4:$G$27,'Claim Data'!$H$4:$H$27))/1000</f>
        <v>40.17</v>
      </c>
      <c r="T33" s="32">
        <f>(LOOKUP(T$6,'Claim Data'!$G$4:$G$27,'Claim Data'!$H$4:$H$27))/1000</f>
        <v>40.22</v>
      </c>
      <c r="U33" s="32">
        <f>(LOOKUP(U$6,'Claim Data'!$G$4:$G$27,'Claim Data'!$H$4:$H$27))/1000</f>
        <v>40.42</v>
      </c>
      <c r="V33" s="32">
        <f>(LOOKUP(V$6,'Claim Data'!$G$4:$G$27,'Claim Data'!$H$4:$H$27))/1000</f>
        <v>40.799999999999997</v>
      </c>
      <c r="W33" s="32">
        <f>(LOOKUP(W$6,'Claim Data'!$G$4:$G$27,'Claim Data'!$H$4:$H$27))/1000</f>
        <v>40.69</v>
      </c>
      <c r="X33" s="32">
        <f>(LOOKUP(X$6,'Claim Data'!$G$4:$G$27,'Claim Data'!$H$4:$H$27))/1000</f>
        <v>40.49</v>
      </c>
      <c r="Y33" s="32">
        <f>(LOOKUP(Y$6,'Claim Data'!$G$4:$G$27,'Claim Data'!$H$4:$H$27))/1000</f>
        <v>40.479999999999997</v>
      </c>
      <c r="Z33" s="32">
        <f>(LOOKUP(Z$6,'Claim Data'!$G$4:$G$27,'Claim Data'!$H$4:$H$27))/1000</f>
        <v>40.4</v>
      </c>
      <c r="AA33" s="32">
        <f>(LOOKUP(AA$6,'Claim Data'!$G$4:$G$27,'Claim Data'!$H$4:$H$27))/1000</f>
        <v>40.11</v>
      </c>
    </row>
    <row r="36" spans="2:27" ht="18.75" x14ac:dyDescent="0.3">
      <c r="C36" s="37" t="s">
        <v>19</v>
      </c>
      <c r="D36" s="37"/>
      <c r="E36" s="37"/>
      <c r="F36" s="37"/>
      <c r="G36" s="37"/>
      <c r="H36" s="37"/>
      <c r="I36" s="37"/>
    </row>
    <row r="37" spans="2:27" ht="15.75" x14ac:dyDescent="0.25">
      <c r="C37" s="38" t="s">
        <v>20</v>
      </c>
      <c r="D37" s="38"/>
      <c r="E37" s="38"/>
      <c r="F37" s="38"/>
      <c r="G37" s="38"/>
      <c r="H37" s="38"/>
      <c r="I37" s="38"/>
      <c r="J37" s="38"/>
      <c r="K37" s="38"/>
      <c r="L37" s="38"/>
      <c r="M37" s="38"/>
    </row>
    <row r="38" spans="2:27" ht="15.75" thickBot="1" x14ac:dyDescent="0.3"/>
    <row r="39" spans="2:27" ht="19.5" thickBot="1" x14ac:dyDescent="0.35">
      <c r="C39" s="34" t="s">
        <v>22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6"/>
    </row>
    <row r="40" spans="2:27" ht="30" customHeight="1" thickTop="1" x14ac:dyDescent="0.25">
      <c r="B40" s="27" t="s">
        <v>21</v>
      </c>
      <c r="C40" s="24" t="s">
        <v>14</v>
      </c>
      <c r="D40" s="29">
        <f>B7</f>
        <v>40544</v>
      </c>
      <c r="E40" s="25">
        <f>EDATE(D40,1)</f>
        <v>40575</v>
      </c>
      <c r="F40" s="25">
        <f t="shared" ref="F40:AA40" si="20">EDATE(E40,1)</f>
        <v>40603</v>
      </c>
      <c r="G40" s="25">
        <f t="shared" si="20"/>
        <v>40634</v>
      </c>
      <c r="H40" s="25">
        <f t="shared" si="20"/>
        <v>40664</v>
      </c>
      <c r="I40" s="25">
        <f t="shared" si="20"/>
        <v>40695</v>
      </c>
      <c r="J40" s="25">
        <f t="shared" si="20"/>
        <v>40725</v>
      </c>
      <c r="K40" s="25">
        <f t="shared" si="20"/>
        <v>40756</v>
      </c>
      <c r="L40" s="25">
        <f t="shared" si="20"/>
        <v>40787</v>
      </c>
      <c r="M40" s="25">
        <f t="shared" si="20"/>
        <v>40817</v>
      </c>
      <c r="N40" s="25">
        <f t="shared" si="20"/>
        <v>40848</v>
      </c>
      <c r="O40" s="25">
        <f t="shared" si="20"/>
        <v>40878</v>
      </c>
      <c r="P40" s="25">
        <f t="shared" si="20"/>
        <v>40909</v>
      </c>
      <c r="Q40" s="25">
        <f t="shared" si="20"/>
        <v>40940</v>
      </c>
      <c r="R40" s="25">
        <f t="shared" si="20"/>
        <v>40969</v>
      </c>
      <c r="S40" s="25">
        <f t="shared" si="20"/>
        <v>41000</v>
      </c>
      <c r="T40" s="25">
        <f t="shared" si="20"/>
        <v>41030</v>
      </c>
      <c r="U40" s="25">
        <f t="shared" si="20"/>
        <v>41061</v>
      </c>
      <c r="V40" s="25">
        <f t="shared" si="20"/>
        <v>41091</v>
      </c>
      <c r="W40" s="25">
        <f t="shared" si="20"/>
        <v>41122</v>
      </c>
      <c r="X40" s="25">
        <f t="shared" si="20"/>
        <v>41153</v>
      </c>
      <c r="Y40" s="25">
        <f t="shared" si="20"/>
        <v>41183</v>
      </c>
      <c r="Z40" s="25">
        <f t="shared" si="20"/>
        <v>41214</v>
      </c>
      <c r="AA40" s="25">
        <f t="shared" si="20"/>
        <v>41244</v>
      </c>
    </row>
    <row r="41" spans="2:27" x14ac:dyDescent="0.25">
      <c r="B41" s="30">
        <f>'Claim Data'!B4</f>
        <v>40544</v>
      </c>
      <c r="C41" s="33">
        <f>SUM(D41:AA41)</f>
        <v>329000</v>
      </c>
      <c r="D41" s="33">
        <f t="array" ref="D41">IFERROR(INDEX('Claim Data'!$E$4:$E$282,MATCH($B7&amp;D$6,'Claim Data'!$C$4:$C$282&amp;'Claim Data'!$B$4:$B$282,0)),"")</f>
        <v>329000</v>
      </c>
      <c r="E41" s="33" t="str">
        <f t="array" ref="E41">IFERROR(INDEX('Claim Data'!$E$4:$E$282,MATCH($B7&amp;E$6,'Claim Data'!$C$4:$C$282&amp;'Claim Data'!$B$4:$B$282,0)),"")</f>
        <v/>
      </c>
      <c r="F41" s="33" t="str">
        <f t="array" ref="F41">IFERROR(INDEX('Claim Data'!$E$4:$E$282,MATCH($B7&amp;F$6,'Claim Data'!$C$4:$C$282&amp;'Claim Data'!$B$4:$B$282,0)),"")</f>
        <v/>
      </c>
      <c r="G41" s="33" t="str">
        <f t="array" ref="G41">IFERROR(INDEX('Claim Data'!$E$4:$E$282,MATCH($B7&amp;G$6,'Claim Data'!$C$4:$C$282&amp;'Claim Data'!$B$4:$B$282,0)),"")</f>
        <v/>
      </c>
      <c r="H41" s="33" t="str">
        <f t="array" ref="H41">IFERROR(INDEX('Claim Data'!$E$4:$E$282,MATCH($B7&amp;H$6,'Claim Data'!$C$4:$C$282&amp;'Claim Data'!$B$4:$B$282,0)),"")</f>
        <v/>
      </c>
      <c r="I41" s="33" t="str">
        <f t="array" ref="I41">IFERROR(INDEX('Claim Data'!$E$4:$E$282,MATCH($B7&amp;I$6,'Claim Data'!$C$4:$C$282&amp;'Claim Data'!$B$4:$B$282,0)),"")</f>
        <v/>
      </c>
      <c r="J41" s="33" t="str">
        <f t="array" ref="J41">IFERROR(INDEX('Claim Data'!$E$4:$E$282,MATCH($B7&amp;J$6,'Claim Data'!$C$4:$C$282&amp;'Claim Data'!$B$4:$B$282,0)),"")</f>
        <v/>
      </c>
      <c r="K41" s="33" t="str">
        <f t="array" ref="K41">IFERROR(INDEX('Claim Data'!$E$4:$E$282,MATCH($B7&amp;K$6,'Claim Data'!$C$4:$C$282&amp;'Claim Data'!$B$4:$B$282,0)),"")</f>
        <v/>
      </c>
      <c r="L41" s="33" t="str">
        <f t="array" ref="L41">IFERROR(INDEX('Claim Data'!$E$4:$E$282,MATCH($B7&amp;L$6,'Claim Data'!$C$4:$C$282&amp;'Claim Data'!$B$4:$B$282,0)),"")</f>
        <v/>
      </c>
      <c r="M41" s="33" t="str">
        <f t="array" ref="M41">IFERROR(INDEX('Claim Data'!$E$4:$E$282,MATCH($B7&amp;M$6,'Claim Data'!$C$4:$C$282&amp;'Claim Data'!$B$4:$B$282,0)),"")</f>
        <v/>
      </c>
      <c r="N41" s="33" t="str">
        <f t="array" ref="N41">IFERROR(INDEX('Claim Data'!$E$4:$E$282,MATCH($B7&amp;N$6,'Claim Data'!$C$4:$C$282&amp;'Claim Data'!$B$4:$B$282,0)),"")</f>
        <v/>
      </c>
      <c r="O41" s="33" t="str">
        <f t="array" ref="O41">IFERROR(INDEX('Claim Data'!$E$4:$E$282,MATCH($B7&amp;O$6,'Claim Data'!$C$4:$C$282&amp;'Claim Data'!$B$4:$B$282,0)),"")</f>
        <v/>
      </c>
      <c r="P41" s="33" t="str">
        <f t="array" ref="P41">IFERROR(INDEX('Claim Data'!$E$4:$E$282,MATCH($B7&amp;P$6,'Claim Data'!$C$4:$C$282&amp;'Claim Data'!$B$4:$B$282,0)),"")</f>
        <v/>
      </c>
      <c r="Q41" s="33" t="str">
        <f t="array" ref="Q41">IFERROR(INDEX('Claim Data'!$E$4:$E$282,MATCH($B7&amp;Q$6,'Claim Data'!$C$4:$C$282&amp;'Claim Data'!$B$4:$B$282,0)),"")</f>
        <v/>
      </c>
      <c r="R41" s="33" t="str">
        <f t="array" ref="R41">IFERROR(INDEX('Claim Data'!$E$4:$E$282,MATCH($B7&amp;R$6,'Claim Data'!$C$4:$C$282&amp;'Claim Data'!$B$4:$B$282,0)),"")</f>
        <v/>
      </c>
      <c r="S41" s="33" t="str">
        <f t="array" ref="S41">IFERROR(INDEX('Claim Data'!$E$4:$E$282,MATCH($B7&amp;S$6,'Claim Data'!$C$4:$C$282&amp;'Claim Data'!$B$4:$B$282,0)),"")</f>
        <v/>
      </c>
      <c r="T41" s="33" t="str">
        <f t="array" ref="T41">IFERROR(INDEX('Claim Data'!$E$4:$E$282,MATCH($B7&amp;T$6,'Claim Data'!$C$4:$C$282&amp;'Claim Data'!$B$4:$B$282,0)),"")</f>
        <v/>
      </c>
      <c r="U41" s="33" t="str">
        <f t="array" ref="U41">IFERROR(INDEX('Claim Data'!$E$4:$E$282,MATCH($B7&amp;U$6,'Claim Data'!$C$4:$C$282&amp;'Claim Data'!$B$4:$B$282,0)),"")</f>
        <v/>
      </c>
      <c r="V41" s="33" t="str">
        <f t="array" ref="V41">IFERROR(INDEX('Claim Data'!$E$4:$E$282,MATCH($B7&amp;V$6,'Claim Data'!$C$4:$C$282&amp;'Claim Data'!$B$4:$B$282,0)),"")</f>
        <v/>
      </c>
      <c r="W41" s="33" t="str">
        <f t="array" ref="W41">IFERROR(INDEX('Claim Data'!$E$4:$E$282,MATCH($B7&amp;W$6,'Claim Data'!$C$4:$C$282&amp;'Claim Data'!$B$4:$B$282,0)),"")</f>
        <v/>
      </c>
      <c r="X41" s="33" t="str">
        <f t="array" ref="X41">IFERROR(INDEX('Claim Data'!$E$4:$E$282,MATCH($B7&amp;X$6,'Claim Data'!$C$4:$C$282&amp;'Claim Data'!$B$4:$B$282,0)),"")</f>
        <v/>
      </c>
      <c r="Y41" s="33" t="str">
        <f t="array" ref="Y41">IFERROR(INDEX('Claim Data'!$E$4:$E$282,MATCH($B7&amp;Y$6,'Claim Data'!$C$4:$C$282&amp;'Claim Data'!$B$4:$B$282,0)),"")</f>
        <v/>
      </c>
      <c r="Z41" s="33" t="str">
        <f t="array" ref="Z41">IFERROR(INDEX('Claim Data'!$E$4:$E$282,MATCH($B7&amp;Z$6,'Claim Data'!$C$4:$C$282&amp;'Claim Data'!$B$4:$B$282,0)),"")</f>
        <v/>
      </c>
      <c r="AA41" s="33" t="str">
        <f t="array" ref="AA41">IFERROR(INDEX('Claim Data'!$E$4:$E$282,MATCH($B7&amp;AA$6,'Claim Data'!$C$4:$C$282&amp;'Claim Data'!$B$4:$B$282,0)),"")</f>
        <v/>
      </c>
    </row>
    <row r="42" spans="2:27" x14ac:dyDescent="0.25">
      <c r="B42" s="28">
        <f>EDATE(B41,1)</f>
        <v>40575</v>
      </c>
      <c r="C42" s="33">
        <f t="shared" ref="C42:C64" si="21">SUM(D42:AA42)</f>
        <v>683000</v>
      </c>
      <c r="D42" s="33">
        <f t="array" ref="D42">IFERROR(INDEX('Claim Data'!$E$4:$E$282,MATCH($B8&amp;D$6,'Claim Data'!$C$4:$C$282&amp;'Claim Data'!$B$4:$B$282,0)),"")</f>
        <v>8000</v>
      </c>
      <c r="E42" s="33">
        <f t="array" ref="E42">IFERROR(INDEX('Claim Data'!$E$4:$E$282,MATCH($B8&amp;E$6,'Claim Data'!$C$4:$C$282&amp;'Claim Data'!$B$4:$B$282,0)),"")</f>
        <v>675000</v>
      </c>
      <c r="F42" s="33" t="str">
        <f t="array" ref="F42">IFERROR(INDEX('Claim Data'!$E$4:$E$282,MATCH($B8&amp;F$6,'Claim Data'!$C$4:$C$282&amp;'Claim Data'!$B$4:$B$282,0)),"")</f>
        <v/>
      </c>
      <c r="G42" s="33" t="str">
        <f t="array" ref="G42">IFERROR(INDEX('Claim Data'!$E$4:$E$282,MATCH($B8&amp;G$6,'Claim Data'!$C$4:$C$282&amp;'Claim Data'!$B$4:$B$282,0)),"")</f>
        <v/>
      </c>
      <c r="H42" s="33" t="str">
        <f t="array" ref="H42">IFERROR(INDEX('Claim Data'!$E$4:$E$282,MATCH($B8&amp;H$6,'Claim Data'!$C$4:$C$282&amp;'Claim Data'!$B$4:$B$282,0)),"")</f>
        <v/>
      </c>
      <c r="I42" s="33" t="str">
        <f t="array" ref="I42">IFERROR(INDEX('Claim Data'!$E$4:$E$282,MATCH($B8&amp;I$6,'Claim Data'!$C$4:$C$282&amp;'Claim Data'!$B$4:$B$282,0)),"")</f>
        <v/>
      </c>
      <c r="J42" s="33" t="str">
        <f t="array" ref="J42">IFERROR(INDEX('Claim Data'!$E$4:$E$282,MATCH($B8&amp;J$6,'Claim Data'!$C$4:$C$282&amp;'Claim Data'!$B$4:$B$282,0)),"")</f>
        <v/>
      </c>
      <c r="K42" s="33" t="str">
        <f t="array" ref="K42">IFERROR(INDEX('Claim Data'!$E$4:$E$282,MATCH($B8&amp;K$6,'Claim Data'!$C$4:$C$282&amp;'Claim Data'!$B$4:$B$282,0)),"")</f>
        <v/>
      </c>
      <c r="L42" s="33" t="str">
        <f t="array" ref="L42">IFERROR(INDEX('Claim Data'!$E$4:$E$282,MATCH($B8&amp;L$6,'Claim Data'!$C$4:$C$282&amp;'Claim Data'!$B$4:$B$282,0)),"")</f>
        <v/>
      </c>
      <c r="M42" s="33" t="str">
        <f t="array" ref="M42">IFERROR(INDEX('Claim Data'!$E$4:$E$282,MATCH($B8&amp;M$6,'Claim Data'!$C$4:$C$282&amp;'Claim Data'!$B$4:$B$282,0)),"")</f>
        <v/>
      </c>
      <c r="N42" s="33" t="str">
        <f t="array" ref="N42">IFERROR(INDEX('Claim Data'!$E$4:$E$282,MATCH($B8&amp;N$6,'Claim Data'!$C$4:$C$282&amp;'Claim Data'!$B$4:$B$282,0)),"")</f>
        <v/>
      </c>
      <c r="O42" s="33" t="str">
        <f t="array" ref="O42">IFERROR(INDEX('Claim Data'!$E$4:$E$282,MATCH($B8&amp;O$6,'Claim Data'!$C$4:$C$282&amp;'Claim Data'!$B$4:$B$282,0)),"")</f>
        <v/>
      </c>
      <c r="P42" s="33" t="str">
        <f t="array" ref="P42">IFERROR(INDEX('Claim Data'!$E$4:$E$282,MATCH($B8&amp;P$6,'Claim Data'!$C$4:$C$282&amp;'Claim Data'!$B$4:$B$282,0)),"")</f>
        <v/>
      </c>
      <c r="Q42" s="33" t="str">
        <f t="array" ref="Q42">IFERROR(INDEX('Claim Data'!$E$4:$E$282,MATCH($B8&amp;Q$6,'Claim Data'!$C$4:$C$282&amp;'Claim Data'!$B$4:$B$282,0)),"")</f>
        <v/>
      </c>
      <c r="R42" s="33" t="str">
        <f t="array" ref="R42">IFERROR(INDEX('Claim Data'!$E$4:$E$282,MATCH($B8&amp;R$6,'Claim Data'!$C$4:$C$282&amp;'Claim Data'!$B$4:$B$282,0)),"")</f>
        <v/>
      </c>
      <c r="S42" s="33" t="str">
        <f t="array" ref="S42">IFERROR(INDEX('Claim Data'!$E$4:$E$282,MATCH($B8&amp;S$6,'Claim Data'!$C$4:$C$282&amp;'Claim Data'!$B$4:$B$282,0)),"")</f>
        <v/>
      </c>
      <c r="T42" s="33" t="str">
        <f t="array" ref="T42">IFERROR(INDEX('Claim Data'!$E$4:$E$282,MATCH($B8&amp;T$6,'Claim Data'!$C$4:$C$282&amp;'Claim Data'!$B$4:$B$282,0)),"")</f>
        <v/>
      </c>
      <c r="U42" s="33" t="str">
        <f t="array" ref="U42">IFERROR(INDEX('Claim Data'!$E$4:$E$282,MATCH($B8&amp;U$6,'Claim Data'!$C$4:$C$282&amp;'Claim Data'!$B$4:$B$282,0)),"")</f>
        <v/>
      </c>
      <c r="V42" s="33" t="str">
        <f t="array" ref="V42">IFERROR(INDEX('Claim Data'!$E$4:$E$282,MATCH($B8&amp;V$6,'Claim Data'!$C$4:$C$282&amp;'Claim Data'!$B$4:$B$282,0)),"")</f>
        <v/>
      </c>
      <c r="W42" s="33" t="str">
        <f t="array" ref="W42">IFERROR(INDEX('Claim Data'!$E$4:$E$282,MATCH($B8&amp;W$6,'Claim Data'!$C$4:$C$282&amp;'Claim Data'!$B$4:$B$282,0)),"")</f>
        <v/>
      </c>
      <c r="X42" s="33" t="str">
        <f t="array" ref="X42">IFERROR(INDEX('Claim Data'!$E$4:$E$282,MATCH($B8&amp;X$6,'Claim Data'!$C$4:$C$282&amp;'Claim Data'!$B$4:$B$282,0)),"")</f>
        <v/>
      </c>
      <c r="Y42" s="33" t="str">
        <f t="array" ref="Y42">IFERROR(INDEX('Claim Data'!$E$4:$E$282,MATCH($B8&amp;Y$6,'Claim Data'!$C$4:$C$282&amp;'Claim Data'!$B$4:$B$282,0)),"")</f>
        <v/>
      </c>
      <c r="Z42" s="33" t="str">
        <f t="array" ref="Z42">IFERROR(INDEX('Claim Data'!$E$4:$E$282,MATCH($B8&amp;Z$6,'Claim Data'!$C$4:$C$282&amp;'Claim Data'!$B$4:$B$282,0)),"")</f>
        <v/>
      </c>
      <c r="AA42" s="33" t="str">
        <f t="array" ref="AA42">IFERROR(INDEX('Claim Data'!$E$4:$E$282,MATCH($B8&amp;AA$6,'Claim Data'!$C$4:$C$282&amp;'Claim Data'!$B$4:$B$282,0)),"")</f>
        <v/>
      </c>
    </row>
    <row r="43" spans="2:27" x14ac:dyDescent="0.25">
      <c r="B43" s="28">
        <f t="shared" ref="B43:B64" si="22">EDATE(B42,1)</f>
        <v>40603</v>
      </c>
      <c r="C43" s="33">
        <f t="shared" si="21"/>
        <v>648000</v>
      </c>
      <c r="D43" s="33">
        <f t="array" ref="D43">IFERROR(INDEX('Claim Data'!$E$4:$E$282,MATCH($B9&amp;D$6,'Claim Data'!$C$4:$C$282&amp;'Claim Data'!$B$4:$B$282,0)),"")</f>
        <v>17000</v>
      </c>
      <c r="E43" s="33">
        <f t="array" ref="E43">IFERROR(INDEX('Claim Data'!$E$4:$E$282,MATCH($B9&amp;E$6,'Claim Data'!$C$4:$C$282&amp;'Claim Data'!$B$4:$B$282,0)),"")</f>
        <v>13000</v>
      </c>
      <c r="F43" s="33">
        <f t="array" ref="F43">IFERROR(INDEX('Claim Data'!$E$4:$E$282,MATCH($B9&amp;F$6,'Claim Data'!$C$4:$C$282&amp;'Claim Data'!$B$4:$B$282,0)),"")</f>
        <v>618000</v>
      </c>
      <c r="G43" s="33" t="str">
        <f t="array" ref="G43">IFERROR(INDEX('Claim Data'!$E$4:$E$282,MATCH($B9&amp;G$6,'Claim Data'!$C$4:$C$282&amp;'Claim Data'!$B$4:$B$282,0)),"")</f>
        <v/>
      </c>
      <c r="H43" s="33" t="str">
        <f t="array" ref="H43">IFERROR(INDEX('Claim Data'!$E$4:$E$282,MATCH($B9&amp;H$6,'Claim Data'!$C$4:$C$282&amp;'Claim Data'!$B$4:$B$282,0)),"")</f>
        <v/>
      </c>
      <c r="I43" s="33" t="str">
        <f t="array" ref="I43">IFERROR(INDEX('Claim Data'!$E$4:$E$282,MATCH($B9&amp;I$6,'Claim Data'!$C$4:$C$282&amp;'Claim Data'!$B$4:$B$282,0)),"")</f>
        <v/>
      </c>
      <c r="J43" s="33" t="str">
        <f t="array" ref="J43">IFERROR(INDEX('Claim Data'!$E$4:$E$282,MATCH($B9&amp;J$6,'Claim Data'!$C$4:$C$282&amp;'Claim Data'!$B$4:$B$282,0)),"")</f>
        <v/>
      </c>
      <c r="K43" s="33" t="str">
        <f t="array" ref="K43">IFERROR(INDEX('Claim Data'!$E$4:$E$282,MATCH($B9&amp;K$6,'Claim Data'!$C$4:$C$282&amp;'Claim Data'!$B$4:$B$282,0)),"")</f>
        <v/>
      </c>
      <c r="L43" s="33" t="str">
        <f t="array" ref="L43">IFERROR(INDEX('Claim Data'!$E$4:$E$282,MATCH($B9&amp;L$6,'Claim Data'!$C$4:$C$282&amp;'Claim Data'!$B$4:$B$282,0)),"")</f>
        <v/>
      </c>
      <c r="M43" s="33" t="str">
        <f t="array" ref="M43">IFERROR(INDEX('Claim Data'!$E$4:$E$282,MATCH($B9&amp;M$6,'Claim Data'!$C$4:$C$282&amp;'Claim Data'!$B$4:$B$282,0)),"")</f>
        <v/>
      </c>
      <c r="N43" s="33" t="str">
        <f t="array" ref="N43">IFERROR(INDEX('Claim Data'!$E$4:$E$282,MATCH($B9&amp;N$6,'Claim Data'!$C$4:$C$282&amp;'Claim Data'!$B$4:$B$282,0)),"")</f>
        <v/>
      </c>
      <c r="O43" s="33" t="str">
        <f t="array" ref="O43">IFERROR(INDEX('Claim Data'!$E$4:$E$282,MATCH($B9&amp;O$6,'Claim Data'!$C$4:$C$282&amp;'Claim Data'!$B$4:$B$282,0)),"")</f>
        <v/>
      </c>
      <c r="P43" s="33" t="str">
        <f t="array" ref="P43">IFERROR(INDEX('Claim Data'!$E$4:$E$282,MATCH($B9&amp;P$6,'Claim Data'!$C$4:$C$282&amp;'Claim Data'!$B$4:$B$282,0)),"")</f>
        <v/>
      </c>
      <c r="Q43" s="33" t="str">
        <f t="array" ref="Q43">IFERROR(INDEX('Claim Data'!$E$4:$E$282,MATCH($B9&amp;Q$6,'Claim Data'!$C$4:$C$282&amp;'Claim Data'!$B$4:$B$282,0)),"")</f>
        <v/>
      </c>
      <c r="R43" s="33" t="str">
        <f t="array" ref="R43">IFERROR(INDEX('Claim Data'!$E$4:$E$282,MATCH($B9&amp;R$6,'Claim Data'!$C$4:$C$282&amp;'Claim Data'!$B$4:$B$282,0)),"")</f>
        <v/>
      </c>
      <c r="S43" s="33" t="str">
        <f t="array" ref="S43">IFERROR(INDEX('Claim Data'!$E$4:$E$282,MATCH($B9&amp;S$6,'Claim Data'!$C$4:$C$282&amp;'Claim Data'!$B$4:$B$282,0)),"")</f>
        <v/>
      </c>
      <c r="T43" s="33" t="str">
        <f t="array" ref="T43">IFERROR(INDEX('Claim Data'!$E$4:$E$282,MATCH($B9&amp;T$6,'Claim Data'!$C$4:$C$282&amp;'Claim Data'!$B$4:$B$282,0)),"")</f>
        <v/>
      </c>
      <c r="U43" s="33" t="str">
        <f t="array" ref="U43">IFERROR(INDEX('Claim Data'!$E$4:$E$282,MATCH($B9&amp;U$6,'Claim Data'!$C$4:$C$282&amp;'Claim Data'!$B$4:$B$282,0)),"")</f>
        <v/>
      </c>
      <c r="V43" s="33" t="str">
        <f t="array" ref="V43">IFERROR(INDEX('Claim Data'!$E$4:$E$282,MATCH($B9&amp;V$6,'Claim Data'!$C$4:$C$282&amp;'Claim Data'!$B$4:$B$282,0)),"")</f>
        <v/>
      </c>
      <c r="W43" s="33" t="str">
        <f t="array" ref="W43">IFERROR(INDEX('Claim Data'!$E$4:$E$282,MATCH($B9&amp;W$6,'Claim Data'!$C$4:$C$282&amp;'Claim Data'!$B$4:$B$282,0)),"")</f>
        <v/>
      </c>
      <c r="X43" s="33" t="str">
        <f t="array" ref="X43">IFERROR(INDEX('Claim Data'!$E$4:$E$282,MATCH($B9&amp;X$6,'Claim Data'!$C$4:$C$282&amp;'Claim Data'!$B$4:$B$282,0)),"")</f>
        <v/>
      </c>
      <c r="Y43" s="33" t="str">
        <f t="array" ref="Y43">IFERROR(INDEX('Claim Data'!$E$4:$E$282,MATCH($B9&amp;Y$6,'Claim Data'!$C$4:$C$282&amp;'Claim Data'!$B$4:$B$282,0)),"")</f>
        <v/>
      </c>
      <c r="Z43" s="33" t="str">
        <f t="array" ref="Z43">IFERROR(INDEX('Claim Data'!$E$4:$E$282,MATCH($B9&amp;Z$6,'Claim Data'!$C$4:$C$282&amp;'Claim Data'!$B$4:$B$282,0)),"")</f>
        <v/>
      </c>
      <c r="AA43" s="33" t="str">
        <f t="array" ref="AA43">IFERROR(INDEX('Claim Data'!$E$4:$E$282,MATCH($B9&amp;AA$6,'Claim Data'!$C$4:$C$282&amp;'Claim Data'!$B$4:$B$282,0)),"")</f>
        <v/>
      </c>
    </row>
    <row r="44" spans="2:27" x14ac:dyDescent="0.25">
      <c r="B44" s="28">
        <f t="shared" si="22"/>
        <v>40634</v>
      </c>
      <c r="C44" s="33">
        <f t="shared" si="21"/>
        <v>219000</v>
      </c>
      <c r="D44" s="33">
        <f t="array" ref="D44">IFERROR(INDEX('Claim Data'!$E$4:$E$282,MATCH($B10&amp;D$6,'Claim Data'!$C$4:$C$282&amp;'Claim Data'!$B$4:$B$282,0)),"")</f>
        <v>10000</v>
      </c>
      <c r="E44" s="33">
        <f t="array" ref="E44">IFERROR(INDEX('Claim Data'!$E$4:$E$282,MATCH($B10&amp;E$6,'Claim Data'!$C$4:$C$282&amp;'Claim Data'!$B$4:$B$282,0)),"")</f>
        <v>8000</v>
      </c>
      <c r="F44" s="33">
        <f t="array" ref="F44">IFERROR(INDEX('Claim Data'!$E$4:$E$282,MATCH($B10&amp;F$6,'Claim Data'!$C$4:$C$282&amp;'Claim Data'!$B$4:$B$282,0)),"")</f>
        <v>88000</v>
      </c>
      <c r="G44" s="33">
        <f t="array" ref="G44">IFERROR(INDEX('Claim Data'!$E$4:$E$282,MATCH($B10&amp;G$6,'Claim Data'!$C$4:$C$282&amp;'Claim Data'!$B$4:$B$282,0)),"")</f>
        <v>113000</v>
      </c>
      <c r="H44" s="33" t="str">
        <f t="array" ref="H44">IFERROR(INDEX('Claim Data'!$E$4:$E$282,MATCH($B10&amp;H$6,'Claim Data'!$C$4:$C$282&amp;'Claim Data'!$B$4:$B$282,0)),"")</f>
        <v/>
      </c>
      <c r="I44" s="33" t="str">
        <f t="array" ref="I44">IFERROR(INDEX('Claim Data'!$E$4:$E$282,MATCH($B10&amp;I$6,'Claim Data'!$C$4:$C$282&amp;'Claim Data'!$B$4:$B$282,0)),"")</f>
        <v/>
      </c>
      <c r="J44" s="33" t="str">
        <f t="array" ref="J44">IFERROR(INDEX('Claim Data'!$E$4:$E$282,MATCH($B10&amp;J$6,'Claim Data'!$C$4:$C$282&amp;'Claim Data'!$B$4:$B$282,0)),"")</f>
        <v/>
      </c>
      <c r="K44" s="33" t="str">
        <f t="array" ref="K44">IFERROR(INDEX('Claim Data'!$E$4:$E$282,MATCH($B10&amp;K$6,'Claim Data'!$C$4:$C$282&amp;'Claim Data'!$B$4:$B$282,0)),"")</f>
        <v/>
      </c>
      <c r="L44" s="33" t="str">
        <f t="array" ref="L44">IFERROR(INDEX('Claim Data'!$E$4:$E$282,MATCH($B10&amp;L$6,'Claim Data'!$C$4:$C$282&amp;'Claim Data'!$B$4:$B$282,0)),"")</f>
        <v/>
      </c>
      <c r="M44" s="33" t="str">
        <f t="array" ref="M44">IFERROR(INDEX('Claim Data'!$E$4:$E$282,MATCH($B10&amp;M$6,'Claim Data'!$C$4:$C$282&amp;'Claim Data'!$B$4:$B$282,0)),"")</f>
        <v/>
      </c>
      <c r="N44" s="33" t="str">
        <f t="array" ref="N44">IFERROR(INDEX('Claim Data'!$E$4:$E$282,MATCH($B10&amp;N$6,'Claim Data'!$C$4:$C$282&amp;'Claim Data'!$B$4:$B$282,0)),"")</f>
        <v/>
      </c>
      <c r="O44" s="33" t="str">
        <f t="array" ref="O44">IFERROR(INDEX('Claim Data'!$E$4:$E$282,MATCH($B10&amp;O$6,'Claim Data'!$C$4:$C$282&amp;'Claim Data'!$B$4:$B$282,0)),"")</f>
        <v/>
      </c>
      <c r="P44" s="33" t="str">
        <f t="array" ref="P44">IFERROR(INDEX('Claim Data'!$E$4:$E$282,MATCH($B10&amp;P$6,'Claim Data'!$C$4:$C$282&amp;'Claim Data'!$B$4:$B$282,0)),"")</f>
        <v/>
      </c>
      <c r="Q44" s="33" t="str">
        <f t="array" ref="Q44">IFERROR(INDEX('Claim Data'!$E$4:$E$282,MATCH($B10&amp;Q$6,'Claim Data'!$C$4:$C$282&amp;'Claim Data'!$B$4:$B$282,0)),"")</f>
        <v/>
      </c>
      <c r="R44" s="33" t="str">
        <f t="array" ref="R44">IFERROR(INDEX('Claim Data'!$E$4:$E$282,MATCH($B10&amp;R$6,'Claim Data'!$C$4:$C$282&amp;'Claim Data'!$B$4:$B$282,0)),"")</f>
        <v/>
      </c>
      <c r="S44" s="33" t="str">
        <f t="array" ref="S44">IFERROR(INDEX('Claim Data'!$E$4:$E$282,MATCH($B10&amp;S$6,'Claim Data'!$C$4:$C$282&amp;'Claim Data'!$B$4:$B$282,0)),"")</f>
        <v/>
      </c>
      <c r="T44" s="33" t="str">
        <f t="array" ref="T44">IFERROR(INDEX('Claim Data'!$E$4:$E$282,MATCH($B10&amp;T$6,'Claim Data'!$C$4:$C$282&amp;'Claim Data'!$B$4:$B$282,0)),"")</f>
        <v/>
      </c>
      <c r="U44" s="33" t="str">
        <f t="array" ref="U44">IFERROR(INDEX('Claim Data'!$E$4:$E$282,MATCH($B10&amp;U$6,'Claim Data'!$C$4:$C$282&amp;'Claim Data'!$B$4:$B$282,0)),"")</f>
        <v/>
      </c>
      <c r="V44" s="33" t="str">
        <f t="array" ref="V44">IFERROR(INDEX('Claim Data'!$E$4:$E$282,MATCH($B10&amp;V$6,'Claim Data'!$C$4:$C$282&amp;'Claim Data'!$B$4:$B$282,0)),"")</f>
        <v/>
      </c>
      <c r="W44" s="33" t="str">
        <f t="array" ref="W44">IFERROR(INDEX('Claim Data'!$E$4:$E$282,MATCH($B10&amp;W$6,'Claim Data'!$C$4:$C$282&amp;'Claim Data'!$B$4:$B$282,0)),"")</f>
        <v/>
      </c>
      <c r="X44" s="33" t="str">
        <f t="array" ref="X44">IFERROR(INDEX('Claim Data'!$E$4:$E$282,MATCH($B10&amp;X$6,'Claim Data'!$C$4:$C$282&amp;'Claim Data'!$B$4:$B$282,0)),"")</f>
        <v/>
      </c>
      <c r="Y44" s="33" t="str">
        <f t="array" ref="Y44">IFERROR(INDEX('Claim Data'!$E$4:$E$282,MATCH($B10&amp;Y$6,'Claim Data'!$C$4:$C$282&amp;'Claim Data'!$B$4:$B$282,0)),"")</f>
        <v/>
      </c>
      <c r="Z44" s="33" t="str">
        <f t="array" ref="Z44">IFERROR(INDEX('Claim Data'!$E$4:$E$282,MATCH($B10&amp;Z$6,'Claim Data'!$C$4:$C$282&amp;'Claim Data'!$B$4:$B$282,0)),"")</f>
        <v/>
      </c>
      <c r="AA44" s="33" t="str">
        <f t="array" ref="AA44">IFERROR(INDEX('Claim Data'!$E$4:$E$282,MATCH($B10&amp;AA$6,'Claim Data'!$C$4:$C$282&amp;'Claim Data'!$B$4:$B$282,0)),"")</f>
        <v/>
      </c>
    </row>
    <row r="45" spans="2:27" x14ac:dyDescent="0.25">
      <c r="B45" s="28">
        <f t="shared" si="22"/>
        <v>40664</v>
      </c>
      <c r="C45" s="33">
        <f t="shared" si="21"/>
        <v>462000</v>
      </c>
      <c r="D45" s="33">
        <f t="array" ref="D45">IFERROR(INDEX('Claim Data'!$E$4:$E$282,MATCH($B11&amp;D$6,'Claim Data'!$C$4:$C$282&amp;'Claim Data'!$B$4:$B$282,0)),"")</f>
        <v>4000</v>
      </c>
      <c r="E45" s="33">
        <f t="array" ref="E45">IFERROR(INDEX('Claim Data'!$E$4:$E$282,MATCH($B11&amp;E$6,'Claim Data'!$C$4:$C$282&amp;'Claim Data'!$B$4:$B$282,0)),"")</f>
        <v>11000</v>
      </c>
      <c r="F45" s="33">
        <f t="array" ref="F45">IFERROR(INDEX('Claim Data'!$E$4:$E$282,MATCH($B11&amp;F$6,'Claim Data'!$C$4:$C$282&amp;'Claim Data'!$B$4:$B$282,0)),"")</f>
        <v>20000</v>
      </c>
      <c r="G45" s="33">
        <f t="array" ref="G45">IFERROR(INDEX('Claim Data'!$E$4:$E$282,MATCH($B11&amp;G$6,'Claim Data'!$C$4:$C$282&amp;'Claim Data'!$B$4:$B$282,0)),"")</f>
        <v>16000</v>
      </c>
      <c r="H45" s="33">
        <f t="array" ref="H45">IFERROR(INDEX('Claim Data'!$E$4:$E$282,MATCH($B11&amp;H$6,'Claim Data'!$C$4:$C$282&amp;'Claim Data'!$B$4:$B$282,0)),"")</f>
        <v>411000</v>
      </c>
      <c r="I45" s="33" t="str">
        <f t="array" ref="I45">IFERROR(INDEX('Claim Data'!$E$4:$E$282,MATCH($B11&amp;I$6,'Claim Data'!$C$4:$C$282&amp;'Claim Data'!$B$4:$B$282,0)),"")</f>
        <v/>
      </c>
      <c r="J45" s="33" t="str">
        <f t="array" ref="J45">IFERROR(INDEX('Claim Data'!$E$4:$E$282,MATCH($B11&amp;J$6,'Claim Data'!$C$4:$C$282&amp;'Claim Data'!$B$4:$B$282,0)),"")</f>
        <v/>
      </c>
      <c r="K45" s="33" t="str">
        <f t="array" ref="K45">IFERROR(INDEX('Claim Data'!$E$4:$E$282,MATCH($B11&amp;K$6,'Claim Data'!$C$4:$C$282&amp;'Claim Data'!$B$4:$B$282,0)),"")</f>
        <v/>
      </c>
      <c r="L45" s="33" t="str">
        <f t="array" ref="L45">IFERROR(INDEX('Claim Data'!$E$4:$E$282,MATCH($B11&amp;L$6,'Claim Data'!$C$4:$C$282&amp;'Claim Data'!$B$4:$B$282,0)),"")</f>
        <v/>
      </c>
      <c r="M45" s="33" t="str">
        <f t="array" ref="M45">IFERROR(INDEX('Claim Data'!$E$4:$E$282,MATCH($B11&amp;M$6,'Claim Data'!$C$4:$C$282&amp;'Claim Data'!$B$4:$B$282,0)),"")</f>
        <v/>
      </c>
      <c r="N45" s="33" t="str">
        <f t="array" ref="N45">IFERROR(INDEX('Claim Data'!$E$4:$E$282,MATCH($B11&amp;N$6,'Claim Data'!$C$4:$C$282&amp;'Claim Data'!$B$4:$B$282,0)),"")</f>
        <v/>
      </c>
      <c r="O45" s="33" t="str">
        <f t="array" ref="O45">IFERROR(INDEX('Claim Data'!$E$4:$E$282,MATCH($B11&amp;O$6,'Claim Data'!$C$4:$C$282&amp;'Claim Data'!$B$4:$B$282,0)),"")</f>
        <v/>
      </c>
      <c r="P45" s="33" t="str">
        <f t="array" ref="P45">IFERROR(INDEX('Claim Data'!$E$4:$E$282,MATCH($B11&amp;P$6,'Claim Data'!$C$4:$C$282&amp;'Claim Data'!$B$4:$B$282,0)),"")</f>
        <v/>
      </c>
      <c r="Q45" s="33" t="str">
        <f t="array" ref="Q45">IFERROR(INDEX('Claim Data'!$E$4:$E$282,MATCH($B11&amp;Q$6,'Claim Data'!$C$4:$C$282&amp;'Claim Data'!$B$4:$B$282,0)),"")</f>
        <v/>
      </c>
      <c r="R45" s="33" t="str">
        <f t="array" ref="R45">IFERROR(INDEX('Claim Data'!$E$4:$E$282,MATCH($B11&amp;R$6,'Claim Data'!$C$4:$C$282&amp;'Claim Data'!$B$4:$B$282,0)),"")</f>
        <v/>
      </c>
      <c r="S45" s="33" t="str">
        <f t="array" ref="S45">IFERROR(INDEX('Claim Data'!$E$4:$E$282,MATCH($B11&amp;S$6,'Claim Data'!$C$4:$C$282&amp;'Claim Data'!$B$4:$B$282,0)),"")</f>
        <v/>
      </c>
      <c r="T45" s="33" t="str">
        <f t="array" ref="T45">IFERROR(INDEX('Claim Data'!$E$4:$E$282,MATCH($B11&amp;T$6,'Claim Data'!$C$4:$C$282&amp;'Claim Data'!$B$4:$B$282,0)),"")</f>
        <v/>
      </c>
      <c r="U45" s="33" t="str">
        <f t="array" ref="U45">IFERROR(INDEX('Claim Data'!$E$4:$E$282,MATCH($B11&amp;U$6,'Claim Data'!$C$4:$C$282&amp;'Claim Data'!$B$4:$B$282,0)),"")</f>
        <v/>
      </c>
      <c r="V45" s="33" t="str">
        <f t="array" ref="V45">IFERROR(INDEX('Claim Data'!$E$4:$E$282,MATCH($B11&amp;V$6,'Claim Data'!$C$4:$C$282&amp;'Claim Data'!$B$4:$B$282,0)),"")</f>
        <v/>
      </c>
      <c r="W45" s="33" t="str">
        <f t="array" ref="W45">IFERROR(INDEX('Claim Data'!$E$4:$E$282,MATCH($B11&amp;W$6,'Claim Data'!$C$4:$C$282&amp;'Claim Data'!$B$4:$B$282,0)),"")</f>
        <v/>
      </c>
      <c r="X45" s="33" t="str">
        <f t="array" ref="X45">IFERROR(INDEX('Claim Data'!$E$4:$E$282,MATCH($B11&amp;X$6,'Claim Data'!$C$4:$C$282&amp;'Claim Data'!$B$4:$B$282,0)),"")</f>
        <v/>
      </c>
      <c r="Y45" s="33" t="str">
        <f t="array" ref="Y45">IFERROR(INDEX('Claim Data'!$E$4:$E$282,MATCH($B11&amp;Y$6,'Claim Data'!$C$4:$C$282&amp;'Claim Data'!$B$4:$B$282,0)),"")</f>
        <v/>
      </c>
      <c r="Z45" s="33" t="str">
        <f t="array" ref="Z45">IFERROR(INDEX('Claim Data'!$E$4:$E$282,MATCH($B11&amp;Z$6,'Claim Data'!$C$4:$C$282&amp;'Claim Data'!$B$4:$B$282,0)),"")</f>
        <v/>
      </c>
      <c r="AA45" s="33" t="str">
        <f t="array" ref="AA45">IFERROR(INDEX('Claim Data'!$E$4:$E$282,MATCH($B11&amp;AA$6,'Claim Data'!$C$4:$C$282&amp;'Claim Data'!$B$4:$B$282,0)),"")</f>
        <v/>
      </c>
    </row>
    <row r="46" spans="2:27" x14ac:dyDescent="0.25">
      <c r="B46" s="28">
        <f t="shared" si="22"/>
        <v>40695</v>
      </c>
      <c r="C46" s="33">
        <f t="shared" si="21"/>
        <v>507000</v>
      </c>
      <c r="D46" s="33">
        <f t="array" ref="D46">IFERROR(INDEX('Claim Data'!$E$4:$E$282,MATCH($B12&amp;D$6,'Claim Data'!$C$4:$C$282&amp;'Claim Data'!$B$4:$B$282,0)),"")</f>
        <v>3000</v>
      </c>
      <c r="E46" s="33">
        <f t="array" ref="E46">IFERROR(INDEX('Claim Data'!$E$4:$E$282,MATCH($B12&amp;E$6,'Claim Data'!$C$4:$C$282&amp;'Claim Data'!$B$4:$B$282,0)),"")</f>
        <v>9000</v>
      </c>
      <c r="F46" s="33">
        <f t="array" ref="F46">IFERROR(INDEX('Claim Data'!$E$4:$E$282,MATCH($B12&amp;F$6,'Claim Data'!$C$4:$C$282&amp;'Claim Data'!$B$4:$B$282,0)),"")</f>
        <v>23000</v>
      </c>
      <c r="G46" s="33">
        <f t="array" ref="G46">IFERROR(INDEX('Claim Data'!$E$4:$E$282,MATCH($B12&amp;G$6,'Claim Data'!$C$4:$C$282&amp;'Claim Data'!$B$4:$B$282,0)),"")</f>
        <v>15000</v>
      </c>
      <c r="H46" s="33">
        <f t="array" ref="H46">IFERROR(INDEX('Claim Data'!$E$4:$E$282,MATCH($B12&amp;H$6,'Claim Data'!$C$4:$C$282&amp;'Claim Data'!$B$4:$B$282,0)),"")</f>
        <v>50000</v>
      </c>
      <c r="I46" s="33">
        <f t="array" ref="I46">IFERROR(INDEX('Claim Data'!$E$4:$E$282,MATCH($B12&amp;I$6,'Claim Data'!$C$4:$C$282&amp;'Claim Data'!$B$4:$B$282,0)),"")</f>
        <v>407000</v>
      </c>
      <c r="J46" s="33" t="str">
        <f t="array" ref="J46">IFERROR(INDEX('Claim Data'!$E$4:$E$282,MATCH($B12&amp;J$6,'Claim Data'!$C$4:$C$282&amp;'Claim Data'!$B$4:$B$282,0)),"")</f>
        <v/>
      </c>
      <c r="K46" s="33" t="str">
        <f t="array" ref="K46">IFERROR(INDEX('Claim Data'!$E$4:$E$282,MATCH($B12&amp;K$6,'Claim Data'!$C$4:$C$282&amp;'Claim Data'!$B$4:$B$282,0)),"")</f>
        <v/>
      </c>
      <c r="L46" s="33" t="str">
        <f t="array" ref="L46">IFERROR(INDEX('Claim Data'!$E$4:$E$282,MATCH($B12&amp;L$6,'Claim Data'!$C$4:$C$282&amp;'Claim Data'!$B$4:$B$282,0)),"")</f>
        <v/>
      </c>
      <c r="M46" s="33" t="str">
        <f t="array" ref="M46">IFERROR(INDEX('Claim Data'!$E$4:$E$282,MATCH($B12&amp;M$6,'Claim Data'!$C$4:$C$282&amp;'Claim Data'!$B$4:$B$282,0)),"")</f>
        <v/>
      </c>
      <c r="N46" s="33" t="str">
        <f t="array" ref="N46">IFERROR(INDEX('Claim Data'!$E$4:$E$282,MATCH($B12&amp;N$6,'Claim Data'!$C$4:$C$282&amp;'Claim Data'!$B$4:$B$282,0)),"")</f>
        <v/>
      </c>
      <c r="O46" s="33" t="str">
        <f t="array" ref="O46">IFERROR(INDEX('Claim Data'!$E$4:$E$282,MATCH($B12&amp;O$6,'Claim Data'!$C$4:$C$282&amp;'Claim Data'!$B$4:$B$282,0)),"")</f>
        <v/>
      </c>
      <c r="P46" s="33" t="str">
        <f t="array" ref="P46">IFERROR(INDEX('Claim Data'!$E$4:$E$282,MATCH($B12&amp;P$6,'Claim Data'!$C$4:$C$282&amp;'Claim Data'!$B$4:$B$282,0)),"")</f>
        <v/>
      </c>
      <c r="Q46" s="33" t="str">
        <f t="array" ref="Q46">IFERROR(INDEX('Claim Data'!$E$4:$E$282,MATCH($B12&amp;Q$6,'Claim Data'!$C$4:$C$282&amp;'Claim Data'!$B$4:$B$282,0)),"")</f>
        <v/>
      </c>
      <c r="R46" s="33" t="str">
        <f t="array" ref="R46">IFERROR(INDEX('Claim Data'!$E$4:$E$282,MATCH($B12&amp;R$6,'Claim Data'!$C$4:$C$282&amp;'Claim Data'!$B$4:$B$282,0)),"")</f>
        <v/>
      </c>
      <c r="S46" s="33" t="str">
        <f t="array" ref="S46">IFERROR(INDEX('Claim Data'!$E$4:$E$282,MATCH($B12&amp;S$6,'Claim Data'!$C$4:$C$282&amp;'Claim Data'!$B$4:$B$282,0)),"")</f>
        <v/>
      </c>
      <c r="T46" s="33" t="str">
        <f t="array" ref="T46">IFERROR(INDEX('Claim Data'!$E$4:$E$282,MATCH($B12&amp;T$6,'Claim Data'!$C$4:$C$282&amp;'Claim Data'!$B$4:$B$282,0)),"")</f>
        <v/>
      </c>
      <c r="U46" s="33" t="str">
        <f t="array" ref="U46">IFERROR(INDEX('Claim Data'!$E$4:$E$282,MATCH($B12&amp;U$6,'Claim Data'!$C$4:$C$282&amp;'Claim Data'!$B$4:$B$282,0)),"")</f>
        <v/>
      </c>
      <c r="V46" s="33" t="str">
        <f t="array" ref="V46">IFERROR(INDEX('Claim Data'!$E$4:$E$282,MATCH($B12&amp;V$6,'Claim Data'!$C$4:$C$282&amp;'Claim Data'!$B$4:$B$282,0)),"")</f>
        <v/>
      </c>
      <c r="W46" s="33" t="str">
        <f t="array" ref="W46">IFERROR(INDEX('Claim Data'!$E$4:$E$282,MATCH($B12&amp;W$6,'Claim Data'!$C$4:$C$282&amp;'Claim Data'!$B$4:$B$282,0)),"")</f>
        <v/>
      </c>
      <c r="X46" s="33" t="str">
        <f t="array" ref="X46">IFERROR(INDEX('Claim Data'!$E$4:$E$282,MATCH($B12&amp;X$6,'Claim Data'!$C$4:$C$282&amp;'Claim Data'!$B$4:$B$282,0)),"")</f>
        <v/>
      </c>
      <c r="Y46" s="33" t="str">
        <f t="array" ref="Y46">IFERROR(INDEX('Claim Data'!$E$4:$E$282,MATCH($B12&amp;Y$6,'Claim Data'!$C$4:$C$282&amp;'Claim Data'!$B$4:$B$282,0)),"")</f>
        <v/>
      </c>
      <c r="Z46" s="33" t="str">
        <f t="array" ref="Z46">IFERROR(INDEX('Claim Data'!$E$4:$E$282,MATCH($B12&amp;Z$6,'Claim Data'!$C$4:$C$282&amp;'Claim Data'!$B$4:$B$282,0)),"")</f>
        <v/>
      </c>
      <c r="AA46" s="33" t="str">
        <f t="array" ref="AA46">IFERROR(INDEX('Claim Data'!$E$4:$E$282,MATCH($B12&amp;AA$6,'Claim Data'!$C$4:$C$282&amp;'Claim Data'!$B$4:$B$282,0)),"")</f>
        <v/>
      </c>
    </row>
    <row r="47" spans="2:27" x14ac:dyDescent="0.25">
      <c r="B47" s="28">
        <f t="shared" si="22"/>
        <v>40725</v>
      </c>
      <c r="C47" s="33">
        <f t="shared" si="21"/>
        <v>724000</v>
      </c>
      <c r="D47" s="33">
        <f t="array" ref="D47">IFERROR(INDEX('Claim Data'!$E$4:$E$282,MATCH($B13&amp;D$6,'Claim Data'!$C$4:$C$282&amp;'Claim Data'!$B$4:$B$282,0)),"")</f>
        <v>2000</v>
      </c>
      <c r="E47" s="33">
        <f t="array" ref="E47">IFERROR(INDEX('Claim Data'!$E$4:$E$282,MATCH($B13&amp;E$6,'Claim Data'!$C$4:$C$282&amp;'Claim Data'!$B$4:$B$282,0)),"")</f>
        <v>13000</v>
      </c>
      <c r="F47" s="33">
        <f t="array" ref="F47">IFERROR(INDEX('Claim Data'!$E$4:$E$282,MATCH($B13&amp;F$6,'Claim Data'!$C$4:$C$282&amp;'Claim Data'!$B$4:$B$282,0)),"")</f>
        <v>20000</v>
      </c>
      <c r="G47" s="33">
        <f t="array" ref="G47">IFERROR(INDEX('Claim Data'!$E$4:$E$282,MATCH($B13&amp;G$6,'Claim Data'!$C$4:$C$282&amp;'Claim Data'!$B$4:$B$282,0)),"")</f>
        <v>8000</v>
      </c>
      <c r="H47" s="33">
        <f t="array" ref="H47">IFERROR(INDEX('Claim Data'!$E$4:$E$282,MATCH($B13&amp;H$6,'Claim Data'!$C$4:$C$282&amp;'Claim Data'!$B$4:$B$282,0)),"")</f>
        <v>28000</v>
      </c>
      <c r="I47" s="33">
        <f t="array" ref="I47">IFERROR(INDEX('Claim Data'!$E$4:$E$282,MATCH($B13&amp;I$6,'Claim Data'!$C$4:$C$282&amp;'Claim Data'!$B$4:$B$282,0)),"")</f>
        <v>127000</v>
      </c>
      <c r="J47" s="33">
        <f t="array" ref="J47">IFERROR(INDEX('Claim Data'!$E$4:$E$282,MATCH($B13&amp;J$6,'Claim Data'!$C$4:$C$282&amp;'Claim Data'!$B$4:$B$282,0)),"")</f>
        <v>526000</v>
      </c>
      <c r="K47" s="33" t="str">
        <f t="array" ref="K47">IFERROR(INDEX('Claim Data'!$E$4:$E$282,MATCH($B13&amp;K$6,'Claim Data'!$C$4:$C$282&amp;'Claim Data'!$B$4:$B$282,0)),"")</f>
        <v/>
      </c>
      <c r="L47" s="33" t="str">
        <f t="array" ref="L47">IFERROR(INDEX('Claim Data'!$E$4:$E$282,MATCH($B13&amp;L$6,'Claim Data'!$C$4:$C$282&amp;'Claim Data'!$B$4:$B$282,0)),"")</f>
        <v/>
      </c>
      <c r="M47" s="33" t="str">
        <f t="array" ref="M47">IFERROR(INDEX('Claim Data'!$E$4:$E$282,MATCH($B13&amp;M$6,'Claim Data'!$C$4:$C$282&amp;'Claim Data'!$B$4:$B$282,0)),"")</f>
        <v/>
      </c>
      <c r="N47" s="33" t="str">
        <f t="array" ref="N47">IFERROR(INDEX('Claim Data'!$E$4:$E$282,MATCH($B13&amp;N$6,'Claim Data'!$C$4:$C$282&amp;'Claim Data'!$B$4:$B$282,0)),"")</f>
        <v/>
      </c>
      <c r="O47" s="33" t="str">
        <f t="array" ref="O47">IFERROR(INDEX('Claim Data'!$E$4:$E$282,MATCH($B13&amp;O$6,'Claim Data'!$C$4:$C$282&amp;'Claim Data'!$B$4:$B$282,0)),"")</f>
        <v/>
      </c>
      <c r="P47" s="33" t="str">
        <f t="array" ref="P47">IFERROR(INDEX('Claim Data'!$E$4:$E$282,MATCH($B13&amp;P$6,'Claim Data'!$C$4:$C$282&amp;'Claim Data'!$B$4:$B$282,0)),"")</f>
        <v/>
      </c>
      <c r="Q47" s="33" t="str">
        <f t="array" ref="Q47">IFERROR(INDEX('Claim Data'!$E$4:$E$282,MATCH($B13&amp;Q$6,'Claim Data'!$C$4:$C$282&amp;'Claim Data'!$B$4:$B$282,0)),"")</f>
        <v/>
      </c>
      <c r="R47" s="33" t="str">
        <f t="array" ref="R47">IFERROR(INDEX('Claim Data'!$E$4:$E$282,MATCH($B13&amp;R$6,'Claim Data'!$C$4:$C$282&amp;'Claim Data'!$B$4:$B$282,0)),"")</f>
        <v/>
      </c>
      <c r="S47" s="33" t="str">
        <f t="array" ref="S47">IFERROR(INDEX('Claim Data'!$E$4:$E$282,MATCH($B13&amp;S$6,'Claim Data'!$C$4:$C$282&amp;'Claim Data'!$B$4:$B$282,0)),"")</f>
        <v/>
      </c>
      <c r="T47" s="33" t="str">
        <f t="array" ref="T47">IFERROR(INDEX('Claim Data'!$E$4:$E$282,MATCH($B13&amp;T$6,'Claim Data'!$C$4:$C$282&amp;'Claim Data'!$B$4:$B$282,0)),"")</f>
        <v/>
      </c>
      <c r="U47" s="33" t="str">
        <f t="array" ref="U47">IFERROR(INDEX('Claim Data'!$E$4:$E$282,MATCH($B13&amp;U$6,'Claim Data'!$C$4:$C$282&amp;'Claim Data'!$B$4:$B$282,0)),"")</f>
        <v/>
      </c>
      <c r="V47" s="33" t="str">
        <f t="array" ref="V47">IFERROR(INDEX('Claim Data'!$E$4:$E$282,MATCH($B13&amp;V$6,'Claim Data'!$C$4:$C$282&amp;'Claim Data'!$B$4:$B$282,0)),"")</f>
        <v/>
      </c>
      <c r="W47" s="33" t="str">
        <f t="array" ref="W47">IFERROR(INDEX('Claim Data'!$E$4:$E$282,MATCH($B13&amp;W$6,'Claim Data'!$C$4:$C$282&amp;'Claim Data'!$B$4:$B$282,0)),"")</f>
        <v/>
      </c>
      <c r="X47" s="33" t="str">
        <f t="array" ref="X47">IFERROR(INDEX('Claim Data'!$E$4:$E$282,MATCH($B13&amp;X$6,'Claim Data'!$C$4:$C$282&amp;'Claim Data'!$B$4:$B$282,0)),"")</f>
        <v/>
      </c>
      <c r="Y47" s="33" t="str">
        <f t="array" ref="Y47">IFERROR(INDEX('Claim Data'!$E$4:$E$282,MATCH($B13&amp;Y$6,'Claim Data'!$C$4:$C$282&amp;'Claim Data'!$B$4:$B$282,0)),"")</f>
        <v/>
      </c>
      <c r="Z47" s="33" t="str">
        <f t="array" ref="Z47">IFERROR(INDEX('Claim Data'!$E$4:$E$282,MATCH($B13&amp;Z$6,'Claim Data'!$C$4:$C$282&amp;'Claim Data'!$B$4:$B$282,0)),"")</f>
        <v/>
      </c>
      <c r="AA47" s="33" t="str">
        <f t="array" ref="AA47">IFERROR(INDEX('Claim Data'!$E$4:$E$282,MATCH($B13&amp;AA$6,'Claim Data'!$C$4:$C$282&amp;'Claim Data'!$B$4:$B$282,0)),"")</f>
        <v/>
      </c>
    </row>
    <row r="48" spans="2:27" x14ac:dyDescent="0.25">
      <c r="B48" s="28">
        <f t="shared" si="22"/>
        <v>40756</v>
      </c>
      <c r="C48" s="33">
        <f t="shared" si="21"/>
        <v>894000</v>
      </c>
      <c r="D48" s="33">
        <f t="array" ref="D48">IFERROR(INDEX('Claim Data'!$E$4:$E$282,MATCH($B14&amp;D$6,'Claim Data'!$C$4:$C$282&amp;'Claim Data'!$B$4:$B$282,0)),"")</f>
        <v>3000</v>
      </c>
      <c r="E48" s="33">
        <f t="array" ref="E48">IFERROR(INDEX('Claim Data'!$E$4:$E$282,MATCH($B14&amp;E$6,'Claim Data'!$C$4:$C$282&amp;'Claim Data'!$B$4:$B$282,0)),"")</f>
        <v>5000</v>
      </c>
      <c r="F48" s="33">
        <f t="array" ref="F48">IFERROR(INDEX('Claim Data'!$E$4:$E$282,MATCH($B14&amp;F$6,'Claim Data'!$C$4:$C$282&amp;'Claim Data'!$B$4:$B$282,0)),"")</f>
        <v>25000</v>
      </c>
      <c r="G48" s="33">
        <f t="array" ref="G48">IFERROR(INDEX('Claim Data'!$E$4:$E$282,MATCH($B14&amp;G$6,'Claim Data'!$C$4:$C$282&amp;'Claim Data'!$B$4:$B$282,0)),"")</f>
        <v>9000</v>
      </c>
      <c r="H48" s="33">
        <f t="array" ref="H48">IFERROR(INDEX('Claim Data'!$E$4:$E$282,MATCH($B14&amp;H$6,'Claim Data'!$C$4:$C$282&amp;'Claim Data'!$B$4:$B$282,0)),"")</f>
        <v>13000</v>
      </c>
      <c r="I48" s="33">
        <f t="array" ref="I48">IFERROR(INDEX('Claim Data'!$E$4:$E$282,MATCH($B14&amp;I$6,'Claim Data'!$C$4:$C$282&amp;'Claim Data'!$B$4:$B$282,0)),"")</f>
        <v>143000</v>
      </c>
      <c r="J48" s="33">
        <f t="array" ref="J48">IFERROR(INDEX('Claim Data'!$E$4:$E$282,MATCH($B14&amp;J$6,'Claim Data'!$C$4:$C$282&amp;'Claim Data'!$B$4:$B$282,0)),"")</f>
        <v>239000</v>
      </c>
      <c r="K48" s="33">
        <f t="array" ref="K48">IFERROR(INDEX('Claim Data'!$E$4:$E$282,MATCH($B14&amp;K$6,'Claim Data'!$C$4:$C$282&amp;'Claim Data'!$B$4:$B$282,0)),"")</f>
        <v>457000</v>
      </c>
      <c r="L48" s="33" t="str">
        <f t="array" ref="L48">IFERROR(INDEX('Claim Data'!$E$4:$E$282,MATCH($B14&amp;L$6,'Claim Data'!$C$4:$C$282&amp;'Claim Data'!$B$4:$B$282,0)),"")</f>
        <v/>
      </c>
      <c r="M48" s="33" t="str">
        <f t="array" ref="M48">IFERROR(INDEX('Claim Data'!$E$4:$E$282,MATCH($B14&amp;M$6,'Claim Data'!$C$4:$C$282&amp;'Claim Data'!$B$4:$B$282,0)),"")</f>
        <v/>
      </c>
      <c r="N48" s="33" t="str">
        <f t="array" ref="N48">IFERROR(INDEX('Claim Data'!$E$4:$E$282,MATCH($B14&amp;N$6,'Claim Data'!$C$4:$C$282&amp;'Claim Data'!$B$4:$B$282,0)),"")</f>
        <v/>
      </c>
      <c r="O48" s="33" t="str">
        <f t="array" ref="O48">IFERROR(INDEX('Claim Data'!$E$4:$E$282,MATCH($B14&amp;O$6,'Claim Data'!$C$4:$C$282&amp;'Claim Data'!$B$4:$B$282,0)),"")</f>
        <v/>
      </c>
      <c r="P48" s="33" t="str">
        <f t="array" ref="P48">IFERROR(INDEX('Claim Data'!$E$4:$E$282,MATCH($B14&amp;P$6,'Claim Data'!$C$4:$C$282&amp;'Claim Data'!$B$4:$B$282,0)),"")</f>
        <v/>
      </c>
      <c r="Q48" s="33" t="str">
        <f t="array" ref="Q48">IFERROR(INDEX('Claim Data'!$E$4:$E$282,MATCH($B14&amp;Q$6,'Claim Data'!$C$4:$C$282&amp;'Claim Data'!$B$4:$B$282,0)),"")</f>
        <v/>
      </c>
      <c r="R48" s="33" t="str">
        <f t="array" ref="R48">IFERROR(INDEX('Claim Data'!$E$4:$E$282,MATCH($B14&amp;R$6,'Claim Data'!$C$4:$C$282&amp;'Claim Data'!$B$4:$B$282,0)),"")</f>
        <v/>
      </c>
      <c r="S48" s="33" t="str">
        <f t="array" ref="S48">IFERROR(INDEX('Claim Data'!$E$4:$E$282,MATCH($B14&amp;S$6,'Claim Data'!$C$4:$C$282&amp;'Claim Data'!$B$4:$B$282,0)),"")</f>
        <v/>
      </c>
      <c r="T48" s="33" t="str">
        <f t="array" ref="T48">IFERROR(INDEX('Claim Data'!$E$4:$E$282,MATCH($B14&amp;T$6,'Claim Data'!$C$4:$C$282&amp;'Claim Data'!$B$4:$B$282,0)),"")</f>
        <v/>
      </c>
      <c r="U48" s="33" t="str">
        <f t="array" ref="U48">IFERROR(INDEX('Claim Data'!$E$4:$E$282,MATCH($B14&amp;U$6,'Claim Data'!$C$4:$C$282&amp;'Claim Data'!$B$4:$B$282,0)),"")</f>
        <v/>
      </c>
      <c r="V48" s="33" t="str">
        <f t="array" ref="V48">IFERROR(INDEX('Claim Data'!$E$4:$E$282,MATCH($B14&amp;V$6,'Claim Data'!$C$4:$C$282&amp;'Claim Data'!$B$4:$B$282,0)),"")</f>
        <v/>
      </c>
      <c r="W48" s="33" t="str">
        <f t="array" ref="W48">IFERROR(INDEX('Claim Data'!$E$4:$E$282,MATCH($B14&amp;W$6,'Claim Data'!$C$4:$C$282&amp;'Claim Data'!$B$4:$B$282,0)),"")</f>
        <v/>
      </c>
      <c r="X48" s="33" t="str">
        <f t="array" ref="X48">IFERROR(INDEX('Claim Data'!$E$4:$E$282,MATCH($B14&amp;X$6,'Claim Data'!$C$4:$C$282&amp;'Claim Data'!$B$4:$B$282,0)),"")</f>
        <v/>
      </c>
      <c r="Y48" s="33" t="str">
        <f t="array" ref="Y48">IFERROR(INDEX('Claim Data'!$E$4:$E$282,MATCH($B14&amp;Y$6,'Claim Data'!$C$4:$C$282&amp;'Claim Data'!$B$4:$B$282,0)),"")</f>
        <v/>
      </c>
      <c r="Z48" s="33" t="str">
        <f t="array" ref="Z48">IFERROR(INDEX('Claim Data'!$E$4:$E$282,MATCH($B14&amp;Z$6,'Claim Data'!$C$4:$C$282&amp;'Claim Data'!$B$4:$B$282,0)),"")</f>
        <v/>
      </c>
      <c r="AA48" s="33" t="str">
        <f t="array" ref="AA48">IFERROR(INDEX('Claim Data'!$E$4:$E$282,MATCH($B14&amp;AA$6,'Claim Data'!$C$4:$C$282&amp;'Claim Data'!$B$4:$B$282,0)),"")</f>
        <v/>
      </c>
    </row>
    <row r="49" spans="2:27" x14ac:dyDescent="0.25">
      <c r="B49" s="28">
        <f t="shared" si="22"/>
        <v>40787</v>
      </c>
      <c r="C49" s="33">
        <f t="shared" si="21"/>
        <v>1399000</v>
      </c>
      <c r="D49" s="33">
        <f t="array" ref="D49">IFERROR(INDEX('Claim Data'!$E$4:$E$282,MATCH($B15&amp;D$6,'Claim Data'!$C$4:$C$282&amp;'Claim Data'!$B$4:$B$282,0)),"")</f>
        <v>1000</v>
      </c>
      <c r="E49" s="33">
        <f t="array" ref="E49">IFERROR(INDEX('Claim Data'!$E$4:$E$282,MATCH($B15&amp;E$6,'Claim Data'!$C$4:$C$282&amp;'Claim Data'!$B$4:$B$282,0)),"")</f>
        <v>4000</v>
      </c>
      <c r="F49" s="33">
        <f t="array" ref="F49">IFERROR(INDEX('Claim Data'!$E$4:$E$282,MATCH($B15&amp;F$6,'Claim Data'!$C$4:$C$282&amp;'Claim Data'!$B$4:$B$282,0)),"")</f>
        <v>8000</v>
      </c>
      <c r="G49" s="33">
        <f t="array" ref="G49">IFERROR(INDEX('Claim Data'!$E$4:$E$282,MATCH($B15&amp;G$6,'Claim Data'!$C$4:$C$282&amp;'Claim Data'!$B$4:$B$282,0)),"")</f>
        <v>4000</v>
      </c>
      <c r="H49" s="33">
        <f t="array" ref="H49">IFERROR(INDEX('Claim Data'!$E$4:$E$282,MATCH($B15&amp;H$6,'Claim Data'!$C$4:$C$282&amp;'Claim Data'!$B$4:$B$282,0)),"")</f>
        <v>4000</v>
      </c>
      <c r="I49" s="33">
        <f t="array" ref="I49">IFERROR(INDEX('Claim Data'!$E$4:$E$282,MATCH($B15&amp;I$6,'Claim Data'!$C$4:$C$282&amp;'Claim Data'!$B$4:$B$282,0)),"")</f>
        <v>24000</v>
      </c>
      <c r="J49" s="33">
        <f t="array" ref="J49">IFERROR(INDEX('Claim Data'!$E$4:$E$282,MATCH($B15&amp;J$6,'Claim Data'!$C$4:$C$282&amp;'Claim Data'!$B$4:$B$282,0)),"")</f>
        <v>162000</v>
      </c>
      <c r="K49" s="33">
        <f t="array" ref="K49">IFERROR(INDEX('Claim Data'!$E$4:$E$282,MATCH($B15&amp;K$6,'Claim Data'!$C$4:$C$282&amp;'Claim Data'!$B$4:$B$282,0)),"")</f>
        <v>705000</v>
      </c>
      <c r="L49" s="33">
        <f t="array" ref="L49">IFERROR(INDEX('Claim Data'!$E$4:$E$282,MATCH($B15&amp;L$6,'Claim Data'!$C$4:$C$282&amp;'Claim Data'!$B$4:$B$282,0)),"")</f>
        <v>487000</v>
      </c>
      <c r="M49" s="33" t="str">
        <f t="array" ref="M49">IFERROR(INDEX('Claim Data'!$E$4:$E$282,MATCH($B15&amp;M$6,'Claim Data'!$C$4:$C$282&amp;'Claim Data'!$B$4:$B$282,0)),"")</f>
        <v/>
      </c>
      <c r="N49" s="33" t="str">
        <f t="array" ref="N49">IFERROR(INDEX('Claim Data'!$E$4:$E$282,MATCH($B15&amp;N$6,'Claim Data'!$C$4:$C$282&amp;'Claim Data'!$B$4:$B$282,0)),"")</f>
        <v/>
      </c>
      <c r="O49" s="33" t="str">
        <f t="array" ref="O49">IFERROR(INDEX('Claim Data'!$E$4:$E$282,MATCH($B15&amp;O$6,'Claim Data'!$C$4:$C$282&amp;'Claim Data'!$B$4:$B$282,0)),"")</f>
        <v/>
      </c>
      <c r="P49" s="33" t="str">
        <f t="array" ref="P49">IFERROR(INDEX('Claim Data'!$E$4:$E$282,MATCH($B15&amp;P$6,'Claim Data'!$C$4:$C$282&amp;'Claim Data'!$B$4:$B$282,0)),"")</f>
        <v/>
      </c>
      <c r="Q49" s="33" t="str">
        <f t="array" ref="Q49">IFERROR(INDEX('Claim Data'!$E$4:$E$282,MATCH($B15&amp;Q$6,'Claim Data'!$C$4:$C$282&amp;'Claim Data'!$B$4:$B$282,0)),"")</f>
        <v/>
      </c>
      <c r="R49" s="33" t="str">
        <f t="array" ref="R49">IFERROR(INDEX('Claim Data'!$E$4:$E$282,MATCH($B15&amp;R$6,'Claim Data'!$C$4:$C$282&amp;'Claim Data'!$B$4:$B$282,0)),"")</f>
        <v/>
      </c>
      <c r="S49" s="33" t="str">
        <f t="array" ref="S49">IFERROR(INDEX('Claim Data'!$E$4:$E$282,MATCH($B15&amp;S$6,'Claim Data'!$C$4:$C$282&amp;'Claim Data'!$B$4:$B$282,0)),"")</f>
        <v/>
      </c>
      <c r="T49" s="33" t="str">
        <f t="array" ref="T49">IFERROR(INDEX('Claim Data'!$E$4:$E$282,MATCH($B15&amp;T$6,'Claim Data'!$C$4:$C$282&amp;'Claim Data'!$B$4:$B$282,0)),"")</f>
        <v/>
      </c>
      <c r="U49" s="33" t="str">
        <f t="array" ref="U49">IFERROR(INDEX('Claim Data'!$E$4:$E$282,MATCH($B15&amp;U$6,'Claim Data'!$C$4:$C$282&amp;'Claim Data'!$B$4:$B$282,0)),"")</f>
        <v/>
      </c>
      <c r="V49" s="33" t="str">
        <f t="array" ref="V49">IFERROR(INDEX('Claim Data'!$E$4:$E$282,MATCH($B15&amp;V$6,'Claim Data'!$C$4:$C$282&amp;'Claim Data'!$B$4:$B$282,0)),"")</f>
        <v/>
      </c>
      <c r="W49" s="33" t="str">
        <f t="array" ref="W49">IFERROR(INDEX('Claim Data'!$E$4:$E$282,MATCH($B15&amp;W$6,'Claim Data'!$C$4:$C$282&amp;'Claim Data'!$B$4:$B$282,0)),"")</f>
        <v/>
      </c>
      <c r="X49" s="33" t="str">
        <f t="array" ref="X49">IFERROR(INDEX('Claim Data'!$E$4:$E$282,MATCH($B15&amp;X$6,'Claim Data'!$C$4:$C$282&amp;'Claim Data'!$B$4:$B$282,0)),"")</f>
        <v/>
      </c>
      <c r="Y49" s="33" t="str">
        <f t="array" ref="Y49">IFERROR(INDEX('Claim Data'!$E$4:$E$282,MATCH($B15&amp;Y$6,'Claim Data'!$C$4:$C$282&amp;'Claim Data'!$B$4:$B$282,0)),"")</f>
        <v/>
      </c>
      <c r="Z49" s="33" t="str">
        <f t="array" ref="Z49">IFERROR(INDEX('Claim Data'!$E$4:$E$282,MATCH($B15&amp;Z$6,'Claim Data'!$C$4:$C$282&amp;'Claim Data'!$B$4:$B$282,0)),"")</f>
        <v/>
      </c>
      <c r="AA49" s="33" t="str">
        <f t="array" ref="AA49">IFERROR(INDEX('Claim Data'!$E$4:$E$282,MATCH($B15&amp;AA$6,'Claim Data'!$C$4:$C$282&amp;'Claim Data'!$B$4:$B$282,0)),"")</f>
        <v/>
      </c>
    </row>
    <row r="50" spans="2:27" x14ac:dyDescent="0.25">
      <c r="B50" s="28">
        <f t="shared" si="22"/>
        <v>40817</v>
      </c>
      <c r="C50" s="33">
        <f t="shared" si="21"/>
        <v>1162000</v>
      </c>
      <c r="D50" s="33">
        <f t="array" ref="D50">IFERROR(INDEX('Claim Data'!$E$4:$E$282,MATCH($B16&amp;D$6,'Claim Data'!$C$4:$C$282&amp;'Claim Data'!$B$4:$B$282,0)),"")</f>
        <v>9000</v>
      </c>
      <c r="E50" s="33">
        <f t="array" ref="E50">IFERROR(INDEX('Claim Data'!$E$4:$E$282,MATCH($B16&amp;E$6,'Claim Data'!$C$4:$C$282&amp;'Claim Data'!$B$4:$B$282,0)),"")</f>
        <v>6000</v>
      </c>
      <c r="F50" s="33">
        <f t="array" ref="F50">IFERROR(INDEX('Claim Data'!$E$4:$E$282,MATCH($B16&amp;F$6,'Claim Data'!$C$4:$C$282&amp;'Claim Data'!$B$4:$B$282,0)),"")</f>
        <v>5000</v>
      </c>
      <c r="G50" s="33">
        <f t="array" ref="G50">IFERROR(INDEX('Claim Data'!$E$4:$E$282,MATCH($B16&amp;G$6,'Claim Data'!$C$4:$C$282&amp;'Claim Data'!$B$4:$B$282,0)),"")</f>
        <v>21000</v>
      </c>
      <c r="H50" s="33">
        <f t="array" ref="H50">IFERROR(INDEX('Claim Data'!$E$4:$E$282,MATCH($B16&amp;H$6,'Claim Data'!$C$4:$C$282&amp;'Claim Data'!$B$4:$B$282,0)),"")</f>
        <v>6000</v>
      </c>
      <c r="I50" s="33">
        <f t="array" ref="I50">IFERROR(INDEX('Claim Data'!$E$4:$E$282,MATCH($B16&amp;I$6,'Claim Data'!$C$4:$C$282&amp;'Claim Data'!$B$4:$B$282,0)),"")</f>
        <v>21000</v>
      </c>
      <c r="J50" s="33">
        <f t="array" ref="J50">IFERROR(INDEX('Claim Data'!$E$4:$E$282,MATCH($B16&amp;J$6,'Claim Data'!$C$4:$C$282&amp;'Claim Data'!$B$4:$B$282,0)),"")</f>
        <v>10000</v>
      </c>
      <c r="K50" s="33">
        <f t="array" ref="K50">IFERROR(INDEX('Claim Data'!$E$4:$E$282,MATCH($B16&amp;K$6,'Claim Data'!$C$4:$C$282&amp;'Claim Data'!$B$4:$B$282,0)),"")</f>
        <v>99000</v>
      </c>
      <c r="L50" s="33">
        <f t="array" ref="L50">IFERROR(INDEX('Claim Data'!$E$4:$E$282,MATCH($B16&amp;L$6,'Claim Data'!$C$4:$C$282&amp;'Claim Data'!$B$4:$B$282,0)),"")</f>
        <v>513000</v>
      </c>
      <c r="M50" s="33">
        <f t="array" ref="M50">IFERROR(INDEX('Claim Data'!$E$4:$E$282,MATCH($B16&amp;M$6,'Claim Data'!$C$4:$C$282&amp;'Claim Data'!$B$4:$B$282,0)),"")</f>
        <v>472000</v>
      </c>
      <c r="N50" s="33" t="str">
        <f t="array" ref="N50">IFERROR(INDEX('Claim Data'!$E$4:$E$282,MATCH($B16&amp;N$6,'Claim Data'!$C$4:$C$282&amp;'Claim Data'!$B$4:$B$282,0)),"")</f>
        <v/>
      </c>
      <c r="O50" s="33" t="str">
        <f t="array" ref="O50">IFERROR(INDEX('Claim Data'!$E$4:$E$282,MATCH($B16&amp;O$6,'Claim Data'!$C$4:$C$282&amp;'Claim Data'!$B$4:$B$282,0)),"")</f>
        <v/>
      </c>
      <c r="P50" s="33" t="str">
        <f t="array" ref="P50">IFERROR(INDEX('Claim Data'!$E$4:$E$282,MATCH($B16&amp;P$6,'Claim Data'!$C$4:$C$282&amp;'Claim Data'!$B$4:$B$282,0)),"")</f>
        <v/>
      </c>
      <c r="Q50" s="33" t="str">
        <f t="array" ref="Q50">IFERROR(INDEX('Claim Data'!$E$4:$E$282,MATCH($B16&amp;Q$6,'Claim Data'!$C$4:$C$282&amp;'Claim Data'!$B$4:$B$282,0)),"")</f>
        <v/>
      </c>
      <c r="R50" s="33" t="str">
        <f t="array" ref="R50">IFERROR(INDEX('Claim Data'!$E$4:$E$282,MATCH($B16&amp;R$6,'Claim Data'!$C$4:$C$282&amp;'Claim Data'!$B$4:$B$282,0)),"")</f>
        <v/>
      </c>
      <c r="S50" s="33" t="str">
        <f t="array" ref="S50">IFERROR(INDEX('Claim Data'!$E$4:$E$282,MATCH($B16&amp;S$6,'Claim Data'!$C$4:$C$282&amp;'Claim Data'!$B$4:$B$282,0)),"")</f>
        <v/>
      </c>
      <c r="T50" s="33" t="str">
        <f t="array" ref="T50">IFERROR(INDEX('Claim Data'!$E$4:$E$282,MATCH($B16&amp;T$6,'Claim Data'!$C$4:$C$282&amp;'Claim Data'!$B$4:$B$282,0)),"")</f>
        <v/>
      </c>
      <c r="U50" s="33" t="str">
        <f t="array" ref="U50">IFERROR(INDEX('Claim Data'!$E$4:$E$282,MATCH($B16&amp;U$6,'Claim Data'!$C$4:$C$282&amp;'Claim Data'!$B$4:$B$282,0)),"")</f>
        <v/>
      </c>
      <c r="V50" s="33" t="str">
        <f t="array" ref="V50">IFERROR(INDEX('Claim Data'!$E$4:$E$282,MATCH($B16&amp;V$6,'Claim Data'!$C$4:$C$282&amp;'Claim Data'!$B$4:$B$282,0)),"")</f>
        <v/>
      </c>
      <c r="W50" s="33" t="str">
        <f t="array" ref="W50">IFERROR(INDEX('Claim Data'!$E$4:$E$282,MATCH($B16&amp;W$6,'Claim Data'!$C$4:$C$282&amp;'Claim Data'!$B$4:$B$282,0)),"")</f>
        <v/>
      </c>
      <c r="X50" s="33" t="str">
        <f t="array" ref="X50">IFERROR(INDEX('Claim Data'!$E$4:$E$282,MATCH($B16&amp;X$6,'Claim Data'!$C$4:$C$282&amp;'Claim Data'!$B$4:$B$282,0)),"")</f>
        <v/>
      </c>
      <c r="Y50" s="33" t="str">
        <f t="array" ref="Y50">IFERROR(INDEX('Claim Data'!$E$4:$E$282,MATCH($B16&amp;Y$6,'Claim Data'!$C$4:$C$282&amp;'Claim Data'!$B$4:$B$282,0)),"")</f>
        <v/>
      </c>
      <c r="Z50" s="33" t="str">
        <f t="array" ref="Z50">IFERROR(INDEX('Claim Data'!$E$4:$E$282,MATCH($B16&amp;Z$6,'Claim Data'!$C$4:$C$282&amp;'Claim Data'!$B$4:$B$282,0)),"")</f>
        <v/>
      </c>
      <c r="AA50" s="33" t="str">
        <f t="array" ref="AA50">IFERROR(INDEX('Claim Data'!$E$4:$E$282,MATCH($B16&amp;AA$6,'Claim Data'!$C$4:$C$282&amp;'Claim Data'!$B$4:$B$282,0)),"")</f>
        <v/>
      </c>
    </row>
    <row r="51" spans="2:27" x14ac:dyDescent="0.25">
      <c r="B51" s="28">
        <f t="shared" si="22"/>
        <v>40848</v>
      </c>
      <c r="C51" s="33">
        <f t="shared" si="21"/>
        <v>1034000</v>
      </c>
      <c r="D51" s="33">
        <f t="array" ref="D51">IFERROR(INDEX('Claim Data'!$E$4:$E$282,MATCH($B17&amp;D$6,'Claim Data'!$C$4:$C$282&amp;'Claim Data'!$B$4:$B$282,0)),"")</f>
        <v>1000</v>
      </c>
      <c r="E51" s="33">
        <f t="array" ref="E51">IFERROR(INDEX('Claim Data'!$E$4:$E$282,MATCH($B17&amp;E$6,'Claim Data'!$C$4:$C$282&amp;'Claim Data'!$B$4:$B$282,0)),"")</f>
        <v>0</v>
      </c>
      <c r="F51" s="33">
        <f t="array" ref="F51">IFERROR(INDEX('Claim Data'!$E$4:$E$282,MATCH($B17&amp;F$6,'Claim Data'!$C$4:$C$282&amp;'Claim Data'!$B$4:$B$282,0)),"")</f>
        <v>3000</v>
      </c>
      <c r="G51" s="33">
        <f t="array" ref="G51">IFERROR(INDEX('Claim Data'!$E$4:$E$282,MATCH($B17&amp;G$6,'Claim Data'!$C$4:$C$282&amp;'Claim Data'!$B$4:$B$282,0)),"")</f>
        <v>1000</v>
      </c>
      <c r="H51" s="33">
        <f t="array" ref="H51">IFERROR(INDEX('Claim Data'!$E$4:$E$282,MATCH($B17&amp;H$6,'Claim Data'!$C$4:$C$282&amp;'Claim Data'!$B$4:$B$282,0)),"")</f>
        <v>10000</v>
      </c>
      <c r="I51" s="33">
        <f t="array" ref="I51">IFERROR(INDEX('Claim Data'!$E$4:$E$282,MATCH($B17&amp;I$6,'Claim Data'!$C$4:$C$282&amp;'Claim Data'!$B$4:$B$282,0)),"")</f>
        <v>7000</v>
      </c>
      <c r="J51" s="33">
        <f t="array" ref="J51">IFERROR(INDEX('Claim Data'!$E$4:$E$282,MATCH($B17&amp;J$6,'Claim Data'!$C$4:$C$282&amp;'Claim Data'!$B$4:$B$282,0)),"")</f>
        <v>4000</v>
      </c>
      <c r="K51" s="33">
        <f t="array" ref="K51">IFERROR(INDEX('Claim Data'!$E$4:$E$282,MATCH($B17&amp;K$6,'Claim Data'!$C$4:$C$282&amp;'Claim Data'!$B$4:$B$282,0)),"")</f>
        <v>69000</v>
      </c>
      <c r="L51" s="33">
        <f t="array" ref="L51">IFERROR(INDEX('Claim Data'!$E$4:$E$282,MATCH($B17&amp;L$6,'Claim Data'!$C$4:$C$282&amp;'Claim Data'!$B$4:$B$282,0)),"")</f>
        <v>151000</v>
      </c>
      <c r="M51" s="33">
        <f t="array" ref="M51">IFERROR(INDEX('Claim Data'!$E$4:$E$282,MATCH($B17&amp;M$6,'Claim Data'!$C$4:$C$282&amp;'Claim Data'!$B$4:$B$282,0)),"")</f>
        <v>432000</v>
      </c>
      <c r="N51" s="33">
        <f t="array" ref="N51">IFERROR(INDEX('Claim Data'!$E$4:$E$282,MATCH($B17&amp;N$6,'Claim Data'!$C$4:$C$282&amp;'Claim Data'!$B$4:$B$282,0)),"")</f>
        <v>356000</v>
      </c>
      <c r="O51" s="33" t="str">
        <f t="array" ref="O51">IFERROR(INDEX('Claim Data'!$E$4:$E$282,MATCH($B17&amp;O$6,'Claim Data'!$C$4:$C$282&amp;'Claim Data'!$B$4:$B$282,0)),"")</f>
        <v/>
      </c>
      <c r="P51" s="33" t="str">
        <f t="array" ref="P51">IFERROR(INDEX('Claim Data'!$E$4:$E$282,MATCH($B17&amp;P$6,'Claim Data'!$C$4:$C$282&amp;'Claim Data'!$B$4:$B$282,0)),"")</f>
        <v/>
      </c>
      <c r="Q51" s="33" t="str">
        <f t="array" ref="Q51">IFERROR(INDEX('Claim Data'!$E$4:$E$282,MATCH($B17&amp;Q$6,'Claim Data'!$C$4:$C$282&amp;'Claim Data'!$B$4:$B$282,0)),"")</f>
        <v/>
      </c>
      <c r="R51" s="33" t="str">
        <f t="array" ref="R51">IFERROR(INDEX('Claim Data'!$E$4:$E$282,MATCH($B17&amp;R$6,'Claim Data'!$C$4:$C$282&amp;'Claim Data'!$B$4:$B$282,0)),"")</f>
        <v/>
      </c>
      <c r="S51" s="33" t="str">
        <f t="array" ref="S51">IFERROR(INDEX('Claim Data'!$E$4:$E$282,MATCH($B17&amp;S$6,'Claim Data'!$C$4:$C$282&amp;'Claim Data'!$B$4:$B$282,0)),"")</f>
        <v/>
      </c>
      <c r="T51" s="33" t="str">
        <f t="array" ref="T51">IFERROR(INDEX('Claim Data'!$E$4:$E$282,MATCH($B17&amp;T$6,'Claim Data'!$C$4:$C$282&amp;'Claim Data'!$B$4:$B$282,0)),"")</f>
        <v/>
      </c>
      <c r="U51" s="33" t="str">
        <f t="array" ref="U51">IFERROR(INDEX('Claim Data'!$E$4:$E$282,MATCH($B17&amp;U$6,'Claim Data'!$C$4:$C$282&amp;'Claim Data'!$B$4:$B$282,0)),"")</f>
        <v/>
      </c>
      <c r="V51" s="33" t="str">
        <f t="array" ref="V51">IFERROR(INDEX('Claim Data'!$E$4:$E$282,MATCH($B17&amp;V$6,'Claim Data'!$C$4:$C$282&amp;'Claim Data'!$B$4:$B$282,0)),"")</f>
        <v/>
      </c>
      <c r="W51" s="33" t="str">
        <f t="array" ref="W51">IFERROR(INDEX('Claim Data'!$E$4:$E$282,MATCH($B17&amp;W$6,'Claim Data'!$C$4:$C$282&amp;'Claim Data'!$B$4:$B$282,0)),"")</f>
        <v/>
      </c>
      <c r="X51" s="33" t="str">
        <f t="array" ref="X51">IFERROR(INDEX('Claim Data'!$E$4:$E$282,MATCH($B17&amp;X$6,'Claim Data'!$C$4:$C$282&amp;'Claim Data'!$B$4:$B$282,0)),"")</f>
        <v/>
      </c>
      <c r="Y51" s="33" t="str">
        <f t="array" ref="Y51">IFERROR(INDEX('Claim Data'!$E$4:$E$282,MATCH($B17&amp;Y$6,'Claim Data'!$C$4:$C$282&amp;'Claim Data'!$B$4:$B$282,0)),"")</f>
        <v/>
      </c>
      <c r="Z51" s="33" t="str">
        <f t="array" ref="Z51">IFERROR(INDEX('Claim Data'!$E$4:$E$282,MATCH($B17&amp;Z$6,'Claim Data'!$C$4:$C$282&amp;'Claim Data'!$B$4:$B$282,0)),"")</f>
        <v/>
      </c>
      <c r="AA51" s="33" t="str">
        <f t="array" ref="AA51">IFERROR(INDEX('Claim Data'!$E$4:$E$282,MATCH($B17&amp;AA$6,'Claim Data'!$C$4:$C$282&amp;'Claim Data'!$B$4:$B$282,0)),"")</f>
        <v/>
      </c>
    </row>
    <row r="52" spans="2:27" x14ac:dyDescent="0.25">
      <c r="B52" s="28">
        <f t="shared" si="22"/>
        <v>40878</v>
      </c>
      <c r="C52" s="33">
        <f t="shared" si="21"/>
        <v>634000</v>
      </c>
      <c r="D52" s="33">
        <f t="array" ref="D52">IFERROR(INDEX('Claim Data'!$E$4:$E$282,MATCH($B18&amp;D$6,'Claim Data'!$C$4:$C$282&amp;'Claim Data'!$B$4:$B$282,0)),"")</f>
        <v>3000</v>
      </c>
      <c r="E52" s="33">
        <f t="array" ref="E52">IFERROR(INDEX('Claim Data'!$E$4:$E$282,MATCH($B18&amp;E$6,'Claim Data'!$C$4:$C$282&amp;'Claim Data'!$B$4:$B$282,0)),"")</f>
        <v>1000</v>
      </c>
      <c r="F52" s="33">
        <f t="array" ref="F52">IFERROR(INDEX('Claim Data'!$E$4:$E$282,MATCH($B18&amp;F$6,'Claim Data'!$C$4:$C$282&amp;'Claim Data'!$B$4:$B$282,0)),"")</f>
        <v>1000</v>
      </c>
      <c r="G52" s="33">
        <f t="array" ref="G52">IFERROR(INDEX('Claim Data'!$E$4:$E$282,MATCH($B18&amp;G$6,'Claim Data'!$C$4:$C$282&amp;'Claim Data'!$B$4:$B$282,0)),"")</f>
        <v>4000</v>
      </c>
      <c r="H52" s="33">
        <f t="array" ref="H52">IFERROR(INDEX('Claim Data'!$E$4:$E$282,MATCH($B18&amp;H$6,'Claim Data'!$C$4:$C$282&amp;'Claim Data'!$B$4:$B$282,0)),"")</f>
        <v>3000</v>
      </c>
      <c r="I52" s="33">
        <f t="array" ref="I52">IFERROR(INDEX('Claim Data'!$E$4:$E$282,MATCH($B18&amp;I$6,'Claim Data'!$C$4:$C$282&amp;'Claim Data'!$B$4:$B$282,0)),"")</f>
        <v>5000</v>
      </c>
      <c r="J52" s="33">
        <f t="array" ref="J52">IFERROR(INDEX('Claim Data'!$E$4:$E$282,MATCH($B18&amp;J$6,'Claim Data'!$C$4:$C$282&amp;'Claim Data'!$B$4:$B$282,0)),"")</f>
        <v>15000</v>
      </c>
      <c r="K52" s="33">
        <f t="array" ref="K52">IFERROR(INDEX('Claim Data'!$E$4:$E$282,MATCH($B18&amp;K$6,'Claim Data'!$C$4:$C$282&amp;'Claim Data'!$B$4:$B$282,0)),"")</f>
        <v>69000</v>
      </c>
      <c r="L52" s="33">
        <f t="array" ref="L52">IFERROR(INDEX('Claim Data'!$E$4:$E$282,MATCH($B18&amp;L$6,'Claim Data'!$C$4:$C$282&amp;'Claim Data'!$B$4:$B$282,0)),"")</f>
        <v>56000</v>
      </c>
      <c r="M52" s="33">
        <f t="array" ref="M52">IFERROR(INDEX('Claim Data'!$E$4:$E$282,MATCH($B18&amp;M$6,'Claim Data'!$C$4:$C$282&amp;'Claim Data'!$B$4:$B$282,0)),"")</f>
        <v>47000</v>
      </c>
      <c r="N52" s="33">
        <f t="array" ref="N52">IFERROR(INDEX('Claim Data'!$E$4:$E$282,MATCH($B18&amp;N$6,'Claim Data'!$C$4:$C$282&amp;'Claim Data'!$B$4:$B$282,0)),"")</f>
        <v>125000</v>
      </c>
      <c r="O52" s="33">
        <f t="array" ref="O52">IFERROR(INDEX('Claim Data'!$E$4:$E$282,MATCH($B18&amp;O$6,'Claim Data'!$C$4:$C$282&amp;'Claim Data'!$B$4:$B$282,0)),"")</f>
        <v>305000</v>
      </c>
      <c r="P52" s="33" t="str">
        <f t="array" ref="P52">IFERROR(INDEX('Claim Data'!$E$4:$E$282,MATCH($B18&amp;P$6,'Claim Data'!$C$4:$C$282&amp;'Claim Data'!$B$4:$B$282,0)),"")</f>
        <v/>
      </c>
      <c r="Q52" s="33" t="str">
        <f t="array" ref="Q52">IFERROR(INDEX('Claim Data'!$E$4:$E$282,MATCH($B18&amp;Q$6,'Claim Data'!$C$4:$C$282&amp;'Claim Data'!$B$4:$B$282,0)),"")</f>
        <v/>
      </c>
      <c r="R52" s="33" t="str">
        <f t="array" ref="R52">IFERROR(INDEX('Claim Data'!$E$4:$E$282,MATCH($B18&amp;R$6,'Claim Data'!$C$4:$C$282&amp;'Claim Data'!$B$4:$B$282,0)),"")</f>
        <v/>
      </c>
      <c r="S52" s="33" t="str">
        <f t="array" ref="S52">IFERROR(INDEX('Claim Data'!$E$4:$E$282,MATCH($B18&amp;S$6,'Claim Data'!$C$4:$C$282&amp;'Claim Data'!$B$4:$B$282,0)),"")</f>
        <v/>
      </c>
      <c r="T52" s="33" t="str">
        <f t="array" ref="T52">IFERROR(INDEX('Claim Data'!$E$4:$E$282,MATCH($B18&amp;T$6,'Claim Data'!$C$4:$C$282&amp;'Claim Data'!$B$4:$B$282,0)),"")</f>
        <v/>
      </c>
      <c r="U52" s="33" t="str">
        <f t="array" ref="U52">IFERROR(INDEX('Claim Data'!$E$4:$E$282,MATCH($B18&amp;U$6,'Claim Data'!$C$4:$C$282&amp;'Claim Data'!$B$4:$B$282,0)),"")</f>
        <v/>
      </c>
      <c r="V52" s="33" t="str">
        <f t="array" ref="V52">IFERROR(INDEX('Claim Data'!$E$4:$E$282,MATCH($B18&amp;V$6,'Claim Data'!$C$4:$C$282&amp;'Claim Data'!$B$4:$B$282,0)),"")</f>
        <v/>
      </c>
      <c r="W52" s="33" t="str">
        <f t="array" ref="W52">IFERROR(INDEX('Claim Data'!$E$4:$E$282,MATCH($B18&amp;W$6,'Claim Data'!$C$4:$C$282&amp;'Claim Data'!$B$4:$B$282,0)),"")</f>
        <v/>
      </c>
      <c r="X52" s="33" t="str">
        <f t="array" ref="X52">IFERROR(INDEX('Claim Data'!$E$4:$E$282,MATCH($B18&amp;X$6,'Claim Data'!$C$4:$C$282&amp;'Claim Data'!$B$4:$B$282,0)),"")</f>
        <v/>
      </c>
      <c r="Y52" s="33" t="str">
        <f t="array" ref="Y52">IFERROR(INDEX('Claim Data'!$E$4:$E$282,MATCH($B18&amp;Y$6,'Claim Data'!$C$4:$C$282&amp;'Claim Data'!$B$4:$B$282,0)),"")</f>
        <v/>
      </c>
      <c r="Z52" s="33" t="str">
        <f t="array" ref="Z52">IFERROR(INDEX('Claim Data'!$E$4:$E$282,MATCH($B18&amp;Z$6,'Claim Data'!$C$4:$C$282&amp;'Claim Data'!$B$4:$B$282,0)),"")</f>
        <v/>
      </c>
      <c r="AA52" s="33" t="str">
        <f t="array" ref="AA52">IFERROR(INDEX('Claim Data'!$E$4:$E$282,MATCH($B18&amp;AA$6,'Claim Data'!$C$4:$C$282&amp;'Claim Data'!$B$4:$B$282,0)),"")</f>
        <v/>
      </c>
    </row>
    <row r="53" spans="2:27" x14ac:dyDescent="0.25">
      <c r="B53" s="28">
        <f t="shared" si="22"/>
        <v>40909</v>
      </c>
      <c r="C53" s="33">
        <f t="shared" si="21"/>
        <v>744000</v>
      </c>
      <c r="D53" s="33">
        <f t="array" ref="D53">IFERROR(INDEX('Claim Data'!$E$4:$E$282,MATCH($B19&amp;D$6,'Claim Data'!$C$4:$C$282&amp;'Claim Data'!$B$4:$B$282,0)),"")</f>
        <v>0</v>
      </c>
      <c r="E53" s="33">
        <f t="array" ref="E53">IFERROR(INDEX('Claim Data'!$E$4:$E$282,MATCH($B19&amp;E$6,'Claim Data'!$C$4:$C$282&amp;'Claim Data'!$B$4:$B$282,0)),"")</f>
        <v>0</v>
      </c>
      <c r="F53" s="33">
        <f t="array" ref="F53">IFERROR(INDEX('Claim Data'!$E$4:$E$282,MATCH($B19&amp;F$6,'Claim Data'!$C$4:$C$282&amp;'Claim Data'!$B$4:$B$282,0)),"")</f>
        <v>0</v>
      </c>
      <c r="G53" s="33">
        <f t="array" ref="G53">IFERROR(INDEX('Claim Data'!$E$4:$E$282,MATCH($B19&amp;G$6,'Claim Data'!$C$4:$C$282&amp;'Claim Data'!$B$4:$B$282,0)),"")</f>
        <v>1000</v>
      </c>
      <c r="H53" s="33">
        <f t="array" ref="H53">IFERROR(INDEX('Claim Data'!$E$4:$E$282,MATCH($B19&amp;H$6,'Claim Data'!$C$4:$C$282&amp;'Claim Data'!$B$4:$B$282,0)),"")</f>
        <v>75000</v>
      </c>
      <c r="I53" s="33">
        <f t="array" ref="I53">IFERROR(INDEX('Claim Data'!$E$4:$E$282,MATCH($B19&amp;I$6,'Claim Data'!$C$4:$C$282&amp;'Claim Data'!$B$4:$B$282,0)),"")</f>
        <v>2000</v>
      </c>
      <c r="J53" s="33">
        <f t="array" ref="J53">IFERROR(INDEX('Claim Data'!$E$4:$E$282,MATCH($B19&amp;J$6,'Claim Data'!$C$4:$C$282&amp;'Claim Data'!$B$4:$B$282,0)),"")</f>
        <v>97000</v>
      </c>
      <c r="K53" s="33">
        <f t="array" ref="K53">IFERROR(INDEX('Claim Data'!$E$4:$E$282,MATCH($B19&amp;K$6,'Claim Data'!$C$4:$C$282&amp;'Claim Data'!$B$4:$B$282,0)),"")</f>
        <v>15000</v>
      </c>
      <c r="L53" s="33">
        <f t="array" ref="L53">IFERROR(INDEX('Claim Data'!$E$4:$E$282,MATCH($B19&amp;L$6,'Claim Data'!$C$4:$C$282&amp;'Claim Data'!$B$4:$B$282,0)),"")</f>
        <v>19000</v>
      </c>
      <c r="M53" s="33">
        <f t="array" ref="M53">IFERROR(INDEX('Claim Data'!$E$4:$E$282,MATCH($B19&amp;M$6,'Claim Data'!$C$4:$C$282&amp;'Claim Data'!$B$4:$B$282,0)),"")</f>
        <v>39000</v>
      </c>
      <c r="N53" s="33">
        <f t="array" ref="N53">IFERROR(INDEX('Claim Data'!$E$4:$E$282,MATCH($B19&amp;N$6,'Claim Data'!$C$4:$C$282&amp;'Claim Data'!$B$4:$B$282,0)),"")</f>
        <v>32000</v>
      </c>
      <c r="O53" s="33">
        <f t="array" ref="O53">IFERROR(INDEX('Claim Data'!$E$4:$E$282,MATCH($B19&amp;O$6,'Claim Data'!$C$4:$C$282&amp;'Claim Data'!$B$4:$B$282,0)),"")</f>
        <v>229000</v>
      </c>
      <c r="P53" s="33">
        <f t="array" ref="P53">IFERROR(INDEX('Claim Data'!$E$4:$E$282,MATCH($B19&amp;P$6,'Claim Data'!$C$4:$C$282&amp;'Claim Data'!$B$4:$B$282,0)),"")</f>
        <v>235000</v>
      </c>
      <c r="Q53" s="33" t="str">
        <f t="array" ref="Q53">IFERROR(INDEX('Claim Data'!$E$4:$E$282,MATCH($B19&amp;Q$6,'Claim Data'!$C$4:$C$282&amp;'Claim Data'!$B$4:$B$282,0)),"")</f>
        <v/>
      </c>
      <c r="R53" s="33" t="str">
        <f t="array" ref="R53">IFERROR(INDEX('Claim Data'!$E$4:$E$282,MATCH($B19&amp;R$6,'Claim Data'!$C$4:$C$282&amp;'Claim Data'!$B$4:$B$282,0)),"")</f>
        <v/>
      </c>
      <c r="S53" s="33" t="str">
        <f t="array" ref="S53">IFERROR(INDEX('Claim Data'!$E$4:$E$282,MATCH($B19&amp;S$6,'Claim Data'!$C$4:$C$282&amp;'Claim Data'!$B$4:$B$282,0)),"")</f>
        <v/>
      </c>
      <c r="T53" s="33" t="str">
        <f t="array" ref="T53">IFERROR(INDEX('Claim Data'!$E$4:$E$282,MATCH($B19&amp;T$6,'Claim Data'!$C$4:$C$282&amp;'Claim Data'!$B$4:$B$282,0)),"")</f>
        <v/>
      </c>
      <c r="U53" s="33" t="str">
        <f t="array" ref="U53">IFERROR(INDEX('Claim Data'!$E$4:$E$282,MATCH($B19&amp;U$6,'Claim Data'!$C$4:$C$282&amp;'Claim Data'!$B$4:$B$282,0)),"")</f>
        <v/>
      </c>
      <c r="V53" s="33" t="str">
        <f t="array" ref="V53">IFERROR(INDEX('Claim Data'!$E$4:$E$282,MATCH($B19&amp;V$6,'Claim Data'!$C$4:$C$282&amp;'Claim Data'!$B$4:$B$282,0)),"")</f>
        <v/>
      </c>
      <c r="W53" s="33" t="str">
        <f t="array" ref="W53">IFERROR(INDEX('Claim Data'!$E$4:$E$282,MATCH($B19&amp;W$6,'Claim Data'!$C$4:$C$282&amp;'Claim Data'!$B$4:$B$282,0)),"")</f>
        <v/>
      </c>
      <c r="X53" s="33" t="str">
        <f t="array" ref="X53">IFERROR(INDEX('Claim Data'!$E$4:$E$282,MATCH($B19&amp;X$6,'Claim Data'!$C$4:$C$282&amp;'Claim Data'!$B$4:$B$282,0)),"")</f>
        <v/>
      </c>
      <c r="Y53" s="33" t="str">
        <f t="array" ref="Y53">IFERROR(INDEX('Claim Data'!$E$4:$E$282,MATCH($B19&amp;Y$6,'Claim Data'!$C$4:$C$282&amp;'Claim Data'!$B$4:$B$282,0)),"")</f>
        <v/>
      </c>
      <c r="Z53" s="33" t="str">
        <f t="array" ref="Z53">IFERROR(INDEX('Claim Data'!$E$4:$E$282,MATCH($B19&amp;Z$6,'Claim Data'!$C$4:$C$282&amp;'Claim Data'!$B$4:$B$282,0)),"")</f>
        <v/>
      </c>
      <c r="AA53" s="33" t="str">
        <f t="array" ref="AA53">IFERROR(INDEX('Claim Data'!$E$4:$E$282,MATCH($B19&amp;AA$6,'Claim Data'!$C$4:$C$282&amp;'Claim Data'!$B$4:$B$282,0)),"")</f>
        <v/>
      </c>
    </row>
    <row r="54" spans="2:27" x14ac:dyDescent="0.25">
      <c r="B54" s="28">
        <f t="shared" si="22"/>
        <v>40940</v>
      </c>
      <c r="C54" s="33">
        <f t="shared" si="21"/>
        <v>447000</v>
      </c>
      <c r="D54" s="33">
        <f t="array" ref="D54">IFERROR(INDEX('Claim Data'!$E$4:$E$282,MATCH($B20&amp;D$6,'Claim Data'!$C$4:$C$282&amp;'Claim Data'!$B$4:$B$282,0)),"")</f>
        <v>0</v>
      </c>
      <c r="E54" s="33">
        <f t="array" ref="E54">IFERROR(INDEX('Claim Data'!$E$4:$E$282,MATCH($B20&amp;E$6,'Claim Data'!$C$4:$C$282&amp;'Claim Data'!$B$4:$B$282,0)),"")</f>
        <v>0</v>
      </c>
      <c r="F54" s="33">
        <f t="array" ref="F54">IFERROR(INDEX('Claim Data'!$E$4:$E$282,MATCH($B20&amp;F$6,'Claim Data'!$C$4:$C$282&amp;'Claim Data'!$B$4:$B$282,0)),"")</f>
        <v>1000</v>
      </c>
      <c r="G54" s="33">
        <f t="array" ref="G54">IFERROR(INDEX('Claim Data'!$E$4:$E$282,MATCH($B20&amp;G$6,'Claim Data'!$C$4:$C$282&amp;'Claim Data'!$B$4:$B$282,0)),"")</f>
        <v>0</v>
      </c>
      <c r="H54" s="33">
        <f t="array" ref="H54">IFERROR(INDEX('Claim Data'!$E$4:$E$282,MATCH($B20&amp;H$6,'Claim Data'!$C$4:$C$282&amp;'Claim Data'!$B$4:$B$282,0)),"")</f>
        <v>5000</v>
      </c>
      <c r="I54" s="33">
        <f t="array" ref="I54">IFERROR(INDEX('Claim Data'!$E$4:$E$282,MATCH($B20&amp;I$6,'Claim Data'!$C$4:$C$282&amp;'Claim Data'!$B$4:$B$282,0)),"")</f>
        <v>3000</v>
      </c>
      <c r="J54" s="33">
        <f t="array" ref="J54">IFERROR(INDEX('Claim Data'!$E$4:$E$282,MATCH($B20&amp;J$6,'Claim Data'!$C$4:$C$282&amp;'Claim Data'!$B$4:$B$282,0)),"")</f>
        <v>0</v>
      </c>
      <c r="K54" s="33">
        <f t="array" ref="K54">IFERROR(INDEX('Claim Data'!$E$4:$E$282,MATCH($B20&amp;K$6,'Claim Data'!$C$4:$C$282&amp;'Claim Data'!$B$4:$B$282,0)),"")</f>
        <v>3000</v>
      </c>
      <c r="L54" s="33">
        <f t="array" ref="L54">IFERROR(INDEX('Claim Data'!$E$4:$E$282,MATCH($B20&amp;L$6,'Claim Data'!$C$4:$C$282&amp;'Claim Data'!$B$4:$B$282,0)),"")</f>
        <v>2000</v>
      </c>
      <c r="M54" s="33">
        <f t="array" ref="M54">IFERROR(INDEX('Claim Data'!$E$4:$E$282,MATCH($B20&amp;M$6,'Claim Data'!$C$4:$C$282&amp;'Claim Data'!$B$4:$B$282,0)),"")</f>
        <v>5000</v>
      </c>
      <c r="N54" s="33">
        <f t="array" ref="N54">IFERROR(INDEX('Claim Data'!$E$4:$E$282,MATCH($B20&amp;N$6,'Claim Data'!$C$4:$C$282&amp;'Claim Data'!$B$4:$B$282,0)),"")</f>
        <v>8000</v>
      </c>
      <c r="O54" s="33">
        <f t="array" ref="O54">IFERROR(INDEX('Claim Data'!$E$4:$E$282,MATCH($B20&amp;O$6,'Claim Data'!$C$4:$C$282&amp;'Claim Data'!$B$4:$B$282,0)),"")</f>
        <v>53000</v>
      </c>
      <c r="P54" s="33">
        <f t="array" ref="P54">IFERROR(INDEX('Claim Data'!$E$4:$E$282,MATCH($B20&amp;P$6,'Claim Data'!$C$4:$C$282&amp;'Claim Data'!$B$4:$B$282,0)),"")</f>
        <v>91000</v>
      </c>
      <c r="Q54" s="33">
        <f t="array" ref="Q54">IFERROR(INDEX('Claim Data'!$E$4:$E$282,MATCH($B20&amp;Q$6,'Claim Data'!$C$4:$C$282&amp;'Claim Data'!$B$4:$B$282,0)),"")</f>
        <v>276000</v>
      </c>
      <c r="R54" s="33" t="str">
        <f t="array" ref="R54">IFERROR(INDEX('Claim Data'!$E$4:$E$282,MATCH($B20&amp;R$6,'Claim Data'!$C$4:$C$282&amp;'Claim Data'!$B$4:$B$282,0)),"")</f>
        <v/>
      </c>
      <c r="S54" s="33" t="str">
        <f t="array" ref="S54">IFERROR(INDEX('Claim Data'!$E$4:$E$282,MATCH($B20&amp;S$6,'Claim Data'!$C$4:$C$282&amp;'Claim Data'!$B$4:$B$282,0)),"")</f>
        <v/>
      </c>
      <c r="T54" s="33" t="str">
        <f t="array" ref="T54">IFERROR(INDEX('Claim Data'!$E$4:$E$282,MATCH($B20&amp;T$6,'Claim Data'!$C$4:$C$282&amp;'Claim Data'!$B$4:$B$282,0)),"")</f>
        <v/>
      </c>
      <c r="U54" s="33" t="str">
        <f t="array" ref="U54">IFERROR(INDEX('Claim Data'!$E$4:$E$282,MATCH($B20&amp;U$6,'Claim Data'!$C$4:$C$282&amp;'Claim Data'!$B$4:$B$282,0)),"")</f>
        <v/>
      </c>
      <c r="V54" s="33" t="str">
        <f t="array" ref="V54">IFERROR(INDEX('Claim Data'!$E$4:$E$282,MATCH($B20&amp;V$6,'Claim Data'!$C$4:$C$282&amp;'Claim Data'!$B$4:$B$282,0)),"")</f>
        <v/>
      </c>
      <c r="W54" s="33" t="str">
        <f t="array" ref="W54">IFERROR(INDEX('Claim Data'!$E$4:$E$282,MATCH($B20&amp;W$6,'Claim Data'!$C$4:$C$282&amp;'Claim Data'!$B$4:$B$282,0)),"")</f>
        <v/>
      </c>
      <c r="X54" s="33" t="str">
        <f t="array" ref="X54">IFERROR(INDEX('Claim Data'!$E$4:$E$282,MATCH($B20&amp;X$6,'Claim Data'!$C$4:$C$282&amp;'Claim Data'!$B$4:$B$282,0)),"")</f>
        <v/>
      </c>
      <c r="Y54" s="33" t="str">
        <f t="array" ref="Y54">IFERROR(INDEX('Claim Data'!$E$4:$E$282,MATCH($B20&amp;Y$6,'Claim Data'!$C$4:$C$282&amp;'Claim Data'!$B$4:$B$282,0)),"")</f>
        <v/>
      </c>
      <c r="Z54" s="33" t="str">
        <f t="array" ref="Z54">IFERROR(INDEX('Claim Data'!$E$4:$E$282,MATCH($B20&amp;Z$6,'Claim Data'!$C$4:$C$282&amp;'Claim Data'!$B$4:$B$282,0)),"")</f>
        <v/>
      </c>
      <c r="AA54" s="33" t="str">
        <f t="array" ref="AA54">IFERROR(INDEX('Claim Data'!$E$4:$E$282,MATCH($B20&amp;AA$6,'Claim Data'!$C$4:$C$282&amp;'Claim Data'!$B$4:$B$282,0)),"")</f>
        <v/>
      </c>
    </row>
    <row r="55" spans="2:27" x14ac:dyDescent="0.25">
      <c r="B55" s="28">
        <f t="shared" si="22"/>
        <v>40969</v>
      </c>
      <c r="C55" s="33">
        <f t="shared" si="21"/>
        <v>915000</v>
      </c>
      <c r="D55" s="33">
        <f t="array" ref="D55">IFERROR(INDEX('Claim Data'!$E$4:$E$282,MATCH($B21&amp;D$6,'Claim Data'!$C$4:$C$282&amp;'Claim Data'!$B$4:$B$282,0)),"")</f>
        <v>0</v>
      </c>
      <c r="E55" s="33">
        <f t="array" ref="E55">IFERROR(INDEX('Claim Data'!$E$4:$E$282,MATCH($B21&amp;E$6,'Claim Data'!$C$4:$C$282&amp;'Claim Data'!$B$4:$B$282,0)),"")</f>
        <v>1000</v>
      </c>
      <c r="F55" s="33">
        <f t="array" ref="F55">IFERROR(INDEX('Claim Data'!$E$4:$E$282,MATCH($B21&amp;F$6,'Claim Data'!$C$4:$C$282&amp;'Claim Data'!$B$4:$B$282,0)),"")</f>
        <v>0</v>
      </c>
      <c r="G55" s="33">
        <f t="array" ref="G55">IFERROR(INDEX('Claim Data'!$E$4:$E$282,MATCH($B21&amp;G$6,'Claim Data'!$C$4:$C$282&amp;'Claim Data'!$B$4:$B$282,0)),"")</f>
        <v>0</v>
      </c>
      <c r="H55" s="33">
        <f t="array" ref="H55">IFERROR(INDEX('Claim Data'!$E$4:$E$282,MATCH($B21&amp;H$6,'Claim Data'!$C$4:$C$282&amp;'Claim Data'!$B$4:$B$282,0)),"")</f>
        <v>0</v>
      </c>
      <c r="I55" s="33">
        <f t="array" ref="I55">IFERROR(INDEX('Claim Data'!$E$4:$E$282,MATCH($B21&amp;I$6,'Claim Data'!$C$4:$C$282&amp;'Claim Data'!$B$4:$B$282,0)),"")</f>
        <v>0</v>
      </c>
      <c r="J55" s="33">
        <f t="array" ref="J55">IFERROR(INDEX('Claim Data'!$E$4:$E$282,MATCH($B21&amp;J$6,'Claim Data'!$C$4:$C$282&amp;'Claim Data'!$B$4:$B$282,0)),"")</f>
        <v>14000</v>
      </c>
      <c r="K55" s="33">
        <f t="array" ref="K55">IFERROR(INDEX('Claim Data'!$E$4:$E$282,MATCH($B21&amp;K$6,'Claim Data'!$C$4:$C$282&amp;'Claim Data'!$B$4:$B$282,0)),"")</f>
        <v>12000</v>
      </c>
      <c r="L55" s="33">
        <f t="array" ref="L55">IFERROR(INDEX('Claim Data'!$E$4:$E$282,MATCH($B21&amp;L$6,'Claim Data'!$C$4:$C$282&amp;'Claim Data'!$B$4:$B$282,0)),"")</f>
        <v>1000</v>
      </c>
      <c r="M55" s="33">
        <f t="array" ref="M55">IFERROR(INDEX('Claim Data'!$E$4:$E$282,MATCH($B21&amp;M$6,'Claim Data'!$C$4:$C$282&amp;'Claim Data'!$B$4:$B$282,0)),"")</f>
        <v>11000</v>
      </c>
      <c r="N55" s="33">
        <f t="array" ref="N55">IFERROR(INDEX('Claim Data'!$E$4:$E$282,MATCH($B21&amp;N$6,'Claim Data'!$C$4:$C$282&amp;'Claim Data'!$B$4:$B$282,0)),"")</f>
        <v>344000</v>
      </c>
      <c r="O55" s="33">
        <f t="array" ref="O55">IFERROR(INDEX('Claim Data'!$E$4:$E$282,MATCH($B21&amp;O$6,'Claim Data'!$C$4:$C$282&amp;'Claim Data'!$B$4:$B$282,0)),"")</f>
        <v>14000</v>
      </c>
      <c r="P55" s="33">
        <f t="array" ref="P55">IFERROR(INDEX('Claim Data'!$E$4:$E$282,MATCH($B21&amp;P$6,'Claim Data'!$C$4:$C$282&amp;'Claim Data'!$B$4:$B$282,0)),"")</f>
        <v>63000</v>
      </c>
      <c r="Q55" s="33">
        <f t="array" ref="Q55">IFERROR(INDEX('Claim Data'!$E$4:$E$282,MATCH($B21&amp;Q$6,'Claim Data'!$C$4:$C$282&amp;'Claim Data'!$B$4:$B$282,0)),"")</f>
        <v>227000</v>
      </c>
      <c r="R55" s="33">
        <f t="array" ref="R55">IFERROR(INDEX('Claim Data'!$E$4:$E$282,MATCH($B21&amp;R$6,'Claim Data'!$C$4:$C$282&amp;'Claim Data'!$B$4:$B$282,0)),"")</f>
        <v>228000</v>
      </c>
      <c r="S55" s="33" t="str">
        <f t="array" ref="S55">IFERROR(INDEX('Claim Data'!$E$4:$E$282,MATCH($B21&amp;S$6,'Claim Data'!$C$4:$C$282&amp;'Claim Data'!$B$4:$B$282,0)),"")</f>
        <v/>
      </c>
      <c r="T55" s="33" t="str">
        <f t="array" ref="T55">IFERROR(INDEX('Claim Data'!$E$4:$E$282,MATCH($B21&amp;T$6,'Claim Data'!$C$4:$C$282&amp;'Claim Data'!$B$4:$B$282,0)),"")</f>
        <v/>
      </c>
      <c r="U55" s="33" t="str">
        <f t="array" ref="U55">IFERROR(INDEX('Claim Data'!$E$4:$E$282,MATCH($B21&amp;U$6,'Claim Data'!$C$4:$C$282&amp;'Claim Data'!$B$4:$B$282,0)),"")</f>
        <v/>
      </c>
      <c r="V55" s="33" t="str">
        <f t="array" ref="V55">IFERROR(INDEX('Claim Data'!$E$4:$E$282,MATCH($B21&amp;V$6,'Claim Data'!$C$4:$C$282&amp;'Claim Data'!$B$4:$B$282,0)),"")</f>
        <v/>
      </c>
      <c r="W55" s="33" t="str">
        <f t="array" ref="W55">IFERROR(INDEX('Claim Data'!$E$4:$E$282,MATCH($B21&amp;W$6,'Claim Data'!$C$4:$C$282&amp;'Claim Data'!$B$4:$B$282,0)),"")</f>
        <v/>
      </c>
      <c r="X55" s="33" t="str">
        <f t="array" ref="X55">IFERROR(INDEX('Claim Data'!$E$4:$E$282,MATCH($B21&amp;X$6,'Claim Data'!$C$4:$C$282&amp;'Claim Data'!$B$4:$B$282,0)),"")</f>
        <v/>
      </c>
      <c r="Y55" s="33" t="str">
        <f t="array" ref="Y55">IFERROR(INDEX('Claim Data'!$E$4:$E$282,MATCH($B21&amp;Y$6,'Claim Data'!$C$4:$C$282&amp;'Claim Data'!$B$4:$B$282,0)),"")</f>
        <v/>
      </c>
      <c r="Z55" s="33" t="str">
        <f t="array" ref="Z55">IFERROR(INDEX('Claim Data'!$E$4:$E$282,MATCH($B21&amp;Z$6,'Claim Data'!$C$4:$C$282&amp;'Claim Data'!$B$4:$B$282,0)),"")</f>
        <v/>
      </c>
      <c r="AA55" s="33" t="str">
        <f t="array" ref="AA55">IFERROR(INDEX('Claim Data'!$E$4:$E$282,MATCH($B21&amp;AA$6,'Claim Data'!$C$4:$C$282&amp;'Claim Data'!$B$4:$B$282,0)),"")</f>
        <v/>
      </c>
    </row>
    <row r="56" spans="2:27" x14ac:dyDescent="0.25">
      <c r="B56" s="28">
        <f t="shared" si="22"/>
        <v>41000</v>
      </c>
      <c r="C56" s="33">
        <f t="shared" si="21"/>
        <v>613000</v>
      </c>
      <c r="D56" s="33">
        <f t="array" ref="D56">IFERROR(INDEX('Claim Data'!$E$4:$E$282,MATCH($B22&amp;D$6,'Claim Data'!$C$4:$C$282&amp;'Claim Data'!$B$4:$B$282,0)),"")</f>
        <v>0</v>
      </c>
      <c r="E56" s="33">
        <f t="array" ref="E56">IFERROR(INDEX('Claim Data'!$E$4:$E$282,MATCH($B22&amp;E$6,'Claim Data'!$C$4:$C$282&amp;'Claim Data'!$B$4:$B$282,0)),"")</f>
        <v>0</v>
      </c>
      <c r="F56" s="33">
        <f t="array" ref="F56">IFERROR(INDEX('Claim Data'!$E$4:$E$282,MATCH($B22&amp;F$6,'Claim Data'!$C$4:$C$282&amp;'Claim Data'!$B$4:$B$282,0)),"")</f>
        <v>0</v>
      </c>
      <c r="G56" s="33">
        <f t="array" ref="G56">IFERROR(INDEX('Claim Data'!$E$4:$E$282,MATCH($B22&amp;G$6,'Claim Data'!$C$4:$C$282&amp;'Claim Data'!$B$4:$B$282,0)),"")</f>
        <v>0</v>
      </c>
      <c r="H56" s="33">
        <f t="array" ref="H56">IFERROR(INDEX('Claim Data'!$E$4:$E$282,MATCH($B22&amp;H$6,'Claim Data'!$C$4:$C$282&amp;'Claim Data'!$B$4:$B$282,0)),"")</f>
        <v>1000</v>
      </c>
      <c r="I56" s="33">
        <f t="array" ref="I56">IFERROR(INDEX('Claim Data'!$E$4:$E$282,MATCH($B22&amp;I$6,'Claim Data'!$C$4:$C$282&amp;'Claim Data'!$B$4:$B$282,0)),"")</f>
        <v>1000</v>
      </c>
      <c r="J56" s="33">
        <f t="array" ref="J56">IFERROR(INDEX('Claim Data'!$E$4:$E$282,MATCH($B22&amp;J$6,'Claim Data'!$C$4:$C$282&amp;'Claim Data'!$B$4:$B$282,0)),"")</f>
        <v>1000</v>
      </c>
      <c r="K56" s="33">
        <f t="array" ref="K56">IFERROR(INDEX('Claim Data'!$E$4:$E$282,MATCH($B22&amp;K$6,'Claim Data'!$C$4:$C$282&amp;'Claim Data'!$B$4:$B$282,0)),"")</f>
        <v>15000</v>
      </c>
      <c r="L56" s="33">
        <f t="array" ref="L56">IFERROR(INDEX('Claim Data'!$E$4:$E$282,MATCH($B22&amp;L$6,'Claim Data'!$C$4:$C$282&amp;'Claim Data'!$B$4:$B$282,0)),"")</f>
        <v>5000</v>
      </c>
      <c r="M56" s="33">
        <f t="array" ref="M56">IFERROR(INDEX('Claim Data'!$E$4:$E$282,MATCH($B22&amp;M$6,'Claim Data'!$C$4:$C$282&amp;'Claim Data'!$B$4:$B$282,0)),"")</f>
        <v>1000</v>
      </c>
      <c r="N56" s="33">
        <f t="array" ref="N56">IFERROR(INDEX('Claim Data'!$E$4:$E$282,MATCH($B22&amp;N$6,'Claim Data'!$C$4:$C$282&amp;'Claim Data'!$B$4:$B$282,0)),"")</f>
        <v>250000</v>
      </c>
      <c r="O56" s="33">
        <f t="array" ref="O56">IFERROR(INDEX('Claim Data'!$E$4:$E$282,MATCH($B22&amp;O$6,'Claim Data'!$C$4:$C$282&amp;'Claim Data'!$B$4:$B$282,0)),"")</f>
        <v>13000</v>
      </c>
      <c r="P56" s="33">
        <f t="array" ref="P56">IFERROR(INDEX('Claim Data'!$E$4:$E$282,MATCH($B22&amp;P$6,'Claim Data'!$C$4:$C$282&amp;'Claim Data'!$B$4:$B$282,0)),"")</f>
        <v>13000</v>
      </c>
      <c r="Q56" s="33">
        <f t="array" ref="Q56">IFERROR(INDEX('Claim Data'!$E$4:$E$282,MATCH($B22&amp;Q$6,'Claim Data'!$C$4:$C$282&amp;'Claim Data'!$B$4:$B$282,0)),"")</f>
        <v>49000</v>
      </c>
      <c r="R56" s="33">
        <f t="array" ref="R56">IFERROR(INDEX('Claim Data'!$E$4:$E$282,MATCH($B22&amp;R$6,'Claim Data'!$C$4:$C$282&amp;'Claim Data'!$B$4:$B$282,0)),"")</f>
        <v>80000</v>
      </c>
      <c r="S56" s="33">
        <f t="array" ref="S56">IFERROR(INDEX('Claim Data'!$E$4:$E$282,MATCH($B22&amp;S$6,'Claim Data'!$C$4:$C$282&amp;'Claim Data'!$B$4:$B$282,0)),"")</f>
        <v>184000</v>
      </c>
      <c r="T56" s="33" t="str">
        <f t="array" ref="T56">IFERROR(INDEX('Claim Data'!$E$4:$E$282,MATCH($B22&amp;T$6,'Claim Data'!$C$4:$C$282&amp;'Claim Data'!$B$4:$B$282,0)),"")</f>
        <v/>
      </c>
      <c r="U56" s="33" t="str">
        <f t="array" ref="U56">IFERROR(INDEX('Claim Data'!$E$4:$E$282,MATCH($B22&amp;U$6,'Claim Data'!$C$4:$C$282&amp;'Claim Data'!$B$4:$B$282,0)),"")</f>
        <v/>
      </c>
      <c r="V56" s="33" t="str">
        <f t="array" ref="V56">IFERROR(INDEX('Claim Data'!$E$4:$E$282,MATCH($B22&amp;V$6,'Claim Data'!$C$4:$C$282&amp;'Claim Data'!$B$4:$B$282,0)),"")</f>
        <v/>
      </c>
      <c r="W56" s="33" t="str">
        <f t="array" ref="W56">IFERROR(INDEX('Claim Data'!$E$4:$E$282,MATCH($B22&amp;W$6,'Claim Data'!$C$4:$C$282&amp;'Claim Data'!$B$4:$B$282,0)),"")</f>
        <v/>
      </c>
      <c r="X56" s="33" t="str">
        <f t="array" ref="X56">IFERROR(INDEX('Claim Data'!$E$4:$E$282,MATCH($B22&amp;X$6,'Claim Data'!$C$4:$C$282&amp;'Claim Data'!$B$4:$B$282,0)),"")</f>
        <v/>
      </c>
      <c r="Y56" s="33" t="str">
        <f t="array" ref="Y56">IFERROR(INDEX('Claim Data'!$E$4:$E$282,MATCH($B22&amp;Y$6,'Claim Data'!$C$4:$C$282&amp;'Claim Data'!$B$4:$B$282,0)),"")</f>
        <v/>
      </c>
      <c r="Z56" s="33" t="str">
        <f t="array" ref="Z56">IFERROR(INDEX('Claim Data'!$E$4:$E$282,MATCH($B22&amp;Z$6,'Claim Data'!$C$4:$C$282&amp;'Claim Data'!$B$4:$B$282,0)),"")</f>
        <v/>
      </c>
      <c r="AA56" s="33" t="str">
        <f t="array" ref="AA56">IFERROR(INDEX('Claim Data'!$E$4:$E$282,MATCH($B22&amp;AA$6,'Claim Data'!$C$4:$C$282&amp;'Claim Data'!$B$4:$B$282,0)),"")</f>
        <v/>
      </c>
    </row>
    <row r="57" spans="2:27" x14ac:dyDescent="0.25">
      <c r="B57" s="28">
        <f t="shared" si="22"/>
        <v>41030</v>
      </c>
      <c r="C57" s="33">
        <f t="shared" si="21"/>
        <v>295000</v>
      </c>
      <c r="D57" s="33">
        <f t="array" ref="D57">IFERROR(INDEX('Claim Data'!$E$4:$E$282,MATCH($B23&amp;D$6,'Claim Data'!$C$4:$C$282&amp;'Claim Data'!$B$4:$B$282,0)),"")</f>
        <v>0</v>
      </c>
      <c r="E57" s="33">
        <f t="array" ref="E57">IFERROR(INDEX('Claim Data'!$E$4:$E$282,MATCH($B23&amp;E$6,'Claim Data'!$C$4:$C$282&amp;'Claim Data'!$B$4:$B$282,0)),"")</f>
        <v>0</v>
      </c>
      <c r="F57" s="33">
        <f t="array" ref="F57">IFERROR(INDEX('Claim Data'!$E$4:$E$282,MATCH($B23&amp;F$6,'Claim Data'!$C$4:$C$282&amp;'Claim Data'!$B$4:$B$282,0)),"")</f>
        <v>0</v>
      </c>
      <c r="G57" s="33">
        <f t="array" ref="G57">IFERROR(INDEX('Claim Data'!$E$4:$E$282,MATCH($B23&amp;G$6,'Claim Data'!$C$4:$C$282&amp;'Claim Data'!$B$4:$B$282,0)),"")</f>
        <v>0</v>
      </c>
      <c r="H57" s="33">
        <f t="array" ref="H57">IFERROR(INDEX('Claim Data'!$E$4:$E$282,MATCH($B23&amp;H$6,'Claim Data'!$C$4:$C$282&amp;'Claim Data'!$B$4:$B$282,0)),"")</f>
        <v>1000</v>
      </c>
      <c r="I57" s="33">
        <f t="array" ref="I57">IFERROR(INDEX('Claim Data'!$E$4:$E$282,MATCH($B23&amp;I$6,'Claim Data'!$C$4:$C$282&amp;'Claim Data'!$B$4:$B$282,0)),"")</f>
        <v>0</v>
      </c>
      <c r="J57" s="33">
        <f t="array" ref="J57">IFERROR(INDEX('Claim Data'!$E$4:$E$282,MATCH($B23&amp;J$6,'Claim Data'!$C$4:$C$282&amp;'Claim Data'!$B$4:$B$282,0)),"")</f>
        <v>0</v>
      </c>
      <c r="K57" s="33">
        <f t="array" ref="K57">IFERROR(INDEX('Claim Data'!$E$4:$E$282,MATCH($B23&amp;K$6,'Claim Data'!$C$4:$C$282&amp;'Claim Data'!$B$4:$B$282,0)),"")</f>
        <v>2000</v>
      </c>
      <c r="L57" s="33">
        <f t="array" ref="L57">IFERROR(INDEX('Claim Data'!$E$4:$E$282,MATCH($B23&amp;L$6,'Claim Data'!$C$4:$C$282&amp;'Claim Data'!$B$4:$B$282,0)),"")</f>
        <v>1000</v>
      </c>
      <c r="M57" s="33">
        <f t="array" ref="M57">IFERROR(INDEX('Claim Data'!$E$4:$E$282,MATCH($B23&amp;M$6,'Claim Data'!$C$4:$C$282&amp;'Claim Data'!$B$4:$B$282,0)),"")</f>
        <v>10000</v>
      </c>
      <c r="N57" s="33">
        <f t="array" ref="N57">IFERROR(INDEX('Claim Data'!$E$4:$E$282,MATCH($B23&amp;N$6,'Claim Data'!$C$4:$C$282&amp;'Claim Data'!$B$4:$B$282,0)),"")</f>
        <v>9000</v>
      </c>
      <c r="O57" s="33">
        <f t="array" ref="O57">IFERROR(INDEX('Claim Data'!$E$4:$E$282,MATCH($B23&amp;O$6,'Claim Data'!$C$4:$C$282&amp;'Claim Data'!$B$4:$B$282,0)),"")</f>
        <v>8000</v>
      </c>
      <c r="P57" s="33">
        <f t="array" ref="P57">IFERROR(INDEX('Claim Data'!$E$4:$E$282,MATCH($B23&amp;P$6,'Claim Data'!$C$4:$C$282&amp;'Claim Data'!$B$4:$B$282,0)),"")</f>
        <v>4000</v>
      </c>
      <c r="Q57" s="33">
        <f t="array" ref="Q57">IFERROR(INDEX('Claim Data'!$E$4:$E$282,MATCH($B23&amp;Q$6,'Claim Data'!$C$4:$C$282&amp;'Claim Data'!$B$4:$B$282,0)),"")</f>
        <v>18000</v>
      </c>
      <c r="R57" s="33">
        <f t="array" ref="R57">IFERROR(INDEX('Claim Data'!$E$4:$E$282,MATCH($B23&amp;R$6,'Claim Data'!$C$4:$C$282&amp;'Claim Data'!$B$4:$B$282,0)),"")</f>
        <v>18000</v>
      </c>
      <c r="S57" s="33">
        <f t="array" ref="S57">IFERROR(INDEX('Claim Data'!$E$4:$E$282,MATCH($B23&amp;S$6,'Claim Data'!$C$4:$C$282&amp;'Claim Data'!$B$4:$B$282,0)),"")</f>
        <v>39000</v>
      </c>
      <c r="T57" s="33">
        <f t="array" ref="T57">IFERROR(INDEX('Claim Data'!$E$4:$E$282,MATCH($B23&amp;T$6,'Claim Data'!$C$4:$C$282&amp;'Claim Data'!$B$4:$B$282,0)),"")</f>
        <v>185000</v>
      </c>
      <c r="U57" s="33" t="str">
        <f t="array" ref="U57">IFERROR(INDEX('Claim Data'!$E$4:$E$282,MATCH($B23&amp;U$6,'Claim Data'!$C$4:$C$282&amp;'Claim Data'!$B$4:$B$282,0)),"")</f>
        <v/>
      </c>
      <c r="V57" s="33" t="str">
        <f t="array" ref="V57">IFERROR(INDEX('Claim Data'!$E$4:$E$282,MATCH($B23&amp;V$6,'Claim Data'!$C$4:$C$282&amp;'Claim Data'!$B$4:$B$282,0)),"")</f>
        <v/>
      </c>
      <c r="W57" s="33" t="str">
        <f t="array" ref="W57">IFERROR(INDEX('Claim Data'!$E$4:$E$282,MATCH($B23&amp;W$6,'Claim Data'!$C$4:$C$282&amp;'Claim Data'!$B$4:$B$282,0)),"")</f>
        <v/>
      </c>
      <c r="X57" s="33" t="str">
        <f t="array" ref="X57">IFERROR(INDEX('Claim Data'!$E$4:$E$282,MATCH($B23&amp;X$6,'Claim Data'!$C$4:$C$282&amp;'Claim Data'!$B$4:$B$282,0)),"")</f>
        <v/>
      </c>
      <c r="Y57" s="33" t="str">
        <f t="array" ref="Y57">IFERROR(INDEX('Claim Data'!$E$4:$E$282,MATCH($B23&amp;Y$6,'Claim Data'!$C$4:$C$282&amp;'Claim Data'!$B$4:$B$282,0)),"")</f>
        <v/>
      </c>
      <c r="Z57" s="33" t="str">
        <f t="array" ref="Z57">IFERROR(INDEX('Claim Data'!$E$4:$E$282,MATCH($B23&amp;Z$6,'Claim Data'!$C$4:$C$282&amp;'Claim Data'!$B$4:$B$282,0)),"")</f>
        <v/>
      </c>
      <c r="AA57" s="33" t="str">
        <f t="array" ref="AA57">IFERROR(INDEX('Claim Data'!$E$4:$E$282,MATCH($B23&amp;AA$6,'Claim Data'!$C$4:$C$282&amp;'Claim Data'!$B$4:$B$282,0)),"")</f>
        <v/>
      </c>
    </row>
    <row r="58" spans="2:27" x14ac:dyDescent="0.25">
      <c r="B58" s="28">
        <f t="shared" si="22"/>
        <v>41061</v>
      </c>
      <c r="C58" s="33">
        <f t="shared" si="21"/>
        <v>422000</v>
      </c>
      <c r="D58" s="33">
        <f t="array" ref="D58">IFERROR(INDEX('Claim Data'!$E$4:$E$282,MATCH($B24&amp;D$6,'Claim Data'!$C$4:$C$282&amp;'Claim Data'!$B$4:$B$282,0)),"")</f>
        <v>0</v>
      </c>
      <c r="E58" s="33">
        <f t="array" ref="E58">IFERROR(INDEX('Claim Data'!$E$4:$E$282,MATCH($B24&amp;E$6,'Claim Data'!$C$4:$C$282&amp;'Claim Data'!$B$4:$B$282,0)),"")</f>
        <v>0</v>
      </c>
      <c r="F58" s="33">
        <f t="array" ref="F58">IFERROR(INDEX('Claim Data'!$E$4:$E$282,MATCH($B24&amp;F$6,'Claim Data'!$C$4:$C$282&amp;'Claim Data'!$B$4:$B$282,0)),"")</f>
        <v>2000</v>
      </c>
      <c r="G58" s="33">
        <f t="array" ref="G58">IFERROR(INDEX('Claim Data'!$E$4:$E$282,MATCH($B24&amp;G$6,'Claim Data'!$C$4:$C$282&amp;'Claim Data'!$B$4:$B$282,0)),"")</f>
        <v>0</v>
      </c>
      <c r="H58" s="33">
        <f t="array" ref="H58">IFERROR(INDEX('Claim Data'!$E$4:$E$282,MATCH($B24&amp;H$6,'Claim Data'!$C$4:$C$282&amp;'Claim Data'!$B$4:$B$282,0)),"")</f>
        <v>0</v>
      </c>
      <c r="I58" s="33">
        <f t="array" ref="I58">IFERROR(INDEX('Claim Data'!$E$4:$E$282,MATCH($B24&amp;I$6,'Claim Data'!$C$4:$C$282&amp;'Claim Data'!$B$4:$B$282,0)),"")</f>
        <v>0</v>
      </c>
      <c r="J58" s="33">
        <f t="array" ref="J58">IFERROR(INDEX('Claim Data'!$E$4:$E$282,MATCH($B24&amp;J$6,'Claim Data'!$C$4:$C$282&amp;'Claim Data'!$B$4:$B$282,0)),"")</f>
        <v>0</v>
      </c>
      <c r="K58" s="33">
        <f t="array" ref="K58">IFERROR(INDEX('Claim Data'!$E$4:$E$282,MATCH($B24&amp;K$6,'Claim Data'!$C$4:$C$282&amp;'Claim Data'!$B$4:$B$282,0)),"")</f>
        <v>1000</v>
      </c>
      <c r="L58" s="33">
        <f t="array" ref="L58">IFERROR(INDEX('Claim Data'!$E$4:$E$282,MATCH($B24&amp;L$6,'Claim Data'!$C$4:$C$282&amp;'Claim Data'!$B$4:$B$282,0)),"")</f>
        <v>0</v>
      </c>
      <c r="M58" s="33">
        <f t="array" ref="M58">IFERROR(INDEX('Claim Data'!$E$4:$E$282,MATCH($B24&amp;M$6,'Claim Data'!$C$4:$C$282&amp;'Claim Data'!$B$4:$B$282,0)),"")</f>
        <v>7000</v>
      </c>
      <c r="N58" s="33">
        <f t="array" ref="N58">IFERROR(INDEX('Claim Data'!$E$4:$E$282,MATCH($B24&amp;N$6,'Claim Data'!$C$4:$C$282&amp;'Claim Data'!$B$4:$B$282,0)),"")</f>
        <v>8000</v>
      </c>
      <c r="O58" s="33">
        <f t="array" ref="O58">IFERROR(INDEX('Claim Data'!$E$4:$E$282,MATCH($B24&amp;O$6,'Claim Data'!$C$4:$C$282&amp;'Claim Data'!$B$4:$B$282,0)),"")</f>
        <v>2000</v>
      </c>
      <c r="P58" s="33">
        <f t="array" ref="P58">IFERROR(INDEX('Claim Data'!$E$4:$E$282,MATCH($B24&amp;P$6,'Claim Data'!$C$4:$C$282&amp;'Claim Data'!$B$4:$B$282,0)),"")</f>
        <v>7000</v>
      </c>
      <c r="Q58" s="33">
        <f t="array" ref="Q58">IFERROR(INDEX('Claim Data'!$E$4:$E$282,MATCH($B24&amp;Q$6,'Claim Data'!$C$4:$C$282&amp;'Claim Data'!$B$4:$B$282,0)),"")</f>
        <v>24000</v>
      </c>
      <c r="R58" s="33">
        <f t="array" ref="R58">IFERROR(INDEX('Claim Data'!$E$4:$E$282,MATCH($B24&amp;R$6,'Claim Data'!$C$4:$C$282&amp;'Claim Data'!$B$4:$B$282,0)),"")</f>
        <v>31000</v>
      </c>
      <c r="S58" s="33">
        <f t="array" ref="S58">IFERROR(INDEX('Claim Data'!$E$4:$E$282,MATCH($B24&amp;S$6,'Claim Data'!$C$4:$C$282&amp;'Claim Data'!$B$4:$B$282,0)),"")</f>
        <v>101000</v>
      </c>
      <c r="T58" s="33">
        <f t="array" ref="T58">IFERROR(INDEX('Claim Data'!$E$4:$E$282,MATCH($B24&amp;T$6,'Claim Data'!$C$4:$C$282&amp;'Claim Data'!$B$4:$B$282,0)),"")</f>
        <v>50000</v>
      </c>
      <c r="U58" s="33">
        <f t="array" ref="U58">IFERROR(INDEX('Claim Data'!$E$4:$E$282,MATCH($B24&amp;U$6,'Claim Data'!$C$4:$C$282&amp;'Claim Data'!$B$4:$B$282,0)),"")</f>
        <v>189000</v>
      </c>
      <c r="V58" s="33" t="str">
        <f t="array" ref="V58">IFERROR(INDEX('Claim Data'!$E$4:$E$282,MATCH($B24&amp;V$6,'Claim Data'!$C$4:$C$282&amp;'Claim Data'!$B$4:$B$282,0)),"")</f>
        <v/>
      </c>
      <c r="W58" s="33" t="str">
        <f t="array" ref="W58">IFERROR(INDEX('Claim Data'!$E$4:$E$282,MATCH($B24&amp;W$6,'Claim Data'!$C$4:$C$282&amp;'Claim Data'!$B$4:$B$282,0)),"")</f>
        <v/>
      </c>
      <c r="X58" s="33" t="str">
        <f t="array" ref="X58">IFERROR(INDEX('Claim Data'!$E$4:$E$282,MATCH($B24&amp;X$6,'Claim Data'!$C$4:$C$282&amp;'Claim Data'!$B$4:$B$282,0)),"")</f>
        <v/>
      </c>
      <c r="Y58" s="33" t="str">
        <f t="array" ref="Y58">IFERROR(INDEX('Claim Data'!$E$4:$E$282,MATCH($B24&amp;Y$6,'Claim Data'!$C$4:$C$282&amp;'Claim Data'!$B$4:$B$282,0)),"")</f>
        <v/>
      </c>
      <c r="Z58" s="33" t="str">
        <f t="array" ref="Z58">IFERROR(INDEX('Claim Data'!$E$4:$E$282,MATCH($B24&amp;Z$6,'Claim Data'!$C$4:$C$282&amp;'Claim Data'!$B$4:$B$282,0)),"")</f>
        <v/>
      </c>
      <c r="AA58" s="33" t="str">
        <f t="array" ref="AA58">IFERROR(INDEX('Claim Data'!$E$4:$E$282,MATCH($B24&amp;AA$6,'Claim Data'!$C$4:$C$282&amp;'Claim Data'!$B$4:$B$282,0)),"")</f>
        <v/>
      </c>
    </row>
    <row r="59" spans="2:27" x14ac:dyDescent="0.25">
      <c r="B59" s="28">
        <f t="shared" si="22"/>
        <v>41091</v>
      </c>
      <c r="C59" s="33">
        <f t="shared" si="21"/>
        <v>497000</v>
      </c>
      <c r="D59" s="33" t="str">
        <f t="array" ref="D59">IFERROR(INDEX('Claim Data'!$E$4:$E$282,MATCH($B25&amp;D$6,'Claim Data'!$C$4:$C$282&amp;'Claim Data'!$B$4:$B$282,0)),"")</f>
        <v/>
      </c>
      <c r="E59" s="33">
        <f t="array" ref="E59">IFERROR(INDEX('Claim Data'!$E$4:$E$282,MATCH($B25&amp;E$6,'Claim Data'!$C$4:$C$282&amp;'Claim Data'!$B$4:$B$282,0)),"")</f>
        <v>0</v>
      </c>
      <c r="F59" s="33">
        <f t="array" ref="F59">IFERROR(INDEX('Claim Data'!$E$4:$E$282,MATCH($B25&amp;F$6,'Claim Data'!$C$4:$C$282&amp;'Claim Data'!$B$4:$B$282,0)),"")</f>
        <v>0</v>
      </c>
      <c r="G59" s="33">
        <f t="array" ref="G59">IFERROR(INDEX('Claim Data'!$E$4:$E$282,MATCH($B25&amp;G$6,'Claim Data'!$C$4:$C$282&amp;'Claim Data'!$B$4:$B$282,0)),"")</f>
        <v>0</v>
      </c>
      <c r="H59" s="33">
        <f t="array" ref="H59">IFERROR(INDEX('Claim Data'!$E$4:$E$282,MATCH($B25&amp;H$6,'Claim Data'!$C$4:$C$282&amp;'Claim Data'!$B$4:$B$282,0)),"")</f>
        <v>0</v>
      </c>
      <c r="I59" s="33">
        <f t="array" ref="I59">IFERROR(INDEX('Claim Data'!$E$4:$E$282,MATCH($B25&amp;I$6,'Claim Data'!$C$4:$C$282&amp;'Claim Data'!$B$4:$B$282,0)),"")</f>
        <v>2000</v>
      </c>
      <c r="J59" s="33">
        <f t="array" ref="J59">IFERROR(INDEX('Claim Data'!$E$4:$E$282,MATCH($B25&amp;J$6,'Claim Data'!$C$4:$C$282&amp;'Claim Data'!$B$4:$B$282,0)),"")</f>
        <v>3000</v>
      </c>
      <c r="K59" s="33">
        <f t="array" ref="K59">IFERROR(INDEX('Claim Data'!$E$4:$E$282,MATCH($B25&amp;K$6,'Claim Data'!$C$4:$C$282&amp;'Claim Data'!$B$4:$B$282,0)),"")</f>
        <v>0</v>
      </c>
      <c r="L59" s="33">
        <f t="array" ref="L59">IFERROR(INDEX('Claim Data'!$E$4:$E$282,MATCH($B25&amp;L$6,'Claim Data'!$C$4:$C$282&amp;'Claim Data'!$B$4:$B$282,0)),"")</f>
        <v>0</v>
      </c>
      <c r="M59" s="33">
        <f t="array" ref="M59">IFERROR(INDEX('Claim Data'!$E$4:$E$282,MATCH($B25&amp;M$6,'Claim Data'!$C$4:$C$282&amp;'Claim Data'!$B$4:$B$282,0)),"")</f>
        <v>1000</v>
      </c>
      <c r="N59" s="33">
        <f t="array" ref="N59">IFERROR(INDEX('Claim Data'!$E$4:$E$282,MATCH($B25&amp;N$6,'Claim Data'!$C$4:$C$282&amp;'Claim Data'!$B$4:$B$282,0)),"")</f>
        <v>0</v>
      </c>
      <c r="O59" s="33">
        <f t="array" ref="O59">IFERROR(INDEX('Claim Data'!$E$4:$E$282,MATCH($B25&amp;O$6,'Claim Data'!$C$4:$C$282&amp;'Claim Data'!$B$4:$B$282,0)),"")</f>
        <v>0</v>
      </c>
      <c r="P59" s="33">
        <f t="array" ref="P59">IFERROR(INDEX('Claim Data'!$E$4:$E$282,MATCH($B25&amp;P$6,'Claim Data'!$C$4:$C$282&amp;'Claim Data'!$B$4:$B$282,0)),"")</f>
        <v>7000</v>
      </c>
      <c r="Q59" s="33">
        <f t="array" ref="Q59">IFERROR(INDEX('Claim Data'!$E$4:$E$282,MATCH($B25&amp;Q$6,'Claim Data'!$C$4:$C$282&amp;'Claim Data'!$B$4:$B$282,0)),"")</f>
        <v>0</v>
      </c>
      <c r="R59" s="33">
        <f t="array" ref="R59">IFERROR(INDEX('Claim Data'!$E$4:$E$282,MATCH($B25&amp;R$6,'Claim Data'!$C$4:$C$282&amp;'Claim Data'!$B$4:$B$282,0)),"")</f>
        <v>3000</v>
      </c>
      <c r="S59" s="33">
        <f t="array" ref="S59">IFERROR(INDEX('Claim Data'!$E$4:$E$282,MATCH($B25&amp;S$6,'Claim Data'!$C$4:$C$282&amp;'Claim Data'!$B$4:$B$282,0)),"")</f>
        <v>6000</v>
      </c>
      <c r="T59" s="33">
        <f t="array" ref="T59">IFERROR(INDEX('Claim Data'!$E$4:$E$282,MATCH($B25&amp;T$6,'Claim Data'!$C$4:$C$282&amp;'Claim Data'!$B$4:$B$282,0)),"")</f>
        <v>172000</v>
      </c>
      <c r="U59" s="33">
        <f t="array" ref="U59">IFERROR(INDEX('Claim Data'!$E$4:$E$282,MATCH($B25&amp;U$6,'Claim Data'!$C$4:$C$282&amp;'Claim Data'!$B$4:$B$282,0)),"")</f>
        <v>152000</v>
      </c>
      <c r="V59" s="33">
        <f t="array" ref="V59">IFERROR(INDEX('Claim Data'!$E$4:$E$282,MATCH($B25&amp;V$6,'Claim Data'!$C$4:$C$282&amp;'Claim Data'!$B$4:$B$282,0)),"")</f>
        <v>151000</v>
      </c>
      <c r="W59" s="33" t="str">
        <f t="array" ref="W59">IFERROR(INDEX('Claim Data'!$E$4:$E$282,MATCH($B25&amp;W$6,'Claim Data'!$C$4:$C$282&amp;'Claim Data'!$B$4:$B$282,0)),"")</f>
        <v/>
      </c>
      <c r="X59" s="33" t="str">
        <f t="array" ref="X59">IFERROR(INDEX('Claim Data'!$E$4:$E$282,MATCH($B25&amp;X$6,'Claim Data'!$C$4:$C$282&amp;'Claim Data'!$B$4:$B$282,0)),"")</f>
        <v/>
      </c>
      <c r="Y59" s="33" t="str">
        <f t="array" ref="Y59">IFERROR(INDEX('Claim Data'!$E$4:$E$282,MATCH($B25&amp;Y$6,'Claim Data'!$C$4:$C$282&amp;'Claim Data'!$B$4:$B$282,0)),"")</f>
        <v/>
      </c>
      <c r="Z59" s="33" t="str">
        <f t="array" ref="Z59">IFERROR(INDEX('Claim Data'!$E$4:$E$282,MATCH($B25&amp;Z$6,'Claim Data'!$C$4:$C$282&amp;'Claim Data'!$B$4:$B$282,0)),"")</f>
        <v/>
      </c>
      <c r="AA59" s="33" t="str">
        <f t="array" ref="AA59">IFERROR(INDEX('Claim Data'!$E$4:$E$282,MATCH($B25&amp;AA$6,'Claim Data'!$C$4:$C$282&amp;'Claim Data'!$B$4:$B$282,0)),"")</f>
        <v/>
      </c>
    </row>
    <row r="60" spans="2:27" x14ac:dyDescent="0.25">
      <c r="B60" s="28">
        <f t="shared" si="22"/>
        <v>41122</v>
      </c>
      <c r="C60" s="33">
        <f t="shared" si="21"/>
        <v>718614</v>
      </c>
      <c r="D60" s="33" t="str">
        <f t="array" ref="D60">IFERROR(INDEX('Claim Data'!$E$4:$E$282,MATCH($B26&amp;D$6,'Claim Data'!$C$4:$C$282&amp;'Claim Data'!$B$4:$B$282,0)),"")</f>
        <v/>
      </c>
      <c r="E60" s="33" t="str">
        <f t="array" ref="E60">IFERROR(INDEX('Claim Data'!$E$4:$E$282,MATCH($B26&amp;E$6,'Claim Data'!$C$4:$C$282&amp;'Claim Data'!$B$4:$B$282,0)),"")</f>
        <v/>
      </c>
      <c r="F60" s="33">
        <f t="array" ref="F60">IFERROR(INDEX('Claim Data'!$E$4:$E$282,MATCH($B26&amp;F$6,'Claim Data'!$C$4:$C$282&amp;'Claim Data'!$B$4:$B$282,0)),"")</f>
        <v>3000</v>
      </c>
      <c r="G60" s="33">
        <f t="array" ref="G60">IFERROR(INDEX('Claim Data'!$E$4:$E$282,MATCH($B26&amp;G$6,'Claim Data'!$C$4:$C$282&amp;'Claim Data'!$B$4:$B$282,0)),"")</f>
        <v>0</v>
      </c>
      <c r="H60" s="33">
        <f t="array" ref="H60">IFERROR(INDEX('Claim Data'!$E$4:$E$282,MATCH($B26&amp;H$6,'Claim Data'!$C$4:$C$282&amp;'Claim Data'!$B$4:$B$282,0)),"")</f>
        <v>2000</v>
      </c>
      <c r="I60" s="33">
        <f t="array" ref="I60">IFERROR(INDEX('Claim Data'!$E$4:$E$282,MATCH($B26&amp;I$6,'Claim Data'!$C$4:$C$282&amp;'Claim Data'!$B$4:$B$282,0)),"")</f>
        <v>0</v>
      </c>
      <c r="J60" s="33">
        <f t="array" ref="J60">IFERROR(INDEX('Claim Data'!$E$4:$E$282,MATCH($B26&amp;J$6,'Claim Data'!$C$4:$C$282&amp;'Claim Data'!$B$4:$B$282,0)),"")</f>
        <v>0</v>
      </c>
      <c r="K60" s="33">
        <f t="array" ref="K60">IFERROR(INDEX('Claim Data'!$E$4:$E$282,MATCH($B26&amp;K$6,'Claim Data'!$C$4:$C$282&amp;'Claim Data'!$B$4:$B$282,0)),"")</f>
        <v>14500</v>
      </c>
      <c r="L60" s="33">
        <f t="array" ref="L60">IFERROR(INDEX('Claim Data'!$E$4:$E$282,MATCH($B26&amp;L$6,'Claim Data'!$C$4:$C$282&amp;'Claim Data'!$B$4:$B$282,0)),"")</f>
        <v>0</v>
      </c>
      <c r="M60" s="33">
        <f t="array" ref="M60">IFERROR(INDEX('Claim Data'!$E$4:$E$282,MATCH($B26&amp;M$6,'Claim Data'!$C$4:$C$282&amp;'Claim Data'!$B$4:$B$282,0)),"")</f>
        <v>2000</v>
      </c>
      <c r="N60" s="33">
        <f t="array" ref="N60">IFERROR(INDEX('Claim Data'!$E$4:$E$282,MATCH($B26&amp;N$6,'Claim Data'!$C$4:$C$282&amp;'Claim Data'!$B$4:$B$282,0)),"")</f>
        <v>3000</v>
      </c>
      <c r="O60" s="33">
        <f t="array" ref="O60">IFERROR(INDEX('Claim Data'!$E$4:$E$282,MATCH($B26&amp;O$6,'Claim Data'!$C$4:$C$282&amp;'Claim Data'!$B$4:$B$282,0)),"")</f>
        <v>5000</v>
      </c>
      <c r="P60" s="33">
        <f t="array" ref="P60">IFERROR(INDEX('Claim Data'!$E$4:$E$282,MATCH($B26&amp;P$6,'Claim Data'!$C$4:$C$282&amp;'Claim Data'!$B$4:$B$282,0)),"")</f>
        <v>3000</v>
      </c>
      <c r="Q60" s="33">
        <f t="array" ref="Q60">IFERROR(INDEX('Claim Data'!$E$4:$E$282,MATCH($B26&amp;Q$6,'Claim Data'!$C$4:$C$282&amp;'Claim Data'!$B$4:$B$282,0)),"")</f>
        <v>5000</v>
      </c>
      <c r="R60" s="33">
        <f t="array" ref="R60">IFERROR(INDEX('Claim Data'!$E$4:$E$282,MATCH($B26&amp;R$6,'Claim Data'!$C$4:$C$282&amp;'Claim Data'!$B$4:$B$282,0)),"")</f>
        <v>5000</v>
      </c>
      <c r="S60" s="33">
        <f t="array" ref="S60">IFERROR(INDEX('Claim Data'!$E$4:$E$282,MATCH($B26&amp;S$6,'Claim Data'!$C$4:$C$282&amp;'Claim Data'!$B$4:$B$282,0)),"")</f>
        <v>2000</v>
      </c>
      <c r="T60" s="33">
        <f t="array" ref="T60">IFERROR(INDEX('Claim Data'!$E$4:$E$282,MATCH($B26&amp;T$6,'Claim Data'!$C$4:$C$282&amp;'Claim Data'!$B$4:$B$282,0)),"")</f>
        <v>5000</v>
      </c>
      <c r="U60" s="33">
        <f t="array" ref="U60">IFERROR(INDEX('Claim Data'!$E$4:$E$282,MATCH($B26&amp;U$6,'Claim Data'!$C$4:$C$282&amp;'Claim Data'!$B$4:$B$282,0)),"")</f>
        <v>5000</v>
      </c>
      <c r="V60" s="33">
        <f t="array" ref="V60">IFERROR(INDEX('Claim Data'!$E$4:$E$282,MATCH($B26&amp;V$6,'Claim Data'!$C$4:$C$282&amp;'Claim Data'!$B$4:$B$282,0)),"")</f>
        <v>39000</v>
      </c>
      <c r="W60" s="33">
        <f t="array" ref="W60">IFERROR(INDEX('Claim Data'!$E$4:$E$282,MATCH($B26&amp;W$6,'Claim Data'!$C$4:$C$282&amp;'Claim Data'!$B$4:$B$282,0)),"")</f>
        <v>625114</v>
      </c>
      <c r="X60" s="33" t="str">
        <f t="array" ref="X60">IFERROR(INDEX('Claim Data'!$E$4:$E$282,MATCH($B26&amp;X$6,'Claim Data'!$C$4:$C$282&amp;'Claim Data'!$B$4:$B$282,0)),"")</f>
        <v/>
      </c>
      <c r="Y60" s="33" t="str">
        <f t="array" ref="Y60">IFERROR(INDEX('Claim Data'!$E$4:$E$282,MATCH($B26&amp;Y$6,'Claim Data'!$C$4:$C$282&amp;'Claim Data'!$B$4:$B$282,0)),"")</f>
        <v/>
      </c>
      <c r="Z60" s="33" t="str">
        <f t="array" ref="Z60">IFERROR(INDEX('Claim Data'!$E$4:$E$282,MATCH($B26&amp;Z$6,'Claim Data'!$C$4:$C$282&amp;'Claim Data'!$B$4:$B$282,0)),"")</f>
        <v/>
      </c>
      <c r="AA60" s="33" t="str">
        <f t="array" ref="AA60">IFERROR(INDEX('Claim Data'!$E$4:$E$282,MATCH($B26&amp;AA$6,'Claim Data'!$C$4:$C$282&amp;'Claim Data'!$B$4:$B$282,0)),"")</f>
        <v/>
      </c>
    </row>
    <row r="61" spans="2:27" x14ac:dyDescent="0.25">
      <c r="B61" s="28">
        <f t="shared" si="22"/>
        <v>41153</v>
      </c>
      <c r="C61" s="33">
        <f t="shared" si="21"/>
        <v>1604316</v>
      </c>
      <c r="D61" s="33" t="str">
        <f t="array" ref="D61">IFERROR(INDEX('Claim Data'!$E$4:$E$282,MATCH($B27&amp;D$6,'Claim Data'!$C$4:$C$282&amp;'Claim Data'!$B$4:$B$282,0)),"")</f>
        <v/>
      </c>
      <c r="E61" s="33" t="str">
        <f t="array" ref="E61">IFERROR(INDEX('Claim Data'!$E$4:$E$282,MATCH($B27&amp;E$6,'Claim Data'!$C$4:$C$282&amp;'Claim Data'!$B$4:$B$282,0)),"")</f>
        <v/>
      </c>
      <c r="F61" s="33" t="str">
        <f t="array" ref="F61">IFERROR(INDEX('Claim Data'!$E$4:$E$282,MATCH($B27&amp;F$6,'Claim Data'!$C$4:$C$282&amp;'Claim Data'!$B$4:$B$282,0)),"")</f>
        <v/>
      </c>
      <c r="G61" s="33">
        <f t="array" ref="G61">IFERROR(INDEX('Claim Data'!$E$4:$E$282,MATCH($B27&amp;G$6,'Claim Data'!$C$4:$C$282&amp;'Claim Data'!$B$4:$B$282,0)),"")</f>
        <v>0</v>
      </c>
      <c r="H61" s="33">
        <f t="array" ref="H61">IFERROR(INDEX('Claim Data'!$E$4:$E$282,MATCH($B27&amp;H$6,'Claim Data'!$C$4:$C$282&amp;'Claim Data'!$B$4:$B$282,0)),"")</f>
        <v>0</v>
      </c>
      <c r="I61" s="33">
        <f t="array" ref="I61">IFERROR(INDEX('Claim Data'!$E$4:$E$282,MATCH($B27&amp;I$6,'Claim Data'!$C$4:$C$282&amp;'Claim Data'!$B$4:$B$282,0)),"")</f>
        <v>0</v>
      </c>
      <c r="J61" s="33">
        <f t="array" ref="J61">IFERROR(INDEX('Claim Data'!$E$4:$E$282,MATCH($B27&amp;J$6,'Claim Data'!$C$4:$C$282&amp;'Claim Data'!$B$4:$B$282,0)),"")</f>
        <v>0</v>
      </c>
      <c r="K61" s="33">
        <f t="array" ref="K61">IFERROR(INDEX('Claim Data'!$E$4:$E$282,MATCH($B27&amp;K$6,'Claim Data'!$C$4:$C$282&amp;'Claim Data'!$B$4:$B$282,0)),"")</f>
        <v>0</v>
      </c>
      <c r="L61" s="33">
        <f t="array" ref="L61">IFERROR(INDEX('Claim Data'!$E$4:$E$282,MATCH($B27&amp;L$6,'Claim Data'!$C$4:$C$282&amp;'Claim Data'!$B$4:$B$282,0)),"")</f>
        <v>0</v>
      </c>
      <c r="M61" s="33">
        <f t="array" ref="M61">IFERROR(INDEX('Claim Data'!$E$4:$E$282,MATCH($B27&amp;M$6,'Claim Data'!$C$4:$C$282&amp;'Claim Data'!$B$4:$B$282,0)),"")</f>
        <v>1000</v>
      </c>
      <c r="N61" s="33">
        <f t="array" ref="N61">IFERROR(INDEX('Claim Data'!$E$4:$E$282,MATCH($B27&amp;N$6,'Claim Data'!$C$4:$C$282&amp;'Claim Data'!$B$4:$B$282,0)),"")</f>
        <v>7000</v>
      </c>
      <c r="O61" s="33">
        <f t="array" ref="O61">IFERROR(INDEX('Claim Data'!$E$4:$E$282,MATCH($B27&amp;O$6,'Claim Data'!$C$4:$C$282&amp;'Claim Data'!$B$4:$B$282,0)),"")</f>
        <v>0</v>
      </c>
      <c r="P61" s="33">
        <f t="array" ref="P61">IFERROR(INDEX('Claim Data'!$E$4:$E$282,MATCH($B27&amp;P$6,'Claim Data'!$C$4:$C$282&amp;'Claim Data'!$B$4:$B$282,0)),"")</f>
        <v>1000</v>
      </c>
      <c r="Q61" s="33">
        <f t="array" ref="Q61">IFERROR(INDEX('Claim Data'!$E$4:$E$282,MATCH($B27&amp;Q$6,'Claim Data'!$C$4:$C$282&amp;'Claim Data'!$B$4:$B$282,0)),"")</f>
        <v>2000</v>
      </c>
      <c r="R61" s="33">
        <f t="array" ref="R61">IFERROR(INDEX('Claim Data'!$E$4:$E$282,MATCH($B27&amp;R$6,'Claim Data'!$C$4:$C$282&amp;'Claim Data'!$B$4:$B$282,0)),"")</f>
        <v>6000</v>
      </c>
      <c r="S61" s="33">
        <f t="array" ref="S61">IFERROR(INDEX('Claim Data'!$E$4:$E$282,MATCH($B27&amp;S$6,'Claim Data'!$C$4:$C$282&amp;'Claim Data'!$B$4:$B$282,0)),"")</f>
        <v>5000</v>
      </c>
      <c r="T61" s="33">
        <f t="array" ref="T61">IFERROR(INDEX('Claim Data'!$E$4:$E$282,MATCH($B27&amp;T$6,'Claim Data'!$C$4:$C$282&amp;'Claim Data'!$B$4:$B$282,0)),"")</f>
        <v>5000</v>
      </c>
      <c r="U61" s="33">
        <f t="array" ref="U61">IFERROR(INDEX('Claim Data'!$E$4:$E$282,MATCH($B27&amp;U$6,'Claim Data'!$C$4:$C$282&amp;'Claim Data'!$B$4:$B$282,0)),"")</f>
        <v>14000</v>
      </c>
      <c r="V61" s="33">
        <f t="array" ref="V61">IFERROR(INDEX('Claim Data'!$E$4:$E$282,MATCH($B27&amp;V$6,'Claim Data'!$C$4:$C$282&amp;'Claim Data'!$B$4:$B$282,0)),"")</f>
        <v>15000</v>
      </c>
      <c r="W61" s="33">
        <f t="array" ref="W61">IFERROR(INDEX('Claim Data'!$E$4:$E$282,MATCH($B27&amp;W$6,'Claim Data'!$C$4:$C$282&amp;'Claim Data'!$B$4:$B$282,0)),"")</f>
        <v>711804</v>
      </c>
      <c r="X61" s="33">
        <f t="array" ref="X61">IFERROR(INDEX('Claim Data'!$E$4:$E$282,MATCH($B27&amp;X$6,'Claim Data'!$C$4:$C$282&amp;'Claim Data'!$B$4:$B$282,0)),"")</f>
        <v>836512</v>
      </c>
      <c r="Y61" s="33" t="str">
        <f t="array" ref="Y61">IFERROR(INDEX('Claim Data'!$E$4:$E$282,MATCH($B27&amp;Y$6,'Claim Data'!$C$4:$C$282&amp;'Claim Data'!$B$4:$B$282,0)),"")</f>
        <v/>
      </c>
      <c r="Z61" s="33" t="str">
        <f t="array" ref="Z61">IFERROR(INDEX('Claim Data'!$E$4:$E$282,MATCH($B27&amp;Z$6,'Claim Data'!$C$4:$C$282&amp;'Claim Data'!$B$4:$B$282,0)),"")</f>
        <v/>
      </c>
      <c r="AA61" s="33" t="str">
        <f t="array" ref="AA61">IFERROR(INDEX('Claim Data'!$E$4:$E$282,MATCH($B27&amp;AA$6,'Claim Data'!$C$4:$C$282&amp;'Claim Data'!$B$4:$B$282,0)),"")</f>
        <v/>
      </c>
    </row>
    <row r="62" spans="2:27" x14ac:dyDescent="0.25">
      <c r="B62" s="28">
        <f t="shared" si="22"/>
        <v>41183</v>
      </c>
      <c r="C62" s="33">
        <f t="shared" si="21"/>
        <v>1313354</v>
      </c>
      <c r="D62" s="33" t="str">
        <f t="array" ref="D62">IFERROR(INDEX('Claim Data'!$E$4:$E$282,MATCH($B28&amp;D$6,'Claim Data'!$C$4:$C$282&amp;'Claim Data'!$B$4:$B$282,0)),"")</f>
        <v/>
      </c>
      <c r="E62" s="33" t="str">
        <f t="array" ref="E62">IFERROR(INDEX('Claim Data'!$E$4:$E$282,MATCH($B28&amp;E$6,'Claim Data'!$C$4:$C$282&amp;'Claim Data'!$B$4:$B$282,0)),"")</f>
        <v/>
      </c>
      <c r="F62" s="33" t="str">
        <f t="array" ref="F62">IFERROR(INDEX('Claim Data'!$E$4:$E$282,MATCH($B28&amp;F$6,'Claim Data'!$C$4:$C$282&amp;'Claim Data'!$B$4:$B$282,0)),"")</f>
        <v/>
      </c>
      <c r="G62" s="33" t="str">
        <f t="array" ref="G62">IFERROR(INDEX('Claim Data'!$E$4:$E$282,MATCH($B28&amp;G$6,'Claim Data'!$C$4:$C$282&amp;'Claim Data'!$B$4:$B$282,0)),"")</f>
        <v/>
      </c>
      <c r="H62" s="33">
        <f t="array" ref="H62">IFERROR(INDEX('Claim Data'!$E$4:$E$282,MATCH($B28&amp;H$6,'Claim Data'!$C$4:$C$282&amp;'Claim Data'!$B$4:$B$282,0)),"")</f>
        <v>0</v>
      </c>
      <c r="I62" s="33">
        <f t="array" ref="I62">IFERROR(INDEX('Claim Data'!$E$4:$E$282,MATCH($B28&amp;I$6,'Claim Data'!$C$4:$C$282&amp;'Claim Data'!$B$4:$B$282,0)),"")</f>
        <v>0</v>
      </c>
      <c r="J62" s="33">
        <f t="array" ref="J62">IFERROR(INDEX('Claim Data'!$E$4:$E$282,MATCH($B28&amp;J$6,'Claim Data'!$C$4:$C$282&amp;'Claim Data'!$B$4:$B$282,0)),"")</f>
        <v>2000</v>
      </c>
      <c r="K62" s="33">
        <f t="array" ref="K62">IFERROR(INDEX('Claim Data'!$E$4:$E$282,MATCH($B28&amp;K$6,'Claim Data'!$C$4:$C$282&amp;'Claim Data'!$B$4:$B$282,0)),"")</f>
        <v>5000</v>
      </c>
      <c r="L62" s="33">
        <f t="array" ref="L62">IFERROR(INDEX('Claim Data'!$E$4:$E$282,MATCH($B28&amp;L$6,'Claim Data'!$C$4:$C$282&amp;'Claim Data'!$B$4:$B$282,0)),"")</f>
        <v>0</v>
      </c>
      <c r="M62" s="33">
        <f t="array" ref="M62">IFERROR(INDEX('Claim Data'!$E$4:$E$282,MATCH($B28&amp;M$6,'Claim Data'!$C$4:$C$282&amp;'Claim Data'!$B$4:$B$282,0)),"")</f>
        <v>4000</v>
      </c>
      <c r="N62" s="33">
        <f t="array" ref="N62">IFERROR(INDEX('Claim Data'!$E$4:$E$282,MATCH($B28&amp;N$6,'Claim Data'!$C$4:$C$282&amp;'Claim Data'!$B$4:$B$282,0)),"")</f>
        <v>1000</v>
      </c>
      <c r="O62" s="33">
        <f t="array" ref="O62">IFERROR(INDEX('Claim Data'!$E$4:$E$282,MATCH($B28&amp;O$6,'Claim Data'!$C$4:$C$282&amp;'Claim Data'!$B$4:$B$282,0)),"")</f>
        <v>51000</v>
      </c>
      <c r="P62" s="33">
        <f t="array" ref="P62">IFERROR(INDEX('Claim Data'!$E$4:$E$282,MATCH($B28&amp;P$6,'Claim Data'!$C$4:$C$282&amp;'Claim Data'!$B$4:$B$282,0)),"")</f>
        <v>3600</v>
      </c>
      <c r="Q62" s="33">
        <f t="array" ref="Q62">IFERROR(INDEX('Claim Data'!$E$4:$E$282,MATCH($B28&amp;Q$6,'Claim Data'!$C$4:$C$282&amp;'Claim Data'!$B$4:$B$282,0)),"")</f>
        <v>2100</v>
      </c>
      <c r="R62" s="33">
        <f t="array" ref="R62">IFERROR(INDEX('Claim Data'!$E$4:$E$282,MATCH($B28&amp;R$6,'Claim Data'!$C$4:$C$282&amp;'Claim Data'!$B$4:$B$282,0)),"")</f>
        <v>1000</v>
      </c>
      <c r="S62" s="33">
        <f t="array" ref="S62">IFERROR(INDEX('Claim Data'!$E$4:$E$282,MATCH($B28&amp;S$6,'Claim Data'!$C$4:$C$282&amp;'Claim Data'!$B$4:$B$282,0)),"")</f>
        <v>3000</v>
      </c>
      <c r="T62" s="33">
        <f t="array" ref="T62">IFERROR(INDEX('Claim Data'!$E$4:$E$282,MATCH($B28&amp;T$6,'Claim Data'!$C$4:$C$282&amp;'Claim Data'!$B$4:$B$282,0)),"")</f>
        <v>1000</v>
      </c>
      <c r="U62" s="33">
        <f t="array" ref="U62">IFERROR(INDEX('Claim Data'!$E$4:$E$282,MATCH($B28&amp;U$6,'Claim Data'!$C$4:$C$282&amp;'Claim Data'!$B$4:$B$282,0)),"")</f>
        <v>0</v>
      </c>
      <c r="V62" s="33">
        <f t="array" ref="V62">IFERROR(INDEX('Claim Data'!$E$4:$E$282,MATCH($B28&amp;V$6,'Claim Data'!$C$4:$C$282&amp;'Claim Data'!$B$4:$B$282,0)),"")</f>
        <v>5000</v>
      </c>
      <c r="W62" s="33">
        <f t="array" ref="W62">IFERROR(INDEX('Claim Data'!$E$4:$E$282,MATCH($B28&amp;W$6,'Claim Data'!$C$4:$C$282&amp;'Claim Data'!$B$4:$B$282,0)),"")</f>
        <v>237268</v>
      </c>
      <c r="X62" s="33">
        <f t="array" ref="X62">IFERROR(INDEX('Claim Data'!$E$4:$E$282,MATCH($B28&amp;X$6,'Claim Data'!$C$4:$C$282&amp;'Claim Data'!$B$4:$B$282,0)),"")</f>
        <v>241472</v>
      </c>
      <c r="Y62" s="33">
        <f t="array" ref="Y62">IFERROR(INDEX('Claim Data'!$E$4:$E$282,MATCH($B28&amp;Y$6,'Claim Data'!$C$4:$C$282&amp;'Claim Data'!$B$4:$B$282,0)),"")</f>
        <v>755914</v>
      </c>
      <c r="Z62" s="33" t="str">
        <f t="array" ref="Z62">IFERROR(INDEX('Claim Data'!$E$4:$E$282,MATCH($B28&amp;Z$6,'Claim Data'!$C$4:$C$282&amp;'Claim Data'!$B$4:$B$282,0)),"")</f>
        <v/>
      </c>
      <c r="AA62" s="33" t="str">
        <f t="array" ref="AA62">IFERROR(INDEX('Claim Data'!$E$4:$E$282,MATCH($B28&amp;AA$6,'Claim Data'!$C$4:$C$282&amp;'Claim Data'!$B$4:$B$282,0)),"")</f>
        <v/>
      </c>
    </row>
    <row r="63" spans="2:27" x14ac:dyDescent="0.25">
      <c r="B63" s="28">
        <f t="shared" si="22"/>
        <v>41214</v>
      </c>
      <c r="C63" s="33">
        <f t="shared" si="21"/>
        <v>2291114</v>
      </c>
      <c r="D63" s="33" t="str">
        <f t="array" ref="D63">IFERROR(INDEX('Claim Data'!$E$4:$E$282,MATCH($B29&amp;D$6,'Claim Data'!$C$4:$C$282&amp;'Claim Data'!$B$4:$B$282,0)),"")</f>
        <v/>
      </c>
      <c r="E63" s="33" t="str">
        <f t="array" ref="E63">IFERROR(INDEX('Claim Data'!$E$4:$E$282,MATCH($B29&amp;E$6,'Claim Data'!$C$4:$C$282&amp;'Claim Data'!$B$4:$B$282,0)),"")</f>
        <v/>
      </c>
      <c r="F63" s="33" t="str">
        <f t="array" ref="F63">IFERROR(INDEX('Claim Data'!$E$4:$E$282,MATCH($B29&amp;F$6,'Claim Data'!$C$4:$C$282&amp;'Claim Data'!$B$4:$B$282,0)),"")</f>
        <v/>
      </c>
      <c r="G63" s="33" t="str">
        <f t="array" ref="G63">IFERROR(INDEX('Claim Data'!$E$4:$E$282,MATCH($B29&amp;G$6,'Claim Data'!$C$4:$C$282&amp;'Claim Data'!$B$4:$B$282,0)),"")</f>
        <v/>
      </c>
      <c r="H63" s="33" t="str">
        <f t="array" ref="H63">IFERROR(INDEX('Claim Data'!$E$4:$E$282,MATCH($B29&amp;H$6,'Claim Data'!$C$4:$C$282&amp;'Claim Data'!$B$4:$B$282,0)),"")</f>
        <v/>
      </c>
      <c r="I63" s="33">
        <f t="array" ref="I63">IFERROR(INDEX('Claim Data'!$E$4:$E$282,MATCH($B29&amp;I$6,'Claim Data'!$C$4:$C$282&amp;'Claim Data'!$B$4:$B$282,0)),"")</f>
        <v>1000</v>
      </c>
      <c r="J63" s="33">
        <f t="array" ref="J63">IFERROR(INDEX('Claim Data'!$E$4:$E$282,MATCH($B29&amp;J$6,'Claim Data'!$C$4:$C$282&amp;'Claim Data'!$B$4:$B$282,0)),"")</f>
        <v>3500</v>
      </c>
      <c r="K63" s="33">
        <f t="array" ref="K63">IFERROR(INDEX('Claim Data'!$E$4:$E$282,MATCH($B29&amp;K$6,'Claim Data'!$C$4:$C$282&amp;'Claim Data'!$B$4:$B$282,0)),"")</f>
        <v>1000</v>
      </c>
      <c r="L63" s="33">
        <f t="array" ref="L63">IFERROR(INDEX('Claim Data'!$E$4:$E$282,MATCH($B29&amp;L$6,'Claim Data'!$C$4:$C$282&amp;'Claim Data'!$B$4:$B$282,0)),"")</f>
        <v>1000</v>
      </c>
      <c r="M63" s="33">
        <f t="array" ref="M63">IFERROR(INDEX('Claim Data'!$E$4:$E$282,MATCH($B29&amp;M$6,'Claim Data'!$C$4:$C$282&amp;'Claim Data'!$B$4:$B$282,0)),"")</f>
        <v>18000</v>
      </c>
      <c r="N63" s="33">
        <f t="array" ref="N63">IFERROR(INDEX('Claim Data'!$E$4:$E$282,MATCH($B29&amp;N$6,'Claim Data'!$C$4:$C$282&amp;'Claim Data'!$B$4:$B$282,0)),"")</f>
        <v>2000</v>
      </c>
      <c r="O63" s="33">
        <f t="array" ref="O63">IFERROR(INDEX('Claim Data'!$E$4:$E$282,MATCH($B29&amp;O$6,'Claim Data'!$C$4:$C$282&amp;'Claim Data'!$B$4:$B$282,0)),"")</f>
        <v>48000</v>
      </c>
      <c r="P63" s="33">
        <f t="array" ref="P63">IFERROR(INDEX('Claim Data'!$E$4:$E$282,MATCH($B29&amp;P$6,'Claim Data'!$C$4:$C$282&amp;'Claim Data'!$B$4:$B$282,0)),"")</f>
        <v>2000</v>
      </c>
      <c r="Q63" s="33">
        <f t="array" ref="Q63">IFERROR(INDEX('Claim Data'!$E$4:$E$282,MATCH($B29&amp;Q$6,'Claim Data'!$C$4:$C$282&amp;'Claim Data'!$B$4:$B$282,0)),"")</f>
        <v>0</v>
      </c>
      <c r="R63" s="33">
        <f t="array" ref="R63">IFERROR(INDEX('Claim Data'!$E$4:$E$282,MATCH($B29&amp;R$6,'Claim Data'!$C$4:$C$282&amp;'Claim Data'!$B$4:$B$282,0)),"")</f>
        <v>1000</v>
      </c>
      <c r="S63" s="33">
        <f t="array" ref="S63">IFERROR(INDEX('Claim Data'!$E$4:$E$282,MATCH($B29&amp;S$6,'Claim Data'!$C$4:$C$282&amp;'Claim Data'!$B$4:$B$282,0)),"")</f>
        <v>1000</v>
      </c>
      <c r="T63" s="33">
        <f t="array" ref="T63">IFERROR(INDEX('Claim Data'!$E$4:$E$282,MATCH($B29&amp;T$6,'Claim Data'!$C$4:$C$282&amp;'Claim Data'!$B$4:$B$282,0)),"")</f>
        <v>1000</v>
      </c>
      <c r="U63" s="33">
        <f t="array" ref="U63">IFERROR(INDEX('Claim Data'!$E$4:$E$282,MATCH($B29&amp;U$6,'Claim Data'!$C$4:$C$282&amp;'Claim Data'!$B$4:$B$282,0)),"")</f>
        <v>2000</v>
      </c>
      <c r="V63" s="33">
        <f t="array" ref="V63">IFERROR(INDEX('Claim Data'!$E$4:$E$282,MATCH($B29&amp;V$6,'Claim Data'!$C$4:$C$282&amp;'Claim Data'!$B$4:$B$282,0)),"")</f>
        <v>1000</v>
      </c>
      <c r="W63" s="33">
        <f t="array" ref="W63">IFERROR(INDEX('Claim Data'!$E$4:$E$282,MATCH($B29&amp;W$6,'Claim Data'!$C$4:$C$282&amp;'Claim Data'!$B$4:$B$282,0)),"")</f>
        <v>9317</v>
      </c>
      <c r="X63" s="33">
        <f t="array" ref="X63">IFERROR(INDEX('Claim Data'!$E$4:$E$282,MATCH($B29&amp;X$6,'Claim Data'!$C$4:$C$282&amp;'Claim Data'!$B$4:$B$282,0)),"")</f>
        <v>357024</v>
      </c>
      <c r="Y63" s="33">
        <f t="array" ref="Y63">IFERROR(INDEX('Claim Data'!$E$4:$E$282,MATCH($B29&amp;Y$6,'Claim Data'!$C$4:$C$282&amp;'Claim Data'!$B$4:$B$282,0)),"")</f>
        <v>832809</v>
      </c>
      <c r="Z63" s="33">
        <f t="array" ref="Z63">IFERROR(INDEX('Claim Data'!$E$4:$E$282,MATCH($B29&amp;Z$6,'Claim Data'!$C$4:$C$282&amp;'Claim Data'!$B$4:$B$282,0)),"")</f>
        <v>1009464</v>
      </c>
      <c r="AA63" s="33" t="str">
        <f t="array" ref="AA63">IFERROR(INDEX('Claim Data'!$E$4:$E$282,MATCH($B29&amp;AA$6,'Claim Data'!$C$4:$C$282&amp;'Claim Data'!$B$4:$B$282,0)),"")</f>
        <v/>
      </c>
    </row>
    <row r="64" spans="2:27" x14ac:dyDescent="0.25">
      <c r="B64" s="28">
        <f t="shared" si="22"/>
        <v>41244</v>
      </c>
      <c r="C64" s="33">
        <f t="shared" si="21"/>
        <v>2643877</v>
      </c>
      <c r="D64" s="33" t="str">
        <f t="array" ref="D64">IFERROR(INDEX('Claim Data'!$E$4:$E$282,MATCH($B30&amp;D$6,'Claim Data'!$C$4:$C$282&amp;'Claim Data'!$B$4:$B$282,0)),"")</f>
        <v/>
      </c>
      <c r="E64" s="33" t="str">
        <f t="array" ref="E64">IFERROR(INDEX('Claim Data'!$E$4:$E$282,MATCH($B30&amp;E$6,'Claim Data'!$C$4:$C$282&amp;'Claim Data'!$B$4:$B$282,0)),"")</f>
        <v/>
      </c>
      <c r="F64" s="33" t="str">
        <f t="array" ref="F64">IFERROR(INDEX('Claim Data'!$E$4:$E$282,MATCH($B30&amp;F$6,'Claim Data'!$C$4:$C$282&amp;'Claim Data'!$B$4:$B$282,0)),"")</f>
        <v/>
      </c>
      <c r="G64" s="33" t="str">
        <f t="array" ref="G64">IFERROR(INDEX('Claim Data'!$E$4:$E$282,MATCH($B30&amp;G$6,'Claim Data'!$C$4:$C$282&amp;'Claim Data'!$B$4:$B$282,0)),"")</f>
        <v/>
      </c>
      <c r="H64" s="33" t="str">
        <f t="array" ref="H64">IFERROR(INDEX('Claim Data'!$E$4:$E$282,MATCH($B30&amp;H$6,'Claim Data'!$C$4:$C$282&amp;'Claim Data'!$B$4:$B$282,0)),"")</f>
        <v/>
      </c>
      <c r="I64" s="33" t="str">
        <f t="array" ref="I64">IFERROR(INDEX('Claim Data'!$E$4:$E$282,MATCH($B30&amp;I$6,'Claim Data'!$C$4:$C$282&amp;'Claim Data'!$B$4:$B$282,0)),"")</f>
        <v/>
      </c>
      <c r="J64" s="33">
        <f t="array" ref="J64">IFERROR(INDEX('Claim Data'!$E$4:$E$282,MATCH($B30&amp;J$6,'Claim Data'!$C$4:$C$282&amp;'Claim Data'!$B$4:$B$282,0)),"")</f>
        <v>13000</v>
      </c>
      <c r="K64" s="33">
        <f t="array" ref="K64">IFERROR(INDEX('Claim Data'!$E$4:$E$282,MATCH($B30&amp;K$6,'Claim Data'!$C$4:$C$282&amp;'Claim Data'!$B$4:$B$282,0)),"")</f>
        <v>0</v>
      </c>
      <c r="L64" s="33">
        <f t="array" ref="L64">IFERROR(INDEX('Claim Data'!$E$4:$E$282,MATCH($B30&amp;L$6,'Claim Data'!$C$4:$C$282&amp;'Claim Data'!$B$4:$B$282,0)),"")</f>
        <v>0</v>
      </c>
      <c r="M64" s="33">
        <f t="array" ref="M64">IFERROR(INDEX('Claim Data'!$E$4:$E$282,MATCH($B30&amp;M$6,'Claim Data'!$C$4:$C$282&amp;'Claim Data'!$B$4:$B$282,0)),"")</f>
        <v>1000</v>
      </c>
      <c r="N64" s="33">
        <f t="array" ref="N64">IFERROR(INDEX('Claim Data'!$E$4:$E$282,MATCH($B30&amp;N$6,'Claim Data'!$C$4:$C$282&amp;'Claim Data'!$B$4:$B$282,0)),"")</f>
        <v>2000</v>
      </c>
      <c r="O64" s="33">
        <f t="array" ref="O64">IFERROR(INDEX('Claim Data'!$E$4:$E$282,MATCH($B30&amp;O$6,'Claim Data'!$C$4:$C$282&amp;'Claim Data'!$B$4:$B$282,0)),"")</f>
        <v>1000</v>
      </c>
      <c r="P64" s="33">
        <f t="array" ref="P64">IFERROR(INDEX('Claim Data'!$E$4:$E$282,MATCH($B30&amp;P$6,'Claim Data'!$C$4:$C$282&amp;'Claim Data'!$B$4:$B$282,0)),"")</f>
        <v>4000</v>
      </c>
      <c r="Q64" s="33">
        <f t="array" ref="Q64">IFERROR(INDEX('Claim Data'!$E$4:$E$282,MATCH($B30&amp;Q$6,'Claim Data'!$C$4:$C$282&amp;'Claim Data'!$B$4:$B$282,0)),"")</f>
        <v>3500</v>
      </c>
      <c r="R64" s="33">
        <f t="array" ref="R64">IFERROR(INDEX('Claim Data'!$E$4:$E$282,MATCH($B30&amp;R$6,'Claim Data'!$C$4:$C$282&amp;'Claim Data'!$B$4:$B$282,0)),"")</f>
        <v>0</v>
      </c>
      <c r="S64" s="33">
        <f t="array" ref="S64">IFERROR(INDEX('Claim Data'!$E$4:$E$282,MATCH($B30&amp;S$6,'Claim Data'!$C$4:$C$282&amp;'Claim Data'!$B$4:$B$282,0)),"")</f>
        <v>1000</v>
      </c>
      <c r="T64" s="33">
        <f t="array" ref="T64">IFERROR(INDEX('Claim Data'!$E$4:$E$282,MATCH($B30&amp;T$6,'Claim Data'!$C$4:$C$282&amp;'Claim Data'!$B$4:$B$282,0)),"")</f>
        <v>3000</v>
      </c>
      <c r="U64" s="33">
        <f t="array" ref="U64">IFERROR(INDEX('Claim Data'!$E$4:$E$282,MATCH($B30&amp;U$6,'Claim Data'!$C$4:$C$282&amp;'Claim Data'!$B$4:$B$282,0)),"")</f>
        <v>1000</v>
      </c>
      <c r="V64" s="33">
        <f t="array" ref="V64">IFERROR(INDEX('Claim Data'!$E$4:$E$282,MATCH($B30&amp;V$6,'Claim Data'!$C$4:$C$282&amp;'Claim Data'!$B$4:$B$282,0)),"")</f>
        <v>3000</v>
      </c>
      <c r="W64" s="33">
        <f t="array" ref="W64">IFERROR(INDEX('Claim Data'!$E$4:$E$282,MATCH($B30&amp;W$6,'Claim Data'!$C$4:$C$282&amp;'Claim Data'!$B$4:$B$282,0)),"")</f>
        <v>2662</v>
      </c>
      <c r="X64" s="33">
        <f t="array" ref="X64">IFERROR(INDEX('Claim Data'!$E$4:$E$282,MATCH($B30&amp;X$6,'Claim Data'!$C$4:$C$282&amp;'Claim Data'!$B$4:$B$282,0)),"")</f>
        <v>12096</v>
      </c>
      <c r="Y64" s="33">
        <f t="array" ref="Y64">IFERROR(INDEX('Claim Data'!$E$4:$E$282,MATCH($B30&amp;Y$6,'Claim Data'!$C$4:$C$282&amp;'Claim Data'!$B$4:$B$282,0)),"")</f>
        <v>582278</v>
      </c>
      <c r="Z64" s="33">
        <f t="array" ref="Z64">IFERROR(INDEX('Claim Data'!$E$4:$E$282,MATCH($B30&amp;Z$6,'Claim Data'!$C$4:$C$282&amp;'Claim Data'!$B$4:$B$282,0)),"")</f>
        <v>594216</v>
      </c>
      <c r="AA64" s="33">
        <f t="array" ref="AA64">IFERROR(INDEX('Claim Data'!$E$4:$E$282,MATCH($B30&amp;AA$6,'Claim Data'!$C$4:$C$282&amp;'Claim Data'!$B$4:$B$282,0)),"")</f>
        <v>1420125</v>
      </c>
    </row>
    <row r="65" spans="2:27" x14ac:dyDescent="0.25">
      <c r="B65" s="28" t="s">
        <v>14</v>
      </c>
      <c r="C65" s="33">
        <f>SUM(D65:AA65)</f>
        <v>21199275</v>
      </c>
      <c r="D65" s="33">
        <f>SUM(D41:D64)</f>
        <v>390000</v>
      </c>
      <c r="E65" s="33">
        <f t="shared" ref="E65:AA65" si="23">SUM(E41:E64)</f>
        <v>746000</v>
      </c>
      <c r="F65" s="33">
        <f t="shared" si="23"/>
        <v>817000</v>
      </c>
      <c r="G65" s="33">
        <f t="shared" si="23"/>
        <v>192000</v>
      </c>
      <c r="H65" s="33">
        <f t="shared" si="23"/>
        <v>609000</v>
      </c>
      <c r="I65" s="33">
        <f t="shared" si="23"/>
        <v>743000</v>
      </c>
      <c r="J65" s="33">
        <f t="shared" si="23"/>
        <v>1089500</v>
      </c>
      <c r="K65" s="33">
        <f t="shared" si="23"/>
        <v>1467500</v>
      </c>
      <c r="L65" s="33">
        <f t="shared" si="23"/>
        <v>1236000</v>
      </c>
      <c r="M65" s="33">
        <f t="shared" si="23"/>
        <v>1051000</v>
      </c>
      <c r="N65" s="33">
        <f t="shared" si="23"/>
        <v>1147000</v>
      </c>
      <c r="O65" s="33">
        <f t="shared" si="23"/>
        <v>729000</v>
      </c>
      <c r="P65" s="33">
        <f t="shared" si="23"/>
        <v>433600</v>
      </c>
      <c r="Q65" s="33">
        <f t="shared" si="23"/>
        <v>606600</v>
      </c>
      <c r="R65" s="33">
        <f t="shared" si="23"/>
        <v>373000</v>
      </c>
      <c r="S65" s="33">
        <f t="shared" si="23"/>
        <v>342000</v>
      </c>
      <c r="T65" s="33">
        <f t="shared" si="23"/>
        <v>422000</v>
      </c>
      <c r="U65" s="33">
        <f t="shared" si="23"/>
        <v>363000</v>
      </c>
      <c r="V65" s="33">
        <f t="shared" si="23"/>
        <v>214000</v>
      </c>
      <c r="W65" s="33">
        <f t="shared" si="23"/>
        <v>1586165</v>
      </c>
      <c r="X65" s="33">
        <f t="shared" si="23"/>
        <v>1447104</v>
      </c>
      <c r="Y65" s="33">
        <f t="shared" si="23"/>
        <v>2171001</v>
      </c>
      <c r="Z65" s="33">
        <f t="shared" si="23"/>
        <v>1603680</v>
      </c>
      <c r="AA65" s="33">
        <f t="shared" si="23"/>
        <v>1420125</v>
      </c>
    </row>
    <row r="66" spans="2:27" x14ac:dyDescent="0.25">
      <c r="B66" s="28"/>
    </row>
    <row r="67" spans="2:27" x14ac:dyDescent="0.25">
      <c r="B67" s="28"/>
    </row>
    <row r="68" spans="2:27" x14ac:dyDescent="0.25">
      <c r="B68" s="28"/>
    </row>
    <row r="69" spans="2:27" x14ac:dyDescent="0.25">
      <c r="B69" s="28"/>
    </row>
    <row r="70" spans="2:27" x14ac:dyDescent="0.25">
      <c r="B70" s="28"/>
    </row>
    <row r="71" spans="2:27" x14ac:dyDescent="0.25">
      <c r="B71" s="28"/>
    </row>
    <row r="72" spans="2:27" x14ac:dyDescent="0.25">
      <c r="B72" s="28"/>
    </row>
    <row r="73" spans="2:27" x14ac:dyDescent="0.25">
      <c r="B73" s="28"/>
    </row>
    <row r="74" spans="2:27" x14ac:dyDescent="0.25">
      <c r="B74" s="28"/>
    </row>
    <row r="75" spans="2:27" x14ac:dyDescent="0.25">
      <c r="B75" s="31" t="str">
        <f>VALUE('Claim Data'!B4)&amp;VALUE('Claim Data'!C4)</f>
        <v>4054440544</v>
      </c>
    </row>
    <row r="76" spans="2:27" hidden="1" x14ac:dyDescent="0.25">
      <c r="B76" s="31" t="str">
        <f>'Claim Data'!C5&amp;'Claim Data'!B5</f>
        <v>4057540544</v>
      </c>
    </row>
    <row r="77" spans="2:27" hidden="1" x14ac:dyDescent="0.25">
      <c r="B77" s="31" t="str">
        <f>'Claim Data'!C6&amp;'Claim Data'!B6</f>
        <v>4060340544</v>
      </c>
    </row>
    <row r="78" spans="2:27" hidden="1" x14ac:dyDescent="0.25">
      <c r="B78" s="31" t="str">
        <f>'Claim Data'!C7&amp;'Claim Data'!B7</f>
        <v>4063440544</v>
      </c>
    </row>
    <row r="79" spans="2:27" hidden="1" x14ac:dyDescent="0.25">
      <c r="B79" s="31" t="str">
        <f>'Claim Data'!C8&amp;'Claim Data'!B8</f>
        <v>4066440544</v>
      </c>
    </row>
    <row r="80" spans="2:27" hidden="1" x14ac:dyDescent="0.25">
      <c r="B80" s="31" t="str">
        <f>'Claim Data'!C9&amp;'Claim Data'!B9</f>
        <v>4069540544</v>
      </c>
    </row>
    <row r="81" spans="2:2" hidden="1" x14ac:dyDescent="0.25">
      <c r="B81" s="31" t="str">
        <f>'Claim Data'!C10&amp;'Claim Data'!B10</f>
        <v>4072540544</v>
      </c>
    </row>
    <row r="82" spans="2:2" hidden="1" x14ac:dyDescent="0.25">
      <c r="B82" s="31" t="str">
        <f>'Claim Data'!C11&amp;'Claim Data'!B11</f>
        <v>4075640544</v>
      </c>
    </row>
    <row r="83" spans="2:2" hidden="1" x14ac:dyDescent="0.25">
      <c r="B83" s="31" t="str">
        <f>'Claim Data'!C12&amp;'Claim Data'!B12</f>
        <v>4078740544</v>
      </c>
    </row>
    <row r="84" spans="2:2" hidden="1" x14ac:dyDescent="0.25">
      <c r="B84" s="31" t="str">
        <f>'Claim Data'!C13&amp;'Claim Data'!B13</f>
        <v>4081740544</v>
      </c>
    </row>
    <row r="85" spans="2:2" hidden="1" x14ac:dyDescent="0.25">
      <c r="B85" s="31" t="str">
        <f>'Claim Data'!C14&amp;'Claim Data'!B14</f>
        <v>4084840544</v>
      </c>
    </row>
    <row r="86" spans="2:2" hidden="1" x14ac:dyDescent="0.25">
      <c r="B86" s="31" t="str">
        <f>'Claim Data'!C15&amp;'Claim Data'!B15</f>
        <v>4087840544</v>
      </c>
    </row>
    <row r="87" spans="2:2" hidden="1" x14ac:dyDescent="0.25">
      <c r="B87" s="31" t="str">
        <f>'Claim Data'!C16&amp;'Claim Data'!B16</f>
        <v>4090940544</v>
      </c>
    </row>
    <row r="88" spans="2:2" hidden="1" x14ac:dyDescent="0.25">
      <c r="B88" s="31" t="str">
        <f>'Claim Data'!C17&amp;'Claim Data'!B17</f>
        <v>4094040544</v>
      </c>
    </row>
    <row r="89" spans="2:2" hidden="1" x14ac:dyDescent="0.25">
      <c r="B89" s="31" t="str">
        <f>'Claim Data'!C18&amp;'Claim Data'!B18</f>
        <v>4096940544</v>
      </c>
    </row>
    <row r="90" spans="2:2" hidden="1" x14ac:dyDescent="0.25">
      <c r="B90" s="31" t="str">
        <f>'Claim Data'!C19&amp;'Claim Data'!B19</f>
        <v>4100040544</v>
      </c>
    </row>
    <row r="91" spans="2:2" hidden="1" x14ac:dyDescent="0.25">
      <c r="B91" s="31" t="str">
        <f>'Claim Data'!C20&amp;'Claim Data'!B20</f>
        <v>4103040544</v>
      </c>
    </row>
    <row r="92" spans="2:2" hidden="1" x14ac:dyDescent="0.25">
      <c r="B92" s="31" t="str">
        <f>'Claim Data'!C21&amp;'Claim Data'!B21</f>
        <v>4106140544</v>
      </c>
    </row>
    <row r="93" spans="2:2" hidden="1" x14ac:dyDescent="0.25">
      <c r="B93" s="31" t="str">
        <f>'Claim Data'!C22&amp;'Claim Data'!B22</f>
        <v>4057540575</v>
      </c>
    </row>
    <row r="94" spans="2:2" hidden="1" x14ac:dyDescent="0.25">
      <c r="B94" s="31" t="str">
        <f>'Claim Data'!C23&amp;'Claim Data'!B23</f>
        <v>4060340575</v>
      </c>
    </row>
    <row r="95" spans="2:2" hidden="1" x14ac:dyDescent="0.25">
      <c r="B95" s="31" t="str">
        <f>'Claim Data'!C24&amp;'Claim Data'!B24</f>
        <v>4063440575</v>
      </c>
    </row>
    <row r="96" spans="2:2" hidden="1" x14ac:dyDescent="0.25">
      <c r="B96" s="31" t="str">
        <f>'Claim Data'!C25&amp;'Claim Data'!B25</f>
        <v>4066440575</v>
      </c>
    </row>
    <row r="97" spans="2:2" hidden="1" x14ac:dyDescent="0.25">
      <c r="B97" s="31" t="str">
        <f>'Claim Data'!C26&amp;'Claim Data'!B26</f>
        <v>4069540575</v>
      </c>
    </row>
    <row r="98" spans="2:2" hidden="1" x14ac:dyDescent="0.25">
      <c r="B98" s="31" t="str">
        <f>'Claim Data'!C27&amp;'Claim Data'!B27</f>
        <v>4072540575</v>
      </c>
    </row>
    <row r="99" spans="2:2" hidden="1" x14ac:dyDescent="0.25">
      <c r="B99" s="31" t="str">
        <f>'Claim Data'!C28&amp;'Claim Data'!B28</f>
        <v>4075640575</v>
      </c>
    </row>
    <row r="100" spans="2:2" hidden="1" x14ac:dyDescent="0.25">
      <c r="B100" s="31" t="str">
        <f>'Claim Data'!C29&amp;'Claim Data'!B29</f>
        <v>4078740575</v>
      </c>
    </row>
    <row r="101" spans="2:2" hidden="1" x14ac:dyDescent="0.25">
      <c r="B101" s="31" t="str">
        <f>'Claim Data'!C30&amp;'Claim Data'!B30</f>
        <v>4081740575</v>
      </c>
    </row>
    <row r="102" spans="2:2" hidden="1" x14ac:dyDescent="0.25">
      <c r="B102" s="31" t="str">
        <f>'Claim Data'!C31&amp;'Claim Data'!B31</f>
        <v>4084840575</v>
      </c>
    </row>
    <row r="103" spans="2:2" hidden="1" x14ac:dyDescent="0.25">
      <c r="B103" s="31" t="str">
        <f>'Claim Data'!C32&amp;'Claim Data'!B32</f>
        <v>4087840575</v>
      </c>
    </row>
    <row r="104" spans="2:2" hidden="1" x14ac:dyDescent="0.25">
      <c r="B104" s="31" t="str">
        <f>'Claim Data'!C33&amp;'Claim Data'!B33</f>
        <v>4090940575</v>
      </c>
    </row>
    <row r="105" spans="2:2" hidden="1" x14ac:dyDescent="0.25">
      <c r="B105" s="31" t="str">
        <f>'Claim Data'!C34&amp;'Claim Data'!B34</f>
        <v>4094040575</v>
      </c>
    </row>
    <row r="106" spans="2:2" hidden="1" x14ac:dyDescent="0.25">
      <c r="B106" s="31" t="str">
        <f>'Claim Data'!C35&amp;'Claim Data'!B35</f>
        <v>4096940575</v>
      </c>
    </row>
    <row r="107" spans="2:2" hidden="1" x14ac:dyDescent="0.25">
      <c r="B107" s="31" t="str">
        <f>'Claim Data'!C36&amp;'Claim Data'!B36</f>
        <v>4100040575</v>
      </c>
    </row>
    <row r="108" spans="2:2" hidden="1" x14ac:dyDescent="0.25">
      <c r="B108" s="31" t="str">
        <f>'Claim Data'!C37&amp;'Claim Data'!B37</f>
        <v>4103040575</v>
      </c>
    </row>
    <row r="109" spans="2:2" hidden="1" x14ac:dyDescent="0.25">
      <c r="B109" s="31" t="str">
        <f>'Claim Data'!C38&amp;'Claim Data'!B38</f>
        <v>4106140575</v>
      </c>
    </row>
    <row r="110" spans="2:2" hidden="1" x14ac:dyDescent="0.25">
      <c r="B110" s="31" t="str">
        <f>'Claim Data'!C39&amp;'Claim Data'!B39</f>
        <v>4109140575</v>
      </c>
    </row>
    <row r="111" spans="2:2" hidden="1" x14ac:dyDescent="0.25">
      <c r="B111" s="31" t="str">
        <f>'Claim Data'!C40&amp;'Claim Data'!B40</f>
        <v>4060340603</v>
      </c>
    </row>
    <row r="112" spans="2:2" hidden="1" x14ac:dyDescent="0.25">
      <c r="B112" s="31" t="str">
        <f>'Claim Data'!C41&amp;'Claim Data'!B41</f>
        <v>4063440603</v>
      </c>
    </row>
    <row r="113" spans="2:2" hidden="1" x14ac:dyDescent="0.25">
      <c r="B113" s="31" t="str">
        <f>'Claim Data'!C42&amp;'Claim Data'!B42</f>
        <v>4066440603</v>
      </c>
    </row>
    <row r="114" spans="2:2" hidden="1" x14ac:dyDescent="0.25">
      <c r="B114" s="31" t="str">
        <f>'Claim Data'!C43&amp;'Claim Data'!B43</f>
        <v>4069540603</v>
      </c>
    </row>
    <row r="115" spans="2:2" hidden="1" x14ac:dyDescent="0.25">
      <c r="B115" s="31" t="str">
        <f>'Claim Data'!C44&amp;'Claim Data'!B44</f>
        <v>4072540603</v>
      </c>
    </row>
    <row r="116" spans="2:2" hidden="1" x14ac:dyDescent="0.25">
      <c r="B116" s="31" t="str">
        <f>'Claim Data'!C45&amp;'Claim Data'!B45</f>
        <v>4075640603</v>
      </c>
    </row>
    <row r="117" spans="2:2" hidden="1" x14ac:dyDescent="0.25">
      <c r="B117" s="31" t="str">
        <f>'Claim Data'!C46&amp;'Claim Data'!B46</f>
        <v>4078740603</v>
      </c>
    </row>
    <row r="118" spans="2:2" hidden="1" x14ac:dyDescent="0.25">
      <c r="B118" s="31" t="str">
        <f>'Claim Data'!C47&amp;'Claim Data'!B47</f>
        <v>4081740603</v>
      </c>
    </row>
    <row r="119" spans="2:2" hidden="1" x14ac:dyDescent="0.25">
      <c r="B119" s="31" t="str">
        <f>'Claim Data'!C48&amp;'Claim Data'!B48</f>
        <v>4084840603</v>
      </c>
    </row>
    <row r="120" spans="2:2" hidden="1" x14ac:dyDescent="0.25">
      <c r="B120" s="31" t="str">
        <f>'Claim Data'!C49&amp;'Claim Data'!B49</f>
        <v>4087840603</v>
      </c>
    </row>
    <row r="121" spans="2:2" hidden="1" x14ac:dyDescent="0.25">
      <c r="B121" s="31" t="str">
        <f>'Claim Data'!C50&amp;'Claim Data'!B50</f>
        <v>4090940603</v>
      </c>
    </row>
    <row r="122" spans="2:2" hidden="1" x14ac:dyDescent="0.25">
      <c r="B122" s="31" t="str">
        <f>'Claim Data'!C51&amp;'Claim Data'!B51</f>
        <v>4094040603</v>
      </c>
    </row>
    <row r="123" spans="2:2" hidden="1" x14ac:dyDescent="0.25">
      <c r="B123" s="31" t="str">
        <f>'Claim Data'!C52&amp;'Claim Data'!B52</f>
        <v>4096940603</v>
      </c>
    </row>
    <row r="124" spans="2:2" hidden="1" x14ac:dyDescent="0.25">
      <c r="B124" s="31" t="str">
        <f>'Claim Data'!C53&amp;'Claim Data'!B53</f>
        <v>4100040603</v>
      </c>
    </row>
    <row r="125" spans="2:2" hidden="1" x14ac:dyDescent="0.25">
      <c r="B125" s="31" t="str">
        <f>'Claim Data'!C54&amp;'Claim Data'!B54</f>
        <v>4103040603</v>
      </c>
    </row>
    <row r="126" spans="2:2" hidden="1" x14ac:dyDescent="0.25">
      <c r="B126" s="31" t="str">
        <f>'Claim Data'!C55&amp;'Claim Data'!B55</f>
        <v>4106140603</v>
      </c>
    </row>
    <row r="127" spans="2:2" hidden="1" x14ac:dyDescent="0.25">
      <c r="B127" s="31" t="str">
        <f>'Claim Data'!C56&amp;'Claim Data'!B56</f>
        <v>4109140603</v>
      </c>
    </row>
    <row r="128" spans="2:2" hidden="1" x14ac:dyDescent="0.25">
      <c r="B128" s="31" t="str">
        <f>'Claim Data'!C57&amp;'Claim Data'!B57</f>
        <v>4112240603</v>
      </c>
    </row>
    <row r="129" spans="2:2" hidden="1" x14ac:dyDescent="0.25">
      <c r="B129" s="31" t="str">
        <f>'Claim Data'!C58&amp;'Claim Data'!B58</f>
        <v>4063440634</v>
      </c>
    </row>
    <row r="130" spans="2:2" hidden="1" x14ac:dyDescent="0.25">
      <c r="B130" s="31" t="str">
        <f>'Claim Data'!C59&amp;'Claim Data'!B59</f>
        <v>4066440634</v>
      </c>
    </row>
    <row r="131" spans="2:2" hidden="1" x14ac:dyDescent="0.25">
      <c r="B131" s="31" t="str">
        <f>'Claim Data'!C60&amp;'Claim Data'!B60</f>
        <v>4069540634</v>
      </c>
    </row>
    <row r="132" spans="2:2" hidden="1" x14ac:dyDescent="0.25">
      <c r="B132" s="31" t="str">
        <f>'Claim Data'!C61&amp;'Claim Data'!B61</f>
        <v>4072540634</v>
      </c>
    </row>
    <row r="133" spans="2:2" hidden="1" x14ac:dyDescent="0.25">
      <c r="B133" s="31" t="str">
        <f>'Claim Data'!C62&amp;'Claim Data'!B62</f>
        <v>4075640634</v>
      </c>
    </row>
    <row r="134" spans="2:2" hidden="1" x14ac:dyDescent="0.25">
      <c r="B134" s="31" t="str">
        <f>'Claim Data'!C63&amp;'Claim Data'!B63</f>
        <v>4078740634</v>
      </c>
    </row>
    <row r="135" spans="2:2" hidden="1" x14ac:dyDescent="0.25">
      <c r="B135" s="31" t="str">
        <f>'Claim Data'!C64&amp;'Claim Data'!B64</f>
        <v>4081740634</v>
      </c>
    </row>
    <row r="136" spans="2:2" hidden="1" x14ac:dyDescent="0.25">
      <c r="B136" s="31" t="str">
        <f>'Claim Data'!C65&amp;'Claim Data'!B65</f>
        <v>4084840634</v>
      </c>
    </row>
    <row r="137" spans="2:2" hidden="1" x14ac:dyDescent="0.25">
      <c r="B137" s="31" t="str">
        <f>'Claim Data'!C66&amp;'Claim Data'!B66</f>
        <v>4087840634</v>
      </c>
    </row>
    <row r="138" spans="2:2" hidden="1" x14ac:dyDescent="0.25">
      <c r="B138" s="31" t="str">
        <f>'Claim Data'!C67&amp;'Claim Data'!B67</f>
        <v>4090940634</v>
      </c>
    </row>
    <row r="139" spans="2:2" hidden="1" x14ac:dyDescent="0.25">
      <c r="B139" s="31" t="str">
        <f>'Claim Data'!C68&amp;'Claim Data'!B68</f>
        <v>4094040634</v>
      </c>
    </row>
    <row r="140" spans="2:2" hidden="1" x14ac:dyDescent="0.25">
      <c r="B140" s="31" t="str">
        <f>'Claim Data'!C69&amp;'Claim Data'!B69</f>
        <v>4096940634</v>
      </c>
    </row>
    <row r="141" spans="2:2" hidden="1" x14ac:dyDescent="0.25">
      <c r="B141" s="31" t="str">
        <f>'Claim Data'!C70&amp;'Claim Data'!B70</f>
        <v>4100040634</v>
      </c>
    </row>
    <row r="142" spans="2:2" hidden="1" x14ac:dyDescent="0.25">
      <c r="B142" s="31" t="str">
        <f>'Claim Data'!C71&amp;'Claim Data'!B71</f>
        <v>4103040634</v>
      </c>
    </row>
    <row r="143" spans="2:2" hidden="1" x14ac:dyDescent="0.25">
      <c r="B143" s="31" t="str">
        <f>'Claim Data'!C72&amp;'Claim Data'!B72</f>
        <v>4106140634</v>
      </c>
    </row>
    <row r="144" spans="2:2" hidden="1" x14ac:dyDescent="0.25">
      <c r="B144" s="31" t="str">
        <f>'Claim Data'!C73&amp;'Claim Data'!B73</f>
        <v>4109140634</v>
      </c>
    </row>
    <row r="145" spans="2:2" hidden="1" x14ac:dyDescent="0.25">
      <c r="B145" s="31" t="str">
        <f>'Claim Data'!C74&amp;'Claim Data'!B74</f>
        <v>4112240634</v>
      </c>
    </row>
    <row r="146" spans="2:2" hidden="1" x14ac:dyDescent="0.25">
      <c r="B146" s="31" t="str">
        <f>'Claim Data'!C75&amp;'Claim Data'!B75</f>
        <v>4115340634</v>
      </c>
    </row>
    <row r="147" spans="2:2" hidden="1" x14ac:dyDescent="0.25">
      <c r="B147" s="31" t="str">
        <f>'Claim Data'!C76&amp;'Claim Data'!B76</f>
        <v>4066440664</v>
      </c>
    </row>
    <row r="148" spans="2:2" hidden="1" x14ac:dyDescent="0.25">
      <c r="B148" s="31" t="str">
        <f>'Claim Data'!C77&amp;'Claim Data'!B77</f>
        <v>4069540664</v>
      </c>
    </row>
    <row r="149" spans="2:2" hidden="1" x14ac:dyDescent="0.25">
      <c r="B149" s="31" t="str">
        <f>'Claim Data'!C78&amp;'Claim Data'!B78</f>
        <v>4072540664</v>
      </c>
    </row>
    <row r="150" spans="2:2" hidden="1" x14ac:dyDescent="0.25">
      <c r="B150" s="31" t="str">
        <f>'Claim Data'!C79&amp;'Claim Data'!B79</f>
        <v>4075640664</v>
      </c>
    </row>
    <row r="151" spans="2:2" hidden="1" x14ac:dyDescent="0.25">
      <c r="B151" s="31" t="str">
        <f>'Claim Data'!C80&amp;'Claim Data'!B80</f>
        <v>4078740664</v>
      </c>
    </row>
    <row r="152" spans="2:2" hidden="1" x14ac:dyDescent="0.25">
      <c r="B152" s="31" t="str">
        <f>'Claim Data'!C81&amp;'Claim Data'!B81</f>
        <v>4081740664</v>
      </c>
    </row>
    <row r="153" spans="2:2" hidden="1" x14ac:dyDescent="0.25">
      <c r="B153" s="31" t="str">
        <f>'Claim Data'!C82&amp;'Claim Data'!B82</f>
        <v>4084840664</v>
      </c>
    </row>
    <row r="154" spans="2:2" hidden="1" x14ac:dyDescent="0.25">
      <c r="B154" s="31" t="str">
        <f>'Claim Data'!C83&amp;'Claim Data'!B83</f>
        <v>4087840664</v>
      </c>
    </row>
    <row r="155" spans="2:2" hidden="1" x14ac:dyDescent="0.25">
      <c r="B155" s="31" t="str">
        <f>'Claim Data'!C84&amp;'Claim Data'!B84</f>
        <v>4090940664</v>
      </c>
    </row>
    <row r="156" spans="2:2" hidden="1" x14ac:dyDescent="0.25">
      <c r="B156" s="31" t="str">
        <f>'Claim Data'!C85&amp;'Claim Data'!B85</f>
        <v>4094040664</v>
      </c>
    </row>
    <row r="157" spans="2:2" hidden="1" x14ac:dyDescent="0.25">
      <c r="B157" s="31" t="str">
        <f>'Claim Data'!C86&amp;'Claim Data'!B86</f>
        <v>4096940664</v>
      </c>
    </row>
    <row r="158" spans="2:2" hidden="1" x14ac:dyDescent="0.25">
      <c r="B158" s="31" t="str">
        <f>'Claim Data'!C87&amp;'Claim Data'!B87</f>
        <v>4100040664</v>
      </c>
    </row>
    <row r="159" spans="2:2" hidden="1" x14ac:dyDescent="0.25">
      <c r="B159" s="31" t="str">
        <f>'Claim Data'!C88&amp;'Claim Data'!B88</f>
        <v>4103040664</v>
      </c>
    </row>
    <row r="160" spans="2:2" hidden="1" x14ac:dyDescent="0.25">
      <c r="B160" s="31" t="str">
        <f>'Claim Data'!C89&amp;'Claim Data'!B89</f>
        <v>4106140664</v>
      </c>
    </row>
    <row r="161" spans="2:2" hidden="1" x14ac:dyDescent="0.25">
      <c r="B161" s="31" t="str">
        <f>'Claim Data'!C90&amp;'Claim Data'!B90</f>
        <v>4109140664</v>
      </c>
    </row>
    <row r="162" spans="2:2" hidden="1" x14ac:dyDescent="0.25">
      <c r="B162" s="31" t="str">
        <f>'Claim Data'!C91&amp;'Claim Data'!B91</f>
        <v>4112240664</v>
      </c>
    </row>
    <row r="163" spans="2:2" hidden="1" x14ac:dyDescent="0.25">
      <c r="B163" s="31" t="str">
        <f>'Claim Data'!C92&amp;'Claim Data'!B92</f>
        <v>4115340664</v>
      </c>
    </row>
    <row r="164" spans="2:2" hidden="1" x14ac:dyDescent="0.25">
      <c r="B164" s="31" t="str">
        <f>'Claim Data'!C93&amp;'Claim Data'!B93</f>
        <v>4118340664</v>
      </c>
    </row>
    <row r="165" spans="2:2" hidden="1" x14ac:dyDescent="0.25">
      <c r="B165" s="31" t="str">
        <f>'Claim Data'!C94&amp;'Claim Data'!B94</f>
        <v>4069540695</v>
      </c>
    </row>
    <row r="166" spans="2:2" hidden="1" x14ac:dyDescent="0.25">
      <c r="B166" s="31" t="str">
        <f>'Claim Data'!C95&amp;'Claim Data'!B95</f>
        <v>4072540695</v>
      </c>
    </row>
    <row r="167" spans="2:2" hidden="1" x14ac:dyDescent="0.25">
      <c r="B167" s="31" t="str">
        <f>'Claim Data'!C96&amp;'Claim Data'!B96</f>
        <v>4075640695</v>
      </c>
    </row>
    <row r="168" spans="2:2" hidden="1" x14ac:dyDescent="0.25">
      <c r="B168" s="31" t="str">
        <f>'Claim Data'!C97&amp;'Claim Data'!B97</f>
        <v>4078740695</v>
      </c>
    </row>
    <row r="169" spans="2:2" hidden="1" x14ac:dyDescent="0.25">
      <c r="B169" s="31" t="str">
        <f>'Claim Data'!C98&amp;'Claim Data'!B98</f>
        <v>4081740695</v>
      </c>
    </row>
    <row r="170" spans="2:2" hidden="1" x14ac:dyDescent="0.25">
      <c r="B170" s="31" t="str">
        <f>'Claim Data'!C99&amp;'Claim Data'!B99</f>
        <v>4084840695</v>
      </c>
    </row>
    <row r="171" spans="2:2" hidden="1" x14ac:dyDescent="0.25">
      <c r="B171" s="31" t="str">
        <f>'Claim Data'!C100&amp;'Claim Data'!B100</f>
        <v>4087840695</v>
      </c>
    </row>
    <row r="172" spans="2:2" hidden="1" x14ac:dyDescent="0.25">
      <c r="B172" s="31" t="str">
        <f>'Claim Data'!C101&amp;'Claim Data'!B101</f>
        <v>4090940695</v>
      </c>
    </row>
    <row r="173" spans="2:2" hidden="1" x14ac:dyDescent="0.25">
      <c r="B173" s="31" t="str">
        <f>'Claim Data'!C102&amp;'Claim Data'!B102</f>
        <v>4094040695</v>
      </c>
    </row>
    <row r="174" spans="2:2" hidden="1" x14ac:dyDescent="0.25">
      <c r="B174" s="31" t="str">
        <f>'Claim Data'!C103&amp;'Claim Data'!B103</f>
        <v>4096940695</v>
      </c>
    </row>
    <row r="175" spans="2:2" hidden="1" x14ac:dyDescent="0.25">
      <c r="B175" s="31" t="str">
        <f>'Claim Data'!C104&amp;'Claim Data'!B104</f>
        <v>4100040695</v>
      </c>
    </row>
    <row r="176" spans="2:2" hidden="1" x14ac:dyDescent="0.25">
      <c r="B176" s="31" t="str">
        <f>'Claim Data'!C105&amp;'Claim Data'!B105</f>
        <v>4103040695</v>
      </c>
    </row>
    <row r="177" spans="2:2" hidden="1" x14ac:dyDescent="0.25">
      <c r="B177" s="31" t="str">
        <f>'Claim Data'!C106&amp;'Claim Data'!B106</f>
        <v>4106140695</v>
      </c>
    </row>
    <row r="178" spans="2:2" hidden="1" x14ac:dyDescent="0.25">
      <c r="B178" s="31" t="str">
        <f>'Claim Data'!C107&amp;'Claim Data'!B107</f>
        <v>4109140695</v>
      </c>
    </row>
    <row r="179" spans="2:2" hidden="1" x14ac:dyDescent="0.25">
      <c r="B179" s="31" t="str">
        <f>'Claim Data'!C108&amp;'Claim Data'!B108</f>
        <v>4112240695</v>
      </c>
    </row>
    <row r="180" spans="2:2" hidden="1" x14ac:dyDescent="0.25">
      <c r="B180" s="31" t="str">
        <f>'Claim Data'!C109&amp;'Claim Data'!B109</f>
        <v>4115340695</v>
      </c>
    </row>
    <row r="181" spans="2:2" hidden="1" x14ac:dyDescent="0.25">
      <c r="B181" s="31" t="str">
        <f>'Claim Data'!C110&amp;'Claim Data'!B110</f>
        <v>4118340695</v>
      </c>
    </row>
    <row r="182" spans="2:2" hidden="1" x14ac:dyDescent="0.25">
      <c r="B182" s="31" t="str">
        <f>'Claim Data'!C111&amp;'Claim Data'!B111</f>
        <v>4121440695</v>
      </c>
    </row>
    <row r="183" spans="2:2" hidden="1" x14ac:dyDescent="0.25">
      <c r="B183" s="31" t="str">
        <f>'Claim Data'!C112&amp;'Claim Data'!B112</f>
        <v>4072540725</v>
      </c>
    </row>
    <row r="184" spans="2:2" hidden="1" x14ac:dyDescent="0.25">
      <c r="B184" s="31" t="str">
        <f>'Claim Data'!C113&amp;'Claim Data'!B113</f>
        <v>4075640725</v>
      </c>
    </row>
    <row r="185" spans="2:2" hidden="1" x14ac:dyDescent="0.25">
      <c r="B185" s="31" t="str">
        <f>'Claim Data'!C114&amp;'Claim Data'!B114</f>
        <v>4078740725</v>
      </c>
    </row>
    <row r="186" spans="2:2" hidden="1" x14ac:dyDescent="0.25">
      <c r="B186" s="31" t="str">
        <f>'Claim Data'!C115&amp;'Claim Data'!B115</f>
        <v>4081740725</v>
      </c>
    </row>
    <row r="187" spans="2:2" hidden="1" x14ac:dyDescent="0.25">
      <c r="B187" s="31" t="str">
        <f>'Claim Data'!C116&amp;'Claim Data'!B116</f>
        <v>4084840725</v>
      </c>
    </row>
    <row r="188" spans="2:2" hidden="1" x14ac:dyDescent="0.25">
      <c r="B188" s="31" t="str">
        <f>'Claim Data'!C117&amp;'Claim Data'!B117</f>
        <v>4087840725</v>
      </c>
    </row>
    <row r="189" spans="2:2" hidden="1" x14ac:dyDescent="0.25">
      <c r="B189" s="31" t="str">
        <f>'Claim Data'!C118&amp;'Claim Data'!B118</f>
        <v>4090940725</v>
      </c>
    </row>
    <row r="190" spans="2:2" hidden="1" x14ac:dyDescent="0.25">
      <c r="B190" s="31" t="str">
        <f>'Claim Data'!C119&amp;'Claim Data'!B119</f>
        <v>4094040725</v>
      </c>
    </row>
    <row r="191" spans="2:2" hidden="1" x14ac:dyDescent="0.25">
      <c r="B191" s="31" t="str">
        <f>'Claim Data'!C120&amp;'Claim Data'!B120</f>
        <v>4096940725</v>
      </c>
    </row>
    <row r="192" spans="2:2" hidden="1" x14ac:dyDescent="0.25">
      <c r="B192" s="31" t="str">
        <f>'Claim Data'!C121&amp;'Claim Data'!B121</f>
        <v>4100040725</v>
      </c>
    </row>
    <row r="193" spans="2:2" hidden="1" x14ac:dyDescent="0.25">
      <c r="B193" s="31" t="str">
        <f>'Claim Data'!C122&amp;'Claim Data'!B122</f>
        <v>4103040725</v>
      </c>
    </row>
    <row r="194" spans="2:2" hidden="1" x14ac:dyDescent="0.25">
      <c r="B194" s="31" t="str">
        <f>'Claim Data'!C123&amp;'Claim Data'!B123</f>
        <v>4106140725</v>
      </c>
    </row>
    <row r="195" spans="2:2" hidden="1" x14ac:dyDescent="0.25">
      <c r="B195" s="31" t="str">
        <f>'Claim Data'!C124&amp;'Claim Data'!B124</f>
        <v>4109140725</v>
      </c>
    </row>
    <row r="196" spans="2:2" hidden="1" x14ac:dyDescent="0.25">
      <c r="B196" s="31" t="str">
        <f>'Claim Data'!C125&amp;'Claim Data'!B125</f>
        <v>4112240725</v>
      </c>
    </row>
    <row r="197" spans="2:2" hidden="1" x14ac:dyDescent="0.25">
      <c r="B197" s="31" t="str">
        <f>'Claim Data'!C126&amp;'Claim Data'!B126</f>
        <v>4115340725</v>
      </c>
    </row>
    <row r="198" spans="2:2" hidden="1" x14ac:dyDescent="0.25">
      <c r="B198" s="31" t="str">
        <f>'Claim Data'!C127&amp;'Claim Data'!B127</f>
        <v>4118340725</v>
      </c>
    </row>
    <row r="199" spans="2:2" hidden="1" x14ac:dyDescent="0.25">
      <c r="B199" s="31" t="str">
        <f>'Claim Data'!C128&amp;'Claim Data'!B128</f>
        <v>4121440725</v>
      </c>
    </row>
    <row r="200" spans="2:2" hidden="1" x14ac:dyDescent="0.25">
      <c r="B200" s="31" t="str">
        <f>'Claim Data'!C129&amp;'Claim Data'!B129</f>
        <v>4124440725</v>
      </c>
    </row>
    <row r="201" spans="2:2" hidden="1" x14ac:dyDescent="0.25">
      <c r="B201" s="31" t="str">
        <f>'Claim Data'!C130&amp;'Claim Data'!B130</f>
        <v>4075640756</v>
      </c>
    </row>
    <row r="202" spans="2:2" hidden="1" x14ac:dyDescent="0.25">
      <c r="B202" s="31" t="str">
        <f>'Claim Data'!C131&amp;'Claim Data'!B131</f>
        <v>4078740756</v>
      </c>
    </row>
    <row r="203" spans="2:2" hidden="1" x14ac:dyDescent="0.25">
      <c r="B203" s="31" t="str">
        <f>'Claim Data'!C132&amp;'Claim Data'!B132</f>
        <v>4081740756</v>
      </c>
    </row>
    <row r="204" spans="2:2" hidden="1" x14ac:dyDescent="0.25">
      <c r="B204" s="31" t="str">
        <f>'Claim Data'!C133&amp;'Claim Data'!B133</f>
        <v>4084840756</v>
      </c>
    </row>
    <row r="205" spans="2:2" hidden="1" x14ac:dyDescent="0.25">
      <c r="B205" s="31" t="str">
        <f>'Claim Data'!C134&amp;'Claim Data'!B134</f>
        <v>4087840756</v>
      </c>
    </row>
    <row r="206" spans="2:2" hidden="1" x14ac:dyDescent="0.25">
      <c r="B206" s="31" t="str">
        <f>'Claim Data'!C135&amp;'Claim Data'!B135</f>
        <v>4090940756</v>
      </c>
    </row>
    <row r="207" spans="2:2" hidden="1" x14ac:dyDescent="0.25">
      <c r="B207" s="31" t="str">
        <f>'Claim Data'!C136&amp;'Claim Data'!B136</f>
        <v>4094040756</v>
      </c>
    </row>
    <row r="208" spans="2:2" hidden="1" x14ac:dyDescent="0.25">
      <c r="B208" s="31" t="str">
        <f>'Claim Data'!C137&amp;'Claim Data'!B137</f>
        <v>4096940756</v>
      </c>
    </row>
    <row r="209" spans="2:2" hidden="1" x14ac:dyDescent="0.25">
      <c r="B209" s="31" t="str">
        <f>'Claim Data'!C138&amp;'Claim Data'!B138</f>
        <v>4100040756</v>
      </c>
    </row>
    <row r="210" spans="2:2" hidden="1" x14ac:dyDescent="0.25">
      <c r="B210" s="31" t="str">
        <f>'Claim Data'!C139&amp;'Claim Data'!B139</f>
        <v>4103040756</v>
      </c>
    </row>
    <row r="211" spans="2:2" hidden="1" x14ac:dyDescent="0.25">
      <c r="B211" s="31" t="str">
        <f>'Claim Data'!C140&amp;'Claim Data'!B140</f>
        <v>4106140756</v>
      </c>
    </row>
    <row r="212" spans="2:2" hidden="1" x14ac:dyDescent="0.25">
      <c r="B212" s="31" t="str">
        <f>'Claim Data'!C141&amp;'Claim Data'!B141</f>
        <v>4109140756</v>
      </c>
    </row>
    <row r="213" spans="2:2" hidden="1" x14ac:dyDescent="0.25">
      <c r="B213" s="31" t="str">
        <f>'Claim Data'!C142&amp;'Claim Data'!B142</f>
        <v>4112240756</v>
      </c>
    </row>
    <row r="214" spans="2:2" hidden="1" x14ac:dyDescent="0.25">
      <c r="B214" s="31" t="str">
        <f>'Claim Data'!C143&amp;'Claim Data'!B143</f>
        <v>4115340756</v>
      </c>
    </row>
    <row r="215" spans="2:2" hidden="1" x14ac:dyDescent="0.25">
      <c r="B215" s="31" t="str">
        <f>'Claim Data'!C144&amp;'Claim Data'!B144</f>
        <v>4118340756</v>
      </c>
    </row>
    <row r="216" spans="2:2" hidden="1" x14ac:dyDescent="0.25">
      <c r="B216" s="31" t="str">
        <f>'Claim Data'!C145&amp;'Claim Data'!B145</f>
        <v>4121440756</v>
      </c>
    </row>
    <row r="217" spans="2:2" hidden="1" x14ac:dyDescent="0.25">
      <c r="B217" s="31" t="str">
        <f>'Claim Data'!C146&amp;'Claim Data'!B146</f>
        <v>4124440756</v>
      </c>
    </row>
    <row r="218" spans="2:2" hidden="1" x14ac:dyDescent="0.25">
      <c r="B218" s="31" t="str">
        <f>'Claim Data'!C147&amp;'Claim Data'!B147</f>
        <v>4078740787</v>
      </c>
    </row>
    <row r="219" spans="2:2" hidden="1" x14ac:dyDescent="0.25">
      <c r="B219" s="31" t="str">
        <f>'Claim Data'!C148&amp;'Claim Data'!B148</f>
        <v>4081740787</v>
      </c>
    </row>
    <row r="220" spans="2:2" hidden="1" x14ac:dyDescent="0.25">
      <c r="B220" s="31" t="str">
        <f>'Claim Data'!C149&amp;'Claim Data'!B149</f>
        <v>4084840787</v>
      </c>
    </row>
    <row r="221" spans="2:2" hidden="1" x14ac:dyDescent="0.25">
      <c r="B221" s="31" t="str">
        <f>'Claim Data'!C150&amp;'Claim Data'!B150</f>
        <v>4087840787</v>
      </c>
    </row>
    <row r="222" spans="2:2" hidden="1" x14ac:dyDescent="0.25">
      <c r="B222" s="31" t="str">
        <f>'Claim Data'!C151&amp;'Claim Data'!B151</f>
        <v>4090940787</v>
      </c>
    </row>
    <row r="223" spans="2:2" hidden="1" x14ac:dyDescent="0.25">
      <c r="B223" s="31" t="str">
        <f>'Claim Data'!C152&amp;'Claim Data'!B152</f>
        <v>4094040787</v>
      </c>
    </row>
    <row r="224" spans="2:2" hidden="1" x14ac:dyDescent="0.25">
      <c r="B224" s="31" t="str">
        <f>'Claim Data'!C153&amp;'Claim Data'!B153</f>
        <v>4096940787</v>
      </c>
    </row>
    <row r="225" spans="2:2" hidden="1" x14ac:dyDescent="0.25">
      <c r="B225" s="31" t="str">
        <f>'Claim Data'!C154&amp;'Claim Data'!B154</f>
        <v>4100040787</v>
      </c>
    </row>
    <row r="226" spans="2:2" hidden="1" x14ac:dyDescent="0.25">
      <c r="B226" s="31" t="str">
        <f>'Claim Data'!C155&amp;'Claim Data'!B155</f>
        <v>4103040787</v>
      </c>
    </row>
    <row r="227" spans="2:2" hidden="1" x14ac:dyDescent="0.25">
      <c r="B227" s="31" t="str">
        <f>'Claim Data'!C156&amp;'Claim Data'!B156</f>
        <v>4106140787</v>
      </c>
    </row>
    <row r="228" spans="2:2" hidden="1" x14ac:dyDescent="0.25">
      <c r="B228" s="31" t="str">
        <f>'Claim Data'!C157&amp;'Claim Data'!B157</f>
        <v>4109140787</v>
      </c>
    </row>
    <row r="229" spans="2:2" hidden="1" x14ac:dyDescent="0.25">
      <c r="B229" s="31" t="str">
        <f>'Claim Data'!C158&amp;'Claim Data'!B158</f>
        <v>4112240787</v>
      </c>
    </row>
    <row r="230" spans="2:2" hidden="1" x14ac:dyDescent="0.25">
      <c r="B230" s="31" t="str">
        <f>'Claim Data'!C159&amp;'Claim Data'!B159</f>
        <v>4115340787</v>
      </c>
    </row>
    <row r="231" spans="2:2" hidden="1" x14ac:dyDescent="0.25">
      <c r="B231" s="31" t="str">
        <f>'Claim Data'!C160&amp;'Claim Data'!B160</f>
        <v>4118340787</v>
      </c>
    </row>
    <row r="232" spans="2:2" hidden="1" x14ac:dyDescent="0.25">
      <c r="B232" s="31" t="str">
        <f>'Claim Data'!C161&amp;'Claim Data'!B161</f>
        <v>4121440787</v>
      </c>
    </row>
    <row r="233" spans="2:2" hidden="1" x14ac:dyDescent="0.25">
      <c r="B233" s="31" t="str">
        <f>'Claim Data'!C162&amp;'Claim Data'!B162</f>
        <v>4124440787</v>
      </c>
    </row>
    <row r="234" spans="2:2" hidden="1" x14ac:dyDescent="0.25">
      <c r="B234" s="31" t="str">
        <f>'Claim Data'!C163&amp;'Claim Data'!B163</f>
        <v>4081740817</v>
      </c>
    </row>
    <row r="235" spans="2:2" hidden="1" x14ac:dyDescent="0.25">
      <c r="B235" s="31" t="str">
        <f>'Claim Data'!C164&amp;'Claim Data'!B164</f>
        <v>4084840817</v>
      </c>
    </row>
    <row r="236" spans="2:2" hidden="1" x14ac:dyDescent="0.25">
      <c r="B236" s="31" t="str">
        <f>'Claim Data'!C165&amp;'Claim Data'!B165</f>
        <v>4087840817</v>
      </c>
    </row>
    <row r="237" spans="2:2" hidden="1" x14ac:dyDescent="0.25">
      <c r="B237" s="31" t="str">
        <f>'Claim Data'!C166&amp;'Claim Data'!B166</f>
        <v>4090940817</v>
      </c>
    </row>
    <row r="238" spans="2:2" hidden="1" x14ac:dyDescent="0.25">
      <c r="B238" s="31" t="str">
        <f>'Claim Data'!C167&amp;'Claim Data'!B167</f>
        <v>4094040817</v>
      </c>
    </row>
    <row r="239" spans="2:2" hidden="1" x14ac:dyDescent="0.25">
      <c r="B239" s="31" t="str">
        <f>'Claim Data'!C168&amp;'Claim Data'!B168</f>
        <v>4096940817</v>
      </c>
    </row>
    <row r="240" spans="2:2" hidden="1" x14ac:dyDescent="0.25">
      <c r="B240" s="31" t="str">
        <f>'Claim Data'!C169&amp;'Claim Data'!B169</f>
        <v>4100040817</v>
      </c>
    </row>
    <row r="241" spans="2:2" hidden="1" x14ac:dyDescent="0.25">
      <c r="B241" s="31" t="str">
        <f>'Claim Data'!C170&amp;'Claim Data'!B170</f>
        <v>4103040817</v>
      </c>
    </row>
    <row r="242" spans="2:2" hidden="1" x14ac:dyDescent="0.25">
      <c r="B242" s="31" t="str">
        <f>'Claim Data'!C171&amp;'Claim Data'!B171</f>
        <v>4106140817</v>
      </c>
    </row>
    <row r="243" spans="2:2" hidden="1" x14ac:dyDescent="0.25">
      <c r="B243" s="31" t="str">
        <f>'Claim Data'!C172&amp;'Claim Data'!B172</f>
        <v>4109140817</v>
      </c>
    </row>
    <row r="244" spans="2:2" hidden="1" x14ac:dyDescent="0.25">
      <c r="B244" s="31" t="str">
        <f>'Claim Data'!C173&amp;'Claim Data'!B173</f>
        <v>4112240817</v>
      </c>
    </row>
    <row r="245" spans="2:2" hidden="1" x14ac:dyDescent="0.25">
      <c r="B245" s="31" t="str">
        <f>'Claim Data'!C174&amp;'Claim Data'!B174</f>
        <v>4115340817</v>
      </c>
    </row>
    <row r="246" spans="2:2" hidden="1" x14ac:dyDescent="0.25">
      <c r="B246" s="31" t="str">
        <f>'Claim Data'!C175&amp;'Claim Data'!B175</f>
        <v>4118340817</v>
      </c>
    </row>
    <row r="247" spans="2:2" hidden="1" x14ac:dyDescent="0.25">
      <c r="B247" s="31" t="str">
        <f>'Claim Data'!C176&amp;'Claim Data'!B176</f>
        <v>4121440817</v>
      </c>
    </row>
    <row r="248" spans="2:2" hidden="1" x14ac:dyDescent="0.25">
      <c r="B248" s="31" t="str">
        <f>'Claim Data'!C177&amp;'Claim Data'!B177</f>
        <v>4124440817</v>
      </c>
    </row>
    <row r="249" spans="2:2" hidden="1" x14ac:dyDescent="0.25">
      <c r="B249" s="31" t="str">
        <f>'Claim Data'!C178&amp;'Claim Data'!B178</f>
        <v>4084840848</v>
      </c>
    </row>
    <row r="250" spans="2:2" hidden="1" x14ac:dyDescent="0.25">
      <c r="B250" s="31" t="str">
        <f>'Claim Data'!C179&amp;'Claim Data'!B179</f>
        <v>4087840848</v>
      </c>
    </row>
    <row r="251" spans="2:2" hidden="1" x14ac:dyDescent="0.25">
      <c r="B251" s="31" t="str">
        <f>'Claim Data'!C180&amp;'Claim Data'!B180</f>
        <v>4090940848</v>
      </c>
    </row>
    <row r="252" spans="2:2" hidden="1" x14ac:dyDescent="0.25">
      <c r="B252" s="31" t="str">
        <f>'Claim Data'!C181&amp;'Claim Data'!B181</f>
        <v>4094040848</v>
      </c>
    </row>
    <row r="253" spans="2:2" hidden="1" x14ac:dyDescent="0.25">
      <c r="B253" s="31" t="str">
        <f>'Claim Data'!C182&amp;'Claim Data'!B182</f>
        <v>4096940848</v>
      </c>
    </row>
    <row r="254" spans="2:2" hidden="1" x14ac:dyDescent="0.25">
      <c r="B254" s="31" t="str">
        <f>'Claim Data'!C183&amp;'Claim Data'!B183</f>
        <v>4100040848</v>
      </c>
    </row>
    <row r="255" spans="2:2" hidden="1" x14ac:dyDescent="0.25">
      <c r="B255" s="31" t="str">
        <f>'Claim Data'!C184&amp;'Claim Data'!B184</f>
        <v>4103040848</v>
      </c>
    </row>
    <row r="256" spans="2:2" hidden="1" x14ac:dyDescent="0.25">
      <c r="B256" s="31" t="str">
        <f>'Claim Data'!C185&amp;'Claim Data'!B185</f>
        <v>4106140848</v>
      </c>
    </row>
    <row r="257" spans="2:2" hidden="1" x14ac:dyDescent="0.25">
      <c r="B257" s="31" t="str">
        <f>'Claim Data'!C186&amp;'Claim Data'!B186</f>
        <v>4109140848</v>
      </c>
    </row>
    <row r="258" spans="2:2" hidden="1" x14ac:dyDescent="0.25">
      <c r="B258" s="31" t="str">
        <f>'Claim Data'!C187&amp;'Claim Data'!B187</f>
        <v>4112240848</v>
      </c>
    </row>
    <row r="259" spans="2:2" hidden="1" x14ac:dyDescent="0.25">
      <c r="B259" s="31" t="str">
        <f>'Claim Data'!C188&amp;'Claim Data'!B188</f>
        <v>4115340848</v>
      </c>
    </row>
    <row r="260" spans="2:2" hidden="1" x14ac:dyDescent="0.25">
      <c r="B260" s="31" t="str">
        <f>'Claim Data'!C189&amp;'Claim Data'!B189</f>
        <v>4118340848</v>
      </c>
    </row>
    <row r="261" spans="2:2" hidden="1" x14ac:dyDescent="0.25">
      <c r="B261" s="31" t="str">
        <f>'Claim Data'!C190&amp;'Claim Data'!B190</f>
        <v>4121440848</v>
      </c>
    </row>
    <row r="262" spans="2:2" hidden="1" x14ac:dyDescent="0.25">
      <c r="B262" s="31" t="str">
        <f>'Claim Data'!C191&amp;'Claim Data'!B191</f>
        <v>4124440848</v>
      </c>
    </row>
    <row r="263" spans="2:2" hidden="1" x14ac:dyDescent="0.25">
      <c r="B263" s="31" t="str">
        <f>'Claim Data'!C192&amp;'Claim Data'!B192</f>
        <v>4087840878</v>
      </c>
    </row>
    <row r="264" spans="2:2" hidden="1" x14ac:dyDescent="0.25">
      <c r="B264" s="31" t="str">
        <f>'Claim Data'!C193&amp;'Claim Data'!B193</f>
        <v>4090940878</v>
      </c>
    </row>
    <row r="265" spans="2:2" hidden="1" x14ac:dyDescent="0.25">
      <c r="B265" s="31" t="str">
        <f>'Claim Data'!C194&amp;'Claim Data'!B194</f>
        <v>4094040878</v>
      </c>
    </row>
    <row r="266" spans="2:2" hidden="1" x14ac:dyDescent="0.25">
      <c r="B266" s="31" t="str">
        <f>'Claim Data'!C195&amp;'Claim Data'!B195</f>
        <v>4096940878</v>
      </c>
    </row>
    <row r="267" spans="2:2" hidden="1" x14ac:dyDescent="0.25">
      <c r="B267" s="31" t="str">
        <f>'Claim Data'!C196&amp;'Claim Data'!B196</f>
        <v>4100040878</v>
      </c>
    </row>
    <row r="268" spans="2:2" hidden="1" x14ac:dyDescent="0.25">
      <c r="B268" s="31" t="str">
        <f>'Claim Data'!C197&amp;'Claim Data'!B197</f>
        <v>4103040878</v>
      </c>
    </row>
    <row r="269" spans="2:2" hidden="1" x14ac:dyDescent="0.25">
      <c r="B269" s="31" t="str">
        <f>'Claim Data'!C198&amp;'Claim Data'!B198</f>
        <v>4106140878</v>
      </c>
    </row>
    <row r="270" spans="2:2" hidden="1" x14ac:dyDescent="0.25">
      <c r="B270" s="31" t="str">
        <f>'Claim Data'!C199&amp;'Claim Data'!B199</f>
        <v>4109140878</v>
      </c>
    </row>
    <row r="271" spans="2:2" hidden="1" x14ac:dyDescent="0.25">
      <c r="B271" s="31" t="str">
        <f>'Claim Data'!C200&amp;'Claim Data'!B200</f>
        <v>4112240878</v>
      </c>
    </row>
    <row r="272" spans="2:2" hidden="1" x14ac:dyDescent="0.25">
      <c r="B272" s="31" t="str">
        <f>'Claim Data'!C201&amp;'Claim Data'!B201</f>
        <v>4115340878</v>
      </c>
    </row>
    <row r="273" spans="2:2" hidden="1" x14ac:dyDescent="0.25">
      <c r="B273" s="31" t="str">
        <f>'Claim Data'!C202&amp;'Claim Data'!B202</f>
        <v>4118340878</v>
      </c>
    </row>
    <row r="274" spans="2:2" hidden="1" x14ac:dyDescent="0.25">
      <c r="B274" s="31" t="str">
        <f>'Claim Data'!C203&amp;'Claim Data'!B203</f>
        <v>4121440878</v>
      </c>
    </row>
    <row r="275" spans="2:2" hidden="1" x14ac:dyDescent="0.25">
      <c r="B275" s="31" t="str">
        <f>'Claim Data'!C204&amp;'Claim Data'!B204</f>
        <v>4124440878</v>
      </c>
    </row>
    <row r="276" spans="2:2" hidden="1" x14ac:dyDescent="0.25">
      <c r="B276" s="31" t="str">
        <f>'Claim Data'!C205&amp;'Claim Data'!B205</f>
        <v>4090940909</v>
      </c>
    </row>
    <row r="277" spans="2:2" hidden="1" x14ac:dyDescent="0.25">
      <c r="B277" s="31" t="str">
        <f>'Claim Data'!C206&amp;'Claim Data'!B206</f>
        <v>4094040909</v>
      </c>
    </row>
    <row r="278" spans="2:2" hidden="1" x14ac:dyDescent="0.25">
      <c r="B278" s="31" t="str">
        <f>'Claim Data'!C207&amp;'Claim Data'!B207</f>
        <v>4096940909</v>
      </c>
    </row>
    <row r="279" spans="2:2" hidden="1" x14ac:dyDescent="0.25">
      <c r="B279" s="31" t="str">
        <f>'Claim Data'!C208&amp;'Claim Data'!B208</f>
        <v>4100040909</v>
      </c>
    </row>
    <row r="280" spans="2:2" hidden="1" x14ac:dyDescent="0.25">
      <c r="B280" s="31" t="str">
        <f>'Claim Data'!C209&amp;'Claim Data'!B209</f>
        <v>4103040909</v>
      </c>
    </row>
    <row r="281" spans="2:2" hidden="1" x14ac:dyDescent="0.25">
      <c r="B281" s="31" t="str">
        <f>'Claim Data'!C210&amp;'Claim Data'!B210</f>
        <v>4106140909</v>
      </c>
    </row>
    <row r="282" spans="2:2" hidden="1" x14ac:dyDescent="0.25">
      <c r="B282" s="31" t="str">
        <f>'Claim Data'!C211&amp;'Claim Data'!B211</f>
        <v>4109140909</v>
      </c>
    </row>
    <row r="283" spans="2:2" hidden="1" x14ac:dyDescent="0.25">
      <c r="B283" s="31" t="str">
        <f>'Claim Data'!C212&amp;'Claim Data'!B212</f>
        <v>4112240909</v>
      </c>
    </row>
    <row r="284" spans="2:2" hidden="1" x14ac:dyDescent="0.25">
      <c r="B284" s="31" t="str">
        <f>'Claim Data'!C213&amp;'Claim Data'!B213</f>
        <v>4115340909</v>
      </c>
    </row>
    <row r="285" spans="2:2" hidden="1" x14ac:dyDescent="0.25">
      <c r="B285" s="31" t="str">
        <f>'Claim Data'!C214&amp;'Claim Data'!B214</f>
        <v>4118340909</v>
      </c>
    </row>
    <row r="286" spans="2:2" hidden="1" x14ac:dyDescent="0.25">
      <c r="B286" s="31" t="str">
        <f>'Claim Data'!C215&amp;'Claim Data'!B215</f>
        <v>4121440909</v>
      </c>
    </row>
    <row r="287" spans="2:2" hidden="1" x14ac:dyDescent="0.25">
      <c r="B287" s="31" t="str">
        <f>'Claim Data'!C216&amp;'Claim Data'!B216</f>
        <v>4124440909</v>
      </c>
    </row>
    <row r="288" spans="2:2" hidden="1" x14ac:dyDescent="0.25">
      <c r="B288" s="31" t="str">
        <f>'Claim Data'!C217&amp;'Claim Data'!B217</f>
        <v>4094040940</v>
      </c>
    </row>
    <row r="289" spans="2:2" hidden="1" x14ac:dyDescent="0.25">
      <c r="B289" s="31" t="str">
        <f>'Claim Data'!C218&amp;'Claim Data'!B218</f>
        <v>4096940940</v>
      </c>
    </row>
    <row r="290" spans="2:2" hidden="1" x14ac:dyDescent="0.25">
      <c r="B290" s="31" t="str">
        <f>'Claim Data'!C219&amp;'Claim Data'!B219</f>
        <v>4100040940</v>
      </c>
    </row>
    <row r="291" spans="2:2" hidden="1" x14ac:dyDescent="0.25">
      <c r="B291" s="31" t="str">
        <f>'Claim Data'!C220&amp;'Claim Data'!B220</f>
        <v>4103040940</v>
      </c>
    </row>
    <row r="292" spans="2:2" hidden="1" x14ac:dyDescent="0.25">
      <c r="B292" s="31" t="str">
        <f>'Claim Data'!C221&amp;'Claim Data'!B221</f>
        <v>4106140940</v>
      </c>
    </row>
    <row r="293" spans="2:2" hidden="1" x14ac:dyDescent="0.25">
      <c r="B293" s="31" t="str">
        <f>'Claim Data'!C222&amp;'Claim Data'!B222</f>
        <v>4109140940</v>
      </c>
    </row>
    <row r="294" spans="2:2" hidden="1" x14ac:dyDescent="0.25">
      <c r="B294" s="31" t="str">
        <f>'Claim Data'!C223&amp;'Claim Data'!B223</f>
        <v>4112240940</v>
      </c>
    </row>
    <row r="295" spans="2:2" hidden="1" x14ac:dyDescent="0.25">
      <c r="B295" s="31" t="str">
        <f>'Claim Data'!C224&amp;'Claim Data'!B224</f>
        <v>4115340940</v>
      </c>
    </row>
    <row r="296" spans="2:2" hidden="1" x14ac:dyDescent="0.25">
      <c r="B296" s="31" t="str">
        <f>'Claim Data'!C225&amp;'Claim Data'!B225</f>
        <v>4118340940</v>
      </c>
    </row>
    <row r="297" spans="2:2" hidden="1" x14ac:dyDescent="0.25">
      <c r="B297" s="31" t="str">
        <f>'Claim Data'!C226&amp;'Claim Data'!B226</f>
        <v>4121440940</v>
      </c>
    </row>
    <row r="298" spans="2:2" hidden="1" x14ac:dyDescent="0.25">
      <c r="B298" s="31" t="str">
        <f>'Claim Data'!C227&amp;'Claim Data'!B227</f>
        <v>4124440940</v>
      </c>
    </row>
    <row r="299" spans="2:2" hidden="1" x14ac:dyDescent="0.25">
      <c r="B299" s="31" t="str">
        <f>'Claim Data'!C228&amp;'Claim Data'!B228</f>
        <v>4096940969</v>
      </c>
    </row>
    <row r="300" spans="2:2" hidden="1" x14ac:dyDescent="0.25">
      <c r="B300" s="31" t="str">
        <f>'Claim Data'!C229&amp;'Claim Data'!B229</f>
        <v>4100040969</v>
      </c>
    </row>
    <row r="301" spans="2:2" hidden="1" x14ac:dyDescent="0.25">
      <c r="B301" s="31" t="str">
        <f>'Claim Data'!C230&amp;'Claim Data'!B230</f>
        <v>4103040969</v>
      </c>
    </row>
    <row r="302" spans="2:2" hidden="1" x14ac:dyDescent="0.25">
      <c r="B302" s="31" t="str">
        <f>'Claim Data'!C231&amp;'Claim Data'!B231</f>
        <v>4106140969</v>
      </c>
    </row>
    <row r="303" spans="2:2" hidden="1" x14ac:dyDescent="0.25">
      <c r="B303" s="31" t="str">
        <f>'Claim Data'!C232&amp;'Claim Data'!B232</f>
        <v>4109140969</v>
      </c>
    </row>
    <row r="304" spans="2:2" hidden="1" x14ac:dyDescent="0.25">
      <c r="B304" s="31" t="str">
        <f>'Claim Data'!C233&amp;'Claim Data'!B233</f>
        <v>4112240969</v>
      </c>
    </row>
    <row r="305" spans="2:2" hidden="1" x14ac:dyDescent="0.25">
      <c r="B305" s="31" t="str">
        <f>'Claim Data'!C234&amp;'Claim Data'!B234</f>
        <v>4115340969</v>
      </c>
    </row>
    <row r="306" spans="2:2" hidden="1" x14ac:dyDescent="0.25">
      <c r="B306" s="31" t="str">
        <f>'Claim Data'!C235&amp;'Claim Data'!B235</f>
        <v>4118340969</v>
      </c>
    </row>
    <row r="307" spans="2:2" hidden="1" x14ac:dyDescent="0.25">
      <c r="B307" s="31" t="str">
        <f>'Claim Data'!C236&amp;'Claim Data'!B236</f>
        <v>4121440969</v>
      </c>
    </row>
    <row r="308" spans="2:2" hidden="1" x14ac:dyDescent="0.25">
      <c r="B308" s="31" t="str">
        <f>'Claim Data'!C237&amp;'Claim Data'!B237</f>
        <v>4124440969</v>
      </c>
    </row>
    <row r="309" spans="2:2" hidden="1" x14ac:dyDescent="0.25">
      <c r="B309" s="31" t="str">
        <f>'Claim Data'!C238&amp;'Claim Data'!B238</f>
        <v>4100041000</v>
      </c>
    </row>
    <row r="310" spans="2:2" hidden="1" x14ac:dyDescent="0.25">
      <c r="B310" s="31" t="str">
        <f>'Claim Data'!C239&amp;'Claim Data'!B239</f>
        <v>4103041000</v>
      </c>
    </row>
    <row r="311" spans="2:2" hidden="1" x14ac:dyDescent="0.25">
      <c r="B311" s="31" t="str">
        <f>'Claim Data'!C240&amp;'Claim Data'!B240</f>
        <v>4106141000</v>
      </c>
    </row>
    <row r="312" spans="2:2" hidden="1" x14ac:dyDescent="0.25">
      <c r="B312" s="31" t="str">
        <f>'Claim Data'!C241&amp;'Claim Data'!B241</f>
        <v>4109141000</v>
      </c>
    </row>
    <row r="313" spans="2:2" hidden="1" x14ac:dyDescent="0.25">
      <c r="B313" s="31" t="str">
        <f>'Claim Data'!C242&amp;'Claim Data'!B242</f>
        <v>4112241000</v>
      </c>
    </row>
    <row r="314" spans="2:2" hidden="1" x14ac:dyDescent="0.25">
      <c r="B314" s="31" t="str">
        <f>'Claim Data'!C243&amp;'Claim Data'!B243</f>
        <v>4115341000</v>
      </c>
    </row>
    <row r="315" spans="2:2" hidden="1" x14ac:dyDescent="0.25">
      <c r="B315" s="31" t="str">
        <f>'Claim Data'!C244&amp;'Claim Data'!B244</f>
        <v>4118341000</v>
      </c>
    </row>
    <row r="316" spans="2:2" hidden="1" x14ac:dyDescent="0.25">
      <c r="B316" s="31" t="str">
        <f>'Claim Data'!C245&amp;'Claim Data'!B245</f>
        <v>4121441000</v>
      </c>
    </row>
    <row r="317" spans="2:2" hidden="1" x14ac:dyDescent="0.25">
      <c r="B317" s="31" t="str">
        <f>'Claim Data'!C246&amp;'Claim Data'!B246</f>
        <v>4124441000</v>
      </c>
    </row>
    <row r="318" spans="2:2" hidden="1" x14ac:dyDescent="0.25">
      <c r="B318" s="31" t="str">
        <f>'Claim Data'!C247&amp;'Claim Data'!B247</f>
        <v>4103041030</v>
      </c>
    </row>
    <row r="319" spans="2:2" hidden="1" x14ac:dyDescent="0.25">
      <c r="B319" s="31" t="str">
        <f>'Claim Data'!C248&amp;'Claim Data'!B248</f>
        <v>4106141030</v>
      </c>
    </row>
    <row r="320" spans="2:2" hidden="1" x14ac:dyDescent="0.25">
      <c r="B320" s="31" t="str">
        <f>'Claim Data'!C249&amp;'Claim Data'!B249</f>
        <v>4109141030</v>
      </c>
    </row>
    <row r="321" spans="2:2" hidden="1" x14ac:dyDescent="0.25">
      <c r="B321" s="31" t="str">
        <f>'Claim Data'!C250&amp;'Claim Data'!B250</f>
        <v>4112241030</v>
      </c>
    </row>
    <row r="322" spans="2:2" hidden="1" x14ac:dyDescent="0.25">
      <c r="B322" s="31" t="str">
        <f>'Claim Data'!C251&amp;'Claim Data'!B251</f>
        <v>4115341030</v>
      </c>
    </row>
    <row r="323" spans="2:2" hidden="1" x14ac:dyDescent="0.25">
      <c r="B323" s="31" t="str">
        <f>'Claim Data'!C252&amp;'Claim Data'!B252</f>
        <v>4118341030</v>
      </c>
    </row>
    <row r="324" spans="2:2" hidden="1" x14ac:dyDescent="0.25">
      <c r="B324" s="31" t="str">
        <f>'Claim Data'!C253&amp;'Claim Data'!B253</f>
        <v>4121441030</v>
      </c>
    </row>
    <row r="325" spans="2:2" hidden="1" x14ac:dyDescent="0.25">
      <c r="B325" s="31" t="str">
        <f>'Claim Data'!C254&amp;'Claim Data'!B254</f>
        <v>4124441030</v>
      </c>
    </row>
    <row r="326" spans="2:2" hidden="1" x14ac:dyDescent="0.25">
      <c r="B326" s="31" t="str">
        <f>'Claim Data'!C255&amp;'Claim Data'!B255</f>
        <v>4106141061</v>
      </c>
    </row>
    <row r="327" spans="2:2" hidden="1" x14ac:dyDescent="0.25">
      <c r="B327" s="31" t="str">
        <f>'Claim Data'!C256&amp;'Claim Data'!B256</f>
        <v>4109141061</v>
      </c>
    </row>
    <row r="328" spans="2:2" hidden="1" x14ac:dyDescent="0.25">
      <c r="B328" s="31" t="str">
        <f>'Claim Data'!C257&amp;'Claim Data'!B257</f>
        <v>4112241061</v>
      </c>
    </row>
    <row r="329" spans="2:2" hidden="1" x14ac:dyDescent="0.25">
      <c r="B329" s="31" t="str">
        <f>'Claim Data'!C258&amp;'Claim Data'!B258</f>
        <v>4115341061</v>
      </c>
    </row>
    <row r="330" spans="2:2" hidden="1" x14ac:dyDescent="0.25">
      <c r="B330" s="31" t="str">
        <f>'Claim Data'!C259&amp;'Claim Data'!B259</f>
        <v>4118341061</v>
      </c>
    </row>
    <row r="331" spans="2:2" hidden="1" x14ac:dyDescent="0.25">
      <c r="B331" s="31" t="str">
        <f>'Claim Data'!C260&amp;'Claim Data'!B260</f>
        <v>4121441061</v>
      </c>
    </row>
    <row r="332" spans="2:2" hidden="1" x14ac:dyDescent="0.25">
      <c r="B332" s="31" t="str">
        <f>'Claim Data'!C261&amp;'Claim Data'!B261</f>
        <v>4124441061</v>
      </c>
    </row>
    <row r="333" spans="2:2" hidden="1" x14ac:dyDescent="0.25">
      <c r="B333" s="31" t="str">
        <f>'Claim Data'!C262&amp;'Claim Data'!B262</f>
        <v>4109141091</v>
      </c>
    </row>
    <row r="334" spans="2:2" hidden="1" x14ac:dyDescent="0.25">
      <c r="B334" s="31" t="str">
        <f>'Claim Data'!C263&amp;'Claim Data'!B263</f>
        <v>4112241091</v>
      </c>
    </row>
    <row r="335" spans="2:2" hidden="1" x14ac:dyDescent="0.25">
      <c r="B335" s="31" t="str">
        <f>'Claim Data'!C264&amp;'Claim Data'!B264</f>
        <v>4115341091</v>
      </c>
    </row>
    <row r="336" spans="2:2" hidden="1" x14ac:dyDescent="0.25">
      <c r="B336" s="31" t="str">
        <f>'Claim Data'!C265&amp;'Claim Data'!B265</f>
        <v>4118341091</v>
      </c>
    </row>
    <row r="337" spans="2:2" hidden="1" x14ac:dyDescent="0.25">
      <c r="B337" s="31" t="str">
        <f>'Claim Data'!C266&amp;'Claim Data'!B266</f>
        <v>4121441091</v>
      </c>
    </row>
    <row r="338" spans="2:2" hidden="1" x14ac:dyDescent="0.25">
      <c r="B338" s="31" t="str">
        <f>'Claim Data'!C267&amp;'Claim Data'!B267</f>
        <v>4124441091</v>
      </c>
    </row>
    <row r="339" spans="2:2" hidden="1" x14ac:dyDescent="0.25">
      <c r="B339" s="31" t="str">
        <f>'Claim Data'!C268&amp;'Claim Data'!B268</f>
        <v>4112241122</v>
      </c>
    </row>
    <row r="340" spans="2:2" hidden="1" x14ac:dyDescent="0.25">
      <c r="B340" s="31" t="str">
        <f>'Claim Data'!C269&amp;'Claim Data'!B269</f>
        <v>4115341122</v>
      </c>
    </row>
    <row r="341" spans="2:2" hidden="1" x14ac:dyDescent="0.25">
      <c r="B341" s="31" t="str">
        <f>'Claim Data'!C270&amp;'Claim Data'!B270</f>
        <v>4118341122</v>
      </c>
    </row>
    <row r="342" spans="2:2" hidden="1" x14ac:dyDescent="0.25">
      <c r="B342" s="31" t="str">
        <f>'Claim Data'!C271&amp;'Claim Data'!B271</f>
        <v>4121441122</v>
      </c>
    </row>
    <row r="343" spans="2:2" hidden="1" x14ac:dyDescent="0.25">
      <c r="B343" s="31" t="str">
        <f>'Claim Data'!C272&amp;'Claim Data'!B272</f>
        <v>4124441122</v>
      </c>
    </row>
    <row r="344" spans="2:2" hidden="1" x14ac:dyDescent="0.25">
      <c r="B344" s="31" t="str">
        <f>'Claim Data'!C273&amp;'Claim Data'!B273</f>
        <v>4115341153</v>
      </c>
    </row>
    <row r="345" spans="2:2" hidden="1" x14ac:dyDescent="0.25">
      <c r="B345" s="31" t="str">
        <f>'Claim Data'!C274&amp;'Claim Data'!B274</f>
        <v>4118341153</v>
      </c>
    </row>
    <row r="346" spans="2:2" hidden="1" x14ac:dyDescent="0.25">
      <c r="B346" s="31" t="str">
        <f>'Claim Data'!C275&amp;'Claim Data'!B275</f>
        <v>4121441153</v>
      </c>
    </row>
    <row r="347" spans="2:2" hidden="1" x14ac:dyDescent="0.25">
      <c r="B347" s="31" t="str">
        <f>'Claim Data'!C276&amp;'Claim Data'!B276</f>
        <v>4124441153</v>
      </c>
    </row>
    <row r="348" spans="2:2" hidden="1" x14ac:dyDescent="0.25">
      <c r="B348" s="31" t="str">
        <f>'Claim Data'!C277&amp;'Claim Data'!B277</f>
        <v>4118341183</v>
      </c>
    </row>
    <row r="349" spans="2:2" hidden="1" x14ac:dyDescent="0.25">
      <c r="B349" s="31" t="str">
        <f>'Claim Data'!C278&amp;'Claim Data'!B278</f>
        <v>4121441183</v>
      </c>
    </row>
    <row r="350" spans="2:2" hidden="1" x14ac:dyDescent="0.25">
      <c r="B350" s="31" t="str">
        <f>'Claim Data'!C279&amp;'Claim Data'!B279</f>
        <v>4124441183</v>
      </c>
    </row>
    <row r="351" spans="2:2" hidden="1" x14ac:dyDescent="0.25">
      <c r="B351" s="31" t="str">
        <f>'Claim Data'!C280&amp;'Claim Data'!B280</f>
        <v>4121441214</v>
      </c>
    </row>
    <row r="352" spans="2:2" ht="11.25" hidden="1" x14ac:dyDescent="0.25">
      <c r="B352" s="31" t="str">
        <f>'Claim Data'!C281&amp;'Claim Data'!B281</f>
        <v>4124441214</v>
      </c>
    </row>
    <row r="353" spans="2:2" x14ac:dyDescent="0.25">
      <c r="B353" s="31" t="str">
        <f>VALUE('Claim Data'!B282)&amp;VALUE('Claim Data'!C282)</f>
        <v>4124441244</v>
      </c>
    </row>
  </sheetData>
  <mergeCells count="6">
    <mergeCell ref="C39:AA39"/>
    <mergeCell ref="C5:AA5"/>
    <mergeCell ref="C2:M2"/>
    <mergeCell ref="C3:M3"/>
    <mergeCell ref="C36:I36"/>
    <mergeCell ref="C37:M37"/>
  </mergeCells>
  <pageMargins left="0.7" right="0.7" top="0.75" bottom="0.75" header="0.3" footer="0.3"/>
  <pageSetup scale="44" orientation="landscape" horizontalDpi="300" verticalDpi="300" r:id="rId1"/>
  <headerFooter>
    <oddFooter>&amp;L&amp;F
&amp;A&amp;C&amp;P of &amp;N&amp;R&amp;D
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33184-4AA5-462D-BE31-03F8A1BDB805}">
  <sheetPr>
    <pageSetUpPr fitToPage="1"/>
  </sheetPr>
  <dimension ref="A1:AH685"/>
  <sheetViews>
    <sheetView showGridLines="0" workbookViewId="0">
      <pane ySplit="3" topLeftCell="A4" activePane="bottomLeft" state="frozen"/>
      <selection activeCell="F14" sqref="F14"/>
      <selection pane="bottomLeft" activeCell="B4" sqref="B4"/>
    </sheetView>
  </sheetViews>
  <sheetFormatPr defaultColWidth="9.140625" defaultRowHeight="12" x14ac:dyDescent="0.2"/>
  <cols>
    <col min="1" max="1" width="2.7109375" style="3" customWidth="1"/>
    <col min="2" max="2" width="12.140625" style="2" customWidth="1"/>
    <col min="3" max="3" width="12.5703125" style="2" customWidth="1"/>
    <col min="4" max="4" width="13.85546875" style="21" customWidth="1"/>
    <col min="5" max="5" width="13.7109375" style="3" customWidth="1"/>
    <col min="6" max="6" width="4.85546875" style="3" customWidth="1"/>
    <col min="7" max="7" width="12.85546875" style="2" customWidth="1"/>
    <col min="8" max="8" width="13.28515625" style="3" customWidth="1"/>
    <col min="9" max="256" width="9.140625" style="3"/>
    <col min="257" max="257" width="2.7109375" style="3" customWidth="1"/>
    <col min="258" max="264" width="18.28515625" style="3" customWidth="1"/>
    <col min="265" max="512" width="9.140625" style="3"/>
    <col min="513" max="513" width="2.7109375" style="3" customWidth="1"/>
    <col min="514" max="520" width="18.28515625" style="3" customWidth="1"/>
    <col min="521" max="768" width="9.140625" style="3"/>
    <col min="769" max="769" width="2.7109375" style="3" customWidth="1"/>
    <col min="770" max="776" width="18.28515625" style="3" customWidth="1"/>
    <col min="777" max="1024" width="9.140625" style="3"/>
    <col min="1025" max="1025" width="2.7109375" style="3" customWidth="1"/>
    <col min="1026" max="1032" width="18.28515625" style="3" customWidth="1"/>
    <col min="1033" max="1280" width="9.140625" style="3"/>
    <col min="1281" max="1281" width="2.7109375" style="3" customWidth="1"/>
    <col min="1282" max="1288" width="18.28515625" style="3" customWidth="1"/>
    <col min="1289" max="1536" width="9.140625" style="3"/>
    <col min="1537" max="1537" width="2.7109375" style="3" customWidth="1"/>
    <col min="1538" max="1544" width="18.28515625" style="3" customWidth="1"/>
    <col min="1545" max="1792" width="9.140625" style="3"/>
    <col min="1793" max="1793" width="2.7109375" style="3" customWidth="1"/>
    <col min="1794" max="1800" width="18.28515625" style="3" customWidth="1"/>
    <col min="1801" max="2048" width="9.140625" style="3"/>
    <col min="2049" max="2049" width="2.7109375" style="3" customWidth="1"/>
    <col min="2050" max="2056" width="18.28515625" style="3" customWidth="1"/>
    <col min="2057" max="2304" width="9.140625" style="3"/>
    <col min="2305" max="2305" width="2.7109375" style="3" customWidth="1"/>
    <col min="2306" max="2312" width="18.28515625" style="3" customWidth="1"/>
    <col min="2313" max="2560" width="9.140625" style="3"/>
    <col min="2561" max="2561" width="2.7109375" style="3" customWidth="1"/>
    <col min="2562" max="2568" width="18.28515625" style="3" customWidth="1"/>
    <col min="2569" max="2816" width="9.140625" style="3"/>
    <col min="2817" max="2817" width="2.7109375" style="3" customWidth="1"/>
    <col min="2818" max="2824" width="18.28515625" style="3" customWidth="1"/>
    <col min="2825" max="3072" width="9.140625" style="3"/>
    <col min="3073" max="3073" width="2.7109375" style="3" customWidth="1"/>
    <col min="3074" max="3080" width="18.28515625" style="3" customWidth="1"/>
    <col min="3081" max="3328" width="9.140625" style="3"/>
    <col min="3329" max="3329" width="2.7109375" style="3" customWidth="1"/>
    <col min="3330" max="3336" width="18.28515625" style="3" customWidth="1"/>
    <col min="3337" max="3584" width="9.140625" style="3"/>
    <col min="3585" max="3585" width="2.7109375" style="3" customWidth="1"/>
    <col min="3586" max="3592" width="18.28515625" style="3" customWidth="1"/>
    <col min="3593" max="3840" width="9.140625" style="3"/>
    <col min="3841" max="3841" width="2.7109375" style="3" customWidth="1"/>
    <col min="3842" max="3848" width="18.28515625" style="3" customWidth="1"/>
    <col min="3849" max="4096" width="9.140625" style="3"/>
    <col min="4097" max="4097" width="2.7109375" style="3" customWidth="1"/>
    <col min="4098" max="4104" width="18.28515625" style="3" customWidth="1"/>
    <col min="4105" max="4352" width="9.140625" style="3"/>
    <col min="4353" max="4353" width="2.7109375" style="3" customWidth="1"/>
    <col min="4354" max="4360" width="18.28515625" style="3" customWidth="1"/>
    <col min="4361" max="4608" width="9.140625" style="3"/>
    <col min="4609" max="4609" width="2.7109375" style="3" customWidth="1"/>
    <col min="4610" max="4616" width="18.28515625" style="3" customWidth="1"/>
    <col min="4617" max="4864" width="9.140625" style="3"/>
    <col min="4865" max="4865" width="2.7109375" style="3" customWidth="1"/>
    <col min="4866" max="4872" width="18.28515625" style="3" customWidth="1"/>
    <col min="4873" max="5120" width="9.140625" style="3"/>
    <col min="5121" max="5121" width="2.7109375" style="3" customWidth="1"/>
    <col min="5122" max="5128" width="18.28515625" style="3" customWidth="1"/>
    <col min="5129" max="5376" width="9.140625" style="3"/>
    <col min="5377" max="5377" width="2.7109375" style="3" customWidth="1"/>
    <col min="5378" max="5384" width="18.28515625" style="3" customWidth="1"/>
    <col min="5385" max="5632" width="9.140625" style="3"/>
    <col min="5633" max="5633" width="2.7109375" style="3" customWidth="1"/>
    <col min="5634" max="5640" width="18.28515625" style="3" customWidth="1"/>
    <col min="5641" max="5888" width="9.140625" style="3"/>
    <col min="5889" max="5889" width="2.7109375" style="3" customWidth="1"/>
    <col min="5890" max="5896" width="18.28515625" style="3" customWidth="1"/>
    <col min="5897" max="6144" width="9.140625" style="3"/>
    <col min="6145" max="6145" width="2.7109375" style="3" customWidth="1"/>
    <col min="6146" max="6152" width="18.28515625" style="3" customWidth="1"/>
    <col min="6153" max="6400" width="9.140625" style="3"/>
    <col min="6401" max="6401" width="2.7109375" style="3" customWidth="1"/>
    <col min="6402" max="6408" width="18.28515625" style="3" customWidth="1"/>
    <col min="6409" max="6656" width="9.140625" style="3"/>
    <col min="6657" max="6657" width="2.7109375" style="3" customWidth="1"/>
    <col min="6658" max="6664" width="18.28515625" style="3" customWidth="1"/>
    <col min="6665" max="6912" width="9.140625" style="3"/>
    <col min="6913" max="6913" width="2.7109375" style="3" customWidth="1"/>
    <col min="6914" max="6920" width="18.28515625" style="3" customWidth="1"/>
    <col min="6921" max="7168" width="9.140625" style="3"/>
    <col min="7169" max="7169" width="2.7109375" style="3" customWidth="1"/>
    <col min="7170" max="7176" width="18.28515625" style="3" customWidth="1"/>
    <col min="7177" max="7424" width="9.140625" style="3"/>
    <col min="7425" max="7425" width="2.7109375" style="3" customWidth="1"/>
    <col min="7426" max="7432" width="18.28515625" style="3" customWidth="1"/>
    <col min="7433" max="7680" width="9.140625" style="3"/>
    <col min="7681" max="7681" width="2.7109375" style="3" customWidth="1"/>
    <col min="7682" max="7688" width="18.28515625" style="3" customWidth="1"/>
    <col min="7689" max="7936" width="9.140625" style="3"/>
    <col min="7937" max="7937" width="2.7109375" style="3" customWidth="1"/>
    <col min="7938" max="7944" width="18.28515625" style="3" customWidth="1"/>
    <col min="7945" max="8192" width="9.140625" style="3"/>
    <col min="8193" max="8193" width="2.7109375" style="3" customWidth="1"/>
    <col min="8194" max="8200" width="18.28515625" style="3" customWidth="1"/>
    <col min="8201" max="8448" width="9.140625" style="3"/>
    <col min="8449" max="8449" width="2.7109375" style="3" customWidth="1"/>
    <col min="8450" max="8456" width="18.28515625" style="3" customWidth="1"/>
    <col min="8457" max="8704" width="9.140625" style="3"/>
    <col min="8705" max="8705" width="2.7109375" style="3" customWidth="1"/>
    <col min="8706" max="8712" width="18.28515625" style="3" customWidth="1"/>
    <col min="8713" max="8960" width="9.140625" style="3"/>
    <col min="8961" max="8961" width="2.7109375" style="3" customWidth="1"/>
    <col min="8962" max="8968" width="18.28515625" style="3" customWidth="1"/>
    <col min="8969" max="9216" width="9.140625" style="3"/>
    <col min="9217" max="9217" width="2.7109375" style="3" customWidth="1"/>
    <col min="9218" max="9224" width="18.28515625" style="3" customWidth="1"/>
    <col min="9225" max="9472" width="9.140625" style="3"/>
    <col min="9473" max="9473" width="2.7109375" style="3" customWidth="1"/>
    <col min="9474" max="9480" width="18.28515625" style="3" customWidth="1"/>
    <col min="9481" max="9728" width="9.140625" style="3"/>
    <col min="9729" max="9729" width="2.7109375" style="3" customWidth="1"/>
    <col min="9730" max="9736" width="18.28515625" style="3" customWidth="1"/>
    <col min="9737" max="9984" width="9.140625" style="3"/>
    <col min="9985" max="9985" width="2.7109375" style="3" customWidth="1"/>
    <col min="9986" max="9992" width="18.28515625" style="3" customWidth="1"/>
    <col min="9993" max="10240" width="9.140625" style="3"/>
    <col min="10241" max="10241" width="2.7109375" style="3" customWidth="1"/>
    <col min="10242" max="10248" width="18.28515625" style="3" customWidth="1"/>
    <col min="10249" max="10496" width="9.140625" style="3"/>
    <col min="10497" max="10497" width="2.7109375" style="3" customWidth="1"/>
    <col min="10498" max="10504" width="18.28515625" style="3" customWidth="1"/>
    <col min="10505" max="10752" width="9.140625" style="3"/>
    <col min="10753" max="10753" width="2.7109375" style="3" customWidth="1"/>
    <col min="10754" max="10760" width="18.28515625" style="3" customWidth="1"/>
    <col min="10761" max="11008" width="9.140625" style="3"/>
    <col min="11009" max="11009" width="2.7109375" style="3" customWidth="1"/>
    <col min="11010" max="11016" width="18.28515625" style="3" customWidth="1"/>
    <col min="11017" max="11264" width="9.140625" style="3"/>
    <col min="11265" max="11265" width="2.7109375" style="3" customWidth="1"/>
    <col min="11266" max="11272" width="18.28515625" style="3" customWidth="1"/>
    <col min="11273" max="11520" width="9.140625" style="3"/>
    <col min="11521" max="11521" width="2.7109375" style="3" customWidth="1"/>
    <col min="11522" max="11528" width="18.28515625" style="3" customWidth="1"/>
    <col min="11529" max="11776" width="9.140625" style="3"/>
    <col min="11777" max="11777" width="2.7109375" style="3" customWidth="1"/>
    <col min="11778" max="11784" width="18.28515625" style="3" customWidth="1"/>
    <col min="11785" max="12032" width="9.140625" style="3"/>
    <col min="12033" max="12033" width="2.7109375" style="3" customWidth="1"/>
    <col min="12034" max="12040" width="18.28515625" style="3" customWidth="1"/>
    <col min="12041" max="12288" width="9.140625" style="3"/>
    <col min="12289" max="12289" width="2.7109375" style="3" customWidth="1"/>
    <col min="12290" max="12296" width="18.28515625" style="3" customWidth="1"/>
    <col min="12297" max="12544" width="9.140625" style="3"/>
    <col min="12545" max="12545" width="2.7109375" style="3" customWidth="1"/>
    <col min="12546" max="12552" width="18.28515625" style="3" customWidth="1"/>
    <col min="12553" max="12800" width="9.140625" style="3"/>
    <col min="12801" max="12801" width="2.7109375" style="3" customWidth="1"/>
    <col min="12802" max="12808" width="18.28515625" style="3" customWidth="1"/>
    <col min="12809" max="13056" width="9.140625" style="3"/>
    <col min="13057" max="13057" width="2.7109375" style="3" customWidth="1"/>
    <col min="13058" max="13064" width="18.28515625" style="3" customWidth="1"/>
    <col min="13065" max="13312" width="9.140625" style="3"/>
    <col min="13313" max="13313" width="2.7109375" style="3" customWidth="1"/>
    <col min="13314" max="13320" width="18.28515625" style="3" customWidth="1"/>
    <col min="13321" max="13568" width="9.140625" style="3"/>
    <col min="13569" max="13569" width="2.7109375" style="3" customWidth="1"/>
    <col min="13570" max="13576" width="18.28515625" style="3" customWidth="1"/>
    <col min="13577" max="13824" width="9.140625" style="3"/>
    <col min="13825" max="13825" width="2.7109375" style="3" customWidth="1"/>
    <col min="13826" max="13832" width="18.28515625" style="3" customWidth="1"/>
    <col min="13833" max="14080" width="9.140625" style="3"/>
    <col min="14081" max="14081" width="2.7109375" style="3" customWidth="1"/>
    <col min="14082" max="14088" width="18.28515625" style="3" customWidth="1"/>
    <col min="14089" max="14336" width="9.140625" style="3"/>
    <col min="14337" max="14337" width="2.7109375" style="3" customWidth="1"/>
    <col min="14338" max="14344" width="18.28515625" style="3" customWidth="1"/>
    <col min="14345" max="14592" width="9.140625" style="3"/>
    <col min="14593" max="14593" width="2.7109375" style="3" customWidth="1"/>
    <col min="14594" max="14600" width="18.28515625" style="3" customWidth="1"/>
    <col min="14601" max="14848" width="9.140625" style="3"/>
    <col min="14849" max="14849" width="2.7109375" style="3" customWidth="1"/>
    <col min="14850" max="14856" width="18.28515625" style="3" customWidth="1"/>
    <col min="14857" max="15104" width="9.140625" style="3"/>
    <col min="15105" max="15105" width="2.7109375" style="3" customWidth="1"/>
    <col min="15106" max="15112" width="18.28515625" style="3" customWidth="1"/>
    <col min="15113" max="15360" width="9.140625" style="3"/>
    <col min="15361" max="15361" width="2.7109375" style="3" customWidth="1"/>
    <col min="15362" max="15368" width="18.28515625" style="3" customWidth="1"/>
    <col min="15369" max="15616" width="9.140625" style="3"/>
    <col min="15617" max="15617" width="2.7109375" style="3" customWidth="1"/>
    <col min="15618" max="15624" width="18.28515625" style="3" customWidth="1"/>
    <col min="15625" max="15872" width="9.140625" style="3"/>
    <col min="15873" max="15873" width="2.7109375" style="3" customWidth="1"/>
    <col min="15874" max="15880" width="18.28515625" style="3" customWidth="1"/>
    <col min="15881" max="16128" width="9.140625" style="3"/>
    <col min="16129" max="16129" width="2.7109375" style="3" customWidth="1"/>
    <col min="16130" max="16136" width="18.28515625" style="3" customWidth="1"/>
    <col min="16137" max="16384" width="9.140625" style="3"/>
  </cols>
  <sheetData>
    <row r="1" spans="1:33" x14ac:dyDescent="0.2">
      <c r="A1" s="1"/>
      <c r="D1" s="3"/>
    </row>
    <row r="2" spans="1:33" x14ac:dyDescent="0.2">
      <c r="A2" s="1"/>
      <c r="B2" s="39" t="s">
        <v>0</v>
      </c>
      <c r="C2" s="40"/>
      <c r="D2" s="40"/>
      <c r="E2" s="41"/>
      <c r="F2" s="2"/>
      <c r="G2" s="39" t="s">
        <v>1</v>
      </c>
      <c r="H2" s="42"/>
      <c r="K2" s="4" t="s">
        <v>2</v>
      </c>
      <c r="L2" s="5">
        <v>41275</v>
      </c>
      <c r="AB2" s="1" t="s">
        <v>3</v>
      </c>
    </row>
    <row r="3" spans="1:33" ht="24" customHeight="1" x14ac:dyDescent="0.2">
      <c r="B3" s="6" t="s">
        <v>4</v>
      </c>
      <c r="C3" s="7" t="s">
        <v>5</v>
      </c>
      <c r="D3" s="8" t="s">
        <v>6</v>
      </c>
      <c r="E3" s="9" t="s">
        <v>7</v>
      </c>
      <c r="F3" s="10"/>
      <c r="G3" s="7" t="s">
        <v>8</v>
      </c>
      <c r="H3" s="9" t="s">
        <v>9</v>
      </c>
      <c r="AB3" s="3" t="s">
        <v>10</v>
      </c>
      <c r="AC3" s="11">
        <f>MIN(B4:C282)</f>
        <v>40544</v>
      </c>
      <c r="AD3" s="12" t="str">
        <f>TEXT(DATE(YEAR(AC4),MONTH(AC4),VLOOKUP(MONTH(AC4),$AD$4:$AE$15,2)),"mm/dd/yy")</f>
        <v>12/31/12</v>
      </c>
      <c r="AE3" s="12" t="str">
        <f>TEXT(DATE(YEAR(AC4+32),MONTH(AC4+32),1),"mm/yy")</f>
        <v>01/13</v>
      </c>
      <c r="AF3" s="12" t="str">
        <f>TEXT(DATE(YEAR(AC4+31*6),MONTH(AC4+31*6),1),"mm/yy")</f>
        <v>06/13</v>
      </c>
      <c r="AG3" s="13" t="str">
        <f>TEXT(DATE(YEAR(AC4+6*31),MONTH(AC4+6*31),VLOOKUP(MONTH(AC4+6*31),AD4:AE15,2)),"mm/dd/yy")</f>
        <v>06/30/13</v>
      </c>
    </row>
    <row r="4" spans="1:33" x14ac:dyDescent="0.2">
      <c r="A4" s="14">
        <v>24</v>
      </c>
      <c r="B4" s="15">
        <f>EDATE($L$2,-A4)</f>
        <v>40544</v>
      </c>
      <c r="C4" s="15">
        <f>IF(B4&lt;&gt;B3,B4,EDATE(C3,1))</f>
        <v>40544</v>
      </c>
      <c r="D4" s="16">
        <v>1649000</v>
      </c>
      <c r="E4" s="16">
        <v>329000</v>
      </c>
      <c r="F4" s="14"/>
      <c r="G4" s="15">
        <f>B4</f>
        <v>40544</v>
      </c>
      <c r="H4" s="17">
        <v>47760</v>
      </c>
      <c r="AB4" s="3" t="s">
        <v>11</v>
      </c>
      <c r="AC4" s="11">
        <f>MAX(B4:C282)</f>
        <v>41244</v>
      </c>
      <c r="AD4" s="3">
        <v>1</v>
      </c>
      <c r="AE4" s="3">
        <v>31</v>
      </c>
    </row>
    <row r="5" spans="1:33" x14ac:dyDescent="0.2">
      <c r="A5" s="14">
        <v>24</v>
      </c>
      <c r="B5" s="15">
        <f t="shared" ref="B5:B68" si="0">EDATE($L$2,-A5)</f>
        <v>40544</v>
      </c>
      <c r="C5" s="15">
        <f t="shared" ref="C5:C68" si="1">IF(B5&lt;&gt;B4,B5,EDATE(C4,1))</f>
        <v>40575</v>
      </c>
      <c r="D5" s="17">
        <v>4580000</v>
      </c>
      <c r="E5" s="18">
        <v>8000</v>
      </c>
      <c r="F5" s="14"/>
      <c r="G5" s="15">
        <f>EDATE(G4,1)</f>
        <v>40575</v>
      </c>
      <c r="H5" s="17">
        <v>46980</v>
      </c>
      <c r="AB5" s="3" t="s">
        <v>12</v>
      </c>
      <c r="AC5" s="11">
        <f>DATE(YEAR(AC4)-1,MONTH(AC4),DAY(AC4))</f>
        <v>40878</v>
      </c>
      <c r="AD5" s="3">
        <v>2</v>
      </c>
      <c r="AE5" s="3">
        <v>28</v>
      </c>
    </row>
    <row r="6" spans="1:33" x14ac:dyDescent="0.2">
      <c r="A6" s="14">
        <v>24</v>
      </c>
      <c r="B6" s="15">
        <f t="shared" si="0"/>
        <v>40544</v>
      </c>
      <c r="C6" s="15">
        <f t="shared" si="1"/>
        <v>40603</v>
      </c>
      <c r="D6" s="17">
        <v>1934000</v>
      </c>
      <c r="E6" s="18">
        <v>17000</v>
      </c>
      <c r="F6" s="14"/>
      <c r="G6" s="15">
        <f t="shared" ref="G6:G27" si="2">EDATE(G5,1)</f>
        <v>40603</v>
      </c>
      <c r="H6" s="17">
        <v>46300</v>
      </c>
      <c r="AD6" s="3">
        <v>3</v>
      </c>
      <c r="AE6" s="3">
        <v>31</v>
      </c>
    </row>
    <row r="7" spans="1:33" x14ac:dyDescent="0.2">
      <c r="A7" s="14">
        <v>24</v>
      </c>
      <c r="B7" s="15">
        <f t="shared" si="0"/>
        <v>40544</v>
      </c>
      <c r="C7" s="15">
        <f t="shared" si="1"/>
        <v>40634</v>
      </c>
      <c r="D7" s="17">
        <v>1152000</v>
      </c>
      <c r="E7" s="18">
        <v>10000</v>
      </c>
      <c r="F7" s="14"/>
      <c r="G7" s="15">
        <f t="shared" si="2"/>
        <v>40634</v>
      </c>
      <c r="H7" s="17">
        <v>45520</v>
      </c>
      <c r="AD7" s="3">
        <v>4</v>
      </c>
      <c r="AE7" s="3">
        <v>30</v>
      </c>
    </row>
    <row r="8" spans="1:33" x14ac:dyDescent="0.2">
      <c r="A8" s="14">
        <v>24</v>
      </c>
      <c r="B8" s="15">
        <f t="shared" si="0"/>
        <v>40544</v>
      </c>
      <c r="C8" s="15">
        <f t="shared" si="1"/>
        <v>40664</v>
      </c>
      <c r="D8" s="17">
        <v>221000</v>
      </c>
      <c r="E8" s="18">
        <v>4000</v>
      </c>
      <c r="F8" s="14"/>
      <c r="G8" s="15">
        <f t="shared" si="2"/>
        <v>40664</v>
      </c>
      <c r="H8" s="17">
        <v>45380</v>
      </c>
      <c r="AD8" s="3">
        <v>5</v>
      </c>
      <c r="AE8" s="3">
        <v>31</v>
      </c>
    </row>
    <row r="9" spans="1:33" x14ac:dyDescent="0.2">
      <c r="A9" s="14">
        <v>24</v>
      </c>
      <c r="B9" s="15">
        <f t="shared" si="0"/>
        <v>40544</v>
      </c>
      <c r="C9" s="15">
        <f t="shared" si="1"/>
        <v>40695</v>
      </c>
      <c r="D9" s="17">
        <v>173000</v>
      </c>
      <c r="E9" s="18">
        <v>3000</v>
      </c>
      <c r="F9" s="14"/>
      <c r="G9" s="15">
        <f t="shared" si="2"/>
        <v>40695</v>
      </c>
      <c r="H9" s="17">
        <v>44720</v>
      </c>
      <c r="AD9" s="3">
        <v>6</v>
      </c>
      <c r="AE9" s="3">
        <v>30</v>
      </c>
    </row>
    <row r="10" spans="1:33" x14ac:dyDescent="0.2">
      <c r="A10" s="14">
        <v>24</v>
      </c>
      <c r="B10" s="15">
        <f t="shared" si="0"/>
        <v>40544</v>
      </c>
      <c r="C10" s="15">
        <f t="shared" si="1"/>
        <v>40725</v>
      </c>
      <c r="D10" s="17">
        <v>60000</v>
      </c>
      <c r="E10" s="18">
        <v>2000</v>
      </c>
      <c r="F10" s="14"/>
      <c r="G10" s="15">
        <f t="shared" si="2"/>
        <v>40725</v>
      </c>
      <c r="H10" s="17">
        <v>43520</v>
      </c>
      <c r="AD10" s="3">
        <v>7</v>
      </c>
      <c r="AE10" s="3">
        <v>31</v>
      </c>
    </row>
    <row r="11" spans="1:33" x14ac:dyDescent="0.2">
      <c r="A11" s="14">
        <v>24</v>
      </c>
      <c r="B11" s="15">
        <f t="shared" si="0"/>
        <v>40544</v>
      </c>
      <c r="C11" s="15">
        <f t="shared" si="1"/>
        <v>40756</v>
      </c>
      <c r="D11" s="17">
        <v>16000</v>
      </c>
      <c r="E11" s="18">
        <v>3000</v>
      </c>
      <c r="F11" s="14"/>
      <c r="G11" s="15">
        <f t="shared" si="2"/>
        <v>40756</v>
      </c>
      <c r="H11" s="17">
        <v>42500</v>
      </c>
      <c r="AD11" s="3">
        <v>8</v>
      </c>
      <c r="AE11" s="3">
        <v>31</v>
      </c>
    </row>
    <row r="12" spans="1:33" x14ac:dyDescent="0.2">
      <c r="A12" s="14">
        <v>24</v>
      </c>
      <c r="B12" s="15">
        <f t="shared" si="0"/>
        <v>40544</v>
      </c>
      <c r="C12" s="15">
        <f t="shared" si="1"/>
        <v>40787</v>
      </c>
      <c r="D12" s="17">
        <v>6000</v>
      </c>
      <c r="E12" s="18">
        <v>1000</v>
      </c>
      <c r="F12" s="14"/>
      <c r="G12" s="15">
        <f t="shared" si="2"/>
        <v>40787</v>
      </c>
      <c r="H12" s="17">
        <v>42360</v>
      </c>
      <c r="AD12" s="3">
        <v>9</v>
      </c>
      <c r="AE12" s="3">
        <v>30</v>
      </c>
    </row>
    <row r="13" spans="1:33" x14ac:dyDescent="0.2">
      <c r="A13" s="14">
        <v>24</v>
      </c>
      <c r="B13" s="15">
        <f t="shared" si="0"/>
        <v>40544</v>
      </c>
      <c r="C13" s="15">
        <f t="shared" si="1"/>
        <v>40817</v>
      </c>
      <c r="D13" s="17">
        <v>52000</v>
      </c>
      <c r="E13" s="18">
        <v>9000</v>
      </c>
      <c r="F13" s="14"/>
      <c r="G13" s="15">
        <f t="shared" si="2"/>
        <v>40817</v>
      </c>
      <c r="H13" s="17">
        <v>42020</v>
      </c>
      <c r="AD13" s="3">
        <v>10</v>
      </c>
      <c r="AE13" s="3">
        <v>31</v>
      </c>
    </row>
    <row r="14" spans="1:33" x14ac:dyDescent="0.2">
      <c r="A14" s="14">
        <v>24</v>
      </c>
      <c r="B14" s="15">
        <f t="shared" si="0"/>
        <v>40544</v>
      </c>
      <c r="C14" s="15">
        <f t="shared" si="1"/>
        <v>40848</v>
      </c>
      <c r="D14" s="17">
        <v>21000</v>
      </c>
      <c r="E14" s="18">
        <v>1000</v>
      </c>
      <c r="F14" s="14"/>
      <c r="G14" s="15">
        <f t="shared" si="2"/>
        <v>40848</v>
      </c>
      <c r="H14" s="17">
        <v>41850</v>
      </c>
      <c r="AD14" s="3">
        <v>11</v>
      </c>
      <c r="AE14" s="3">
        <v>30</v>
      </c>
    </row>
    <row r="15" spans="1:33" x14ac:dyDescent="0.2">
      <c r="A15" s="14">
        <v>24</v>
      </c>
      <c r="B15" s="15">
        <f t="shared" si="0"/>
        <v>40544</v>
      </c>
      <c r="C15" s="15">
        <f t="shared" si="1"/>
        <v>40878</v>
      </c>
      <c r="D15" s="17">
        <v>85000</v>
      </c>
      <c r="E15" s="18">
        <v>3000</v>
      </c>
      <c r="F15" s="14"/>
      <c r="G15" s="15">
        <f t="shared" si="2"/>
        <v>40878</v>
      </c>
      <c r="H15" s="17">
        <v>42250</v>
      </c>
      <c r="AD15" s="3">
        <v>12</v>
      </c>
      <c r="AE15" s="3">
        <v>31</v>
      </c>
    </row>
    <row r="16" spans="1:33" x14ac:dyDescent="0.2">
      <c r="A16" s="14">
        <v>24</v>
      </c>
      <c r="B16" s="15">
        <f t="shared" si="0"/>
        <v>40544</v>
      </c>
      <c r="C16" s="15">
        <f t="shared" si="1"/>
        <v>40909</v>
      </c>
      <c r="D16" s="17">
        <v>2000</v>
      </c>
      <c r="E16" s="18">
        <v>0</v>
      </c>
      <c r="F16" s="14"/>
      <c r="G16" s="15">
        <f t="shared" si="2"/>
        <v>40909</v>
      </c>
      <c r="H16" s="17">
        <v>37430</v>
      </c>
    </row>
    <row r="17" spans="1:8" x14ac:dyDescent="0.2">
      <c r="A17" s="14">
        <v>24</v>
      </c>
      <c r="B17" s="15">
        <f t="shared" si="0"/>
        <v>40544</v>
      </c>
      <c r="C17" s="15">
        <f t="shared" si="1"/>
        <v>40940</v>
      </c>
      <c r="D17" s="17">
        <v>9000</v>
      </c>
      <c r="E17" s="18">
        <v>0</v>
      </c>
      <c r="F17" s="14"/>
      <c r="G17" s="15">
        <f t="shared" si="2"/>
        <v>40940</v>
      </c>
      <c r="H17" s="17">
        <v>39350</v>
      </c>
    </row>
    <row r="18" spans="1:8" x14ac:dyDescent="0.2">
      <c r="A18" s="14">
        <v>24</v>
      </c>
      <c r="B18" s="15">
        <f t="shared" si="0"/>
        <v>40544</v>
      </c>
      <c r="C18" s="15">
        <f t="shared" si="1"/>
        <v>40969</v>
      </c>
      <c r="D18" s="17">
        <v>5000</v>
      </c>
      <c r="E18" s="18">
        <v>0</v>
      </c>
      <c r="F18" s="14"/>
      <c r="G18" s="15">
        <f t="shared" si="2"/>
        <v>40969</v>
      </c>
      <c r="H18" s="17">
        <v>40060</v>
      </c>
    </row>
    <row r="19" spans="1:8" x14ac:dyDescent="0.2">
      <c r="A19" s="14">
        <v>24</v>
      </c>
      <c r="B19" s="15">
        <f t="shared" si="0"/>
        <v>40544</v>
      </c>
      <c r="C19" s="15">
        <f t="shared" si="1"/>
        <v>41000</v>
      </c>
      <c r="D19" s="17">
        <v>2000</v>
      </c>
      <c r="E19" s="18">
        <v>0</v>
      </c>
      <c r="F19" s="14"/>
      <c r="G19" s="15">
        <f t="shared" si="2"/>
        <v>41000</v>
      </c>
      <c r="H19" s="17">
        <v>40170</v>
      </c>
    </row>
    <row r="20" spans="1:8" x14ac:dyDescent="0.2">
      <c r="A20" s="14">
        <v>24</v>
      </c>
      <c r="B20" s="15">
        <f t="shared" si="0"/>
        <v>40544</v>
      </c>
      <c r="C20" s="15">
        <f t="shared" si="1"/>
        <v>41030</v>
      </c>
      <c r="D20" s="17">
        <v>2000</v>
      </c>
      <c r="E20" s="18">
        <v>0</v>
      </c>
      <c r="F20" s="14"/>
      <c r="G20" s="15">
        <f t="shared" si="2"/>
        <v>41030</v>
      </c>
      <c r="H20" s="17">
        <v>40220</v>
      </c>
    </row>
    <row r="21" spans="1:8" x14ac:dyDescent="0.2">
      <c r="A21" s="14">
        <v>24</v>
      </c>
      <c r="B21" s="15">
        <f t="shared" si="0"/>
        <v>40544</v>
      </c>
      <c r="C21" s="15">
        <f t="shared" si="1"/>
        <v>41061</v>
      </c>
      <c r="D21" s="17">
        <v>2000</v>
      </c>
      <c r="E21" s="18">
        <v>0</v>
      </c>
      <c r="F21" s="14"/>
      <c r="G21" s="15">
        <f t="shared" si="2"/>
        <v>41061</v>
      </c>
      <c r="H21" s="17">
        <v>40420</v>
      </c>
    </row>
    <row r="22" spans="1:8" x14ac:dyDescent="0.2">
      <c r="A22" s="14">
        <v>23</v>
      </c>
      <c r="B22" s="15">
        <f t="shared" si="0"/>
        <v>40575</v>
      </c>
      <c r="C22" s="15">
        <f t="shared" si="1"/>
        <v>40575</v>
      </c>
      <c r="D22" s="17">
        <v>1173000</v>
      </c>
      <c r="E22" s="18">
        <v>675000</v>
      </c>
      <c r="F22" s="14"/>
      <c r="G22" s="15">
        <f t="shared" si="2"/>
        <v>41091</v>
      </c>
      <c r="H22" s="17">
        <v>40800</v>
      </c>
    </row>
    <row r="23" spans="1:8" x14ac:dyDescent="0.2">
      <c r="A23" s="14">
        <v>23</v>
      </c>
      <c r="B23" s="15">
        <f t="shared" si="0"/>
        <v>40575</v>
      </c>
      <c r="C23" s="15">
        <f t="shared" si="1"/>
        <v>40603</v>
      </c>
      <c r="D23" s="17">
        <v>4406000</v>
      </c>
      <c r="E23" s="18">
        <v>13000</v>
      </c>
      <c r="F23" s="14"/>
      <c r="G23" s="15">
        <f t="shared" si="2"/>
        <v>41122</v>
      </c>
      <c r="H23" s="17">
        <v>40690</v>
      </c>
    </row>
    <row r="24" spans="1:8" x14ac:dyDescent="0.2">
      <c r="A24" s="14">
        <v>23</v>
      </c>
      <c r="B24" s="15">
        <f t="shared" si="0"/>
        <v>40575</v>
      </c>
      <c r="C24" s="15">
        <f t="shared" si="1"/>
        <v>40634</v>
      </c>
      <c r="D24" s="17">
        <v>1671000</v>
      </c>
      <c r="E24" s="18">
        <v>8000</v>
      </c>
      <c r="F24" s="14"/>
      <c r="G24" s="15">
        <f t="shared" si="2"/>
        <v>41153</v>
      </c>
      <c r="H24" s="17">
        <v>40490</v>
      </c>
    </row>
    <row r="25" spans="1:8" x14ac:dyDescent="0.2">
      <c r="A25" s="14">
        <v>23</v>
      </c>
      <c r="B25" s="15">
        <f t="shared" si="0"/>
        <v>40575</v>
      </c>
      <c r="C25" s="15">
        <f t="shared" si="1"/>
        <v>40664</v>
      </c>
      <c r="D25" s="17">
        <v>571000</v>
      </c>
      <c r="E25" s="18">
        <v>11000</v>
      </c>
      <c r="F25" s="14"/>
      <c r="G25" s="15">
        <f t="shared" si="2"/>
        <v>41183</v>
      </c>
      <c r="H25" s="17">
        <v>40480</v>
      </c>
    </row>
    <row r="26" spans="1:8" x14ac:dyDescent="0.2">
      <c r="A26" s="14">
        <v>23</v>
      </c>
      <c r="B26" s="15">
        <f t="shared" si="0"/>
        <v>40575</v>
      </c>
      <c r="C26" s="15">
        <f t="shared" si="1"/>
        <v>40695</v>
      </c>
      <c r="D26" s="17">
        <v>93000</v>
      </c>
      <c r="E26" s="18">
        <v>9000</v>
      </c>
      <c r="F26" s="14"/>
      <c r="G26" s="15">
        <f t="shared" si="2"/>
        <v>41214</v>
      </c>
      <c r="H26" s="17">
        <v>40400</v>
      </c>
    </row>
    <row r="27" spans="1:8" x14ac:dyDescent="0.2">
      <c r="A27" s="14">
        <v>23</v>
      </c>
      <c r="B27" s="15">
        <f t="shared" si="0"/>
        <v>40575</v>
      </c>
      <c r="C27" s="15">
        <f t="shared" si="1"/>
        <v>40725</v>
      </c>
      <c r="D27" s="17">
        <v>129000</v>
      </c>
      <c r="E27" s="18">
        <v>13000</v>
      </c>
      <c r="F27" s="14"/>
      <c r="G27" s="15">
        <f t="shared" si="2"/>
        <v>41244</v>
      </c>
      <c r="H27" s="17">
        <v>40110</v>
      </c>
    </row>
    <row r="28" spans="1:8" x14ac:dyDescent="0.2">
      <c r="A28" s="14">
        <v>23</v>
      </c>
      <c r="B28" s="15">
        <f t="shared" si="0"/>
        <v>40575</v>
      </c>
      <c r="C28" s="15">
        <f t="shared" si="1"/>
        <v>40756</v>
      </c>
      <c r="D28" s="17">
        <v>102000</v>
      </c>
      <c r="E28" s="18">
        <v>5000</v>
      </c>
      <c r="F28" s="19"/>
      <c r="G28" s="20"/>
      <c r="H28" s="21"/>
    </row>
    <row r="29" spans="1:8" x14ac:dyDescent="0.2">
      <c r="A29" s="14">
        <v>23</v>
      </c>
      <c r="B29" s="15">
        <f t="shared" si="0"/>
        <v>40575</v>
      </c>
      <c r="C29" s="15">
        <f t="shared" si="1"/>
        <v>40787</v>
      </c>
      <c r="D29" s="17">
        <v>23000</v>
      </c>
      <c r="E29" s="18">
        <v>4000</v>
      </c>
      <c r="F29" s="19"/>
      <c r="G29" s="20"/>
      <c r="H29" s="21"/>
    </row>
    <row r="30" spans="1:8" x14ac:dyDescent="0.2">
      <c r="A30" s="14">
        <v>23</v>
      </c>
      <c r="B30" s="15">
        <f t="shared" si="0"/>
        <v>40575</v>
      </c>
      <c r="C30" s="15">
        <f t="shared" si="1"/>
        <v>40817</v>
      </c>
      <c r="D30" s="17">
        <v>11000</v>
      </c>
      <c r="E30" s="18">
        <v>6000</v>
      </c>
      <c r="F30" s="19"/>
      <c r="G30" s="20"/>
      <c r="H30" s="21"/>
    </row>
    <row r="31" spans="1:8" x14ac:dyDescent="0.2">
      <c r="A31" s="14">
        <v>23</v>
      </c>
      <c r="B31" s="15">
        <f t="shared" si="0"/>
        <v>40575</v>
      </c>
      <c r="C31" s="15">
        <f t="shared" si="1"/>
        <v>40848</v>
      </c>
      <c r="D31" s="17">
        <v>24000</v>
      </c>
      <c r="E31" s="18">
        <v>0</v>
      </c>
      <c r="F31" s="19"/>
      <c r="G31" s="20"/>
      <c r="H31" s="21"/>
    </row>
    <row r="32" spans="1:8" x14ac:dyDescent="0.2">
      <c r="A32" s="14">
        <v>23</v>
      </c>
      <c r="B32" s="15">
        <f t="shared" si="0"/>
        <v>40575</v>
      </c>
      <c r="C32" s="15">
        <f t="shared" si="1"/>
        <v>40878</v>
      </c>
      <c r="D32" s="17">
        <v>29000</v>
      </c>
      <c r="E32" s="18">
        <v>1000</v>
      </c>
      <c r="F32" s="19"/>
      <c r="G32" s="20"/>
      <c r="H32" s="21"/>
    </row>
    <row r="33" spans="1:34" x14ac:dyDescent="0.2">
      <c r="A33" s="14">
        <v>23</v>
      </c>
      <c r="B33" s="15">
        <f t="shared" si="0"/>
        <v>40575</v>
      </c>
      <c r="C33" s="15">
        <f t="shared" si="1"/>
        <v>40909</v>
      </c>
      <c r="D33" s="17">
        <v>10000</v>
      </c>
      <c r="E33" s="18">
        <v>0</v>
      </c>
      <c r="F33" s="19"/>
      <c r="G33" s="20"/>
      <c r="H33" s="21"/>
    </row>
    <row r="34" spans="1:34" x14ac:dyDescent="0.2">
      <c r="A34" s="14">
        <v>23</v>
      </c>
      <c r="B34" s="15">
        <f t="shared" si="0"/>
        <v>40575</v>
      </c>
      <c r="C34" s="15">
        <f t="shared" si="1"/>
        <v>40940</v>
      </c>
      <c r="D34" s="17">
        <v>2000</v>
      </c>
      <c r="E34" s="18">
        <v>0</v>
      </c>
      <c r="F34" s="19"/>
      <c r="G34" s="20"/>
      <c r="H34" s="21"/>
    </row>
    <row r="35" spans="1:34" x14ac:dyDescent="0.2">
      <c r="A35" s="14">
        <v>23</v>
      </c>
      <c r="B35" s="15">
        <f t="shared" si="0"/>
        <v>40575</v>
      </c>
      <c r="C35" s="15">
        <f t="shared" si="1"/>
        <v>40969</v>
      </c>
      <c r="D35" s="17">
        <v>67000</v>
      </c>
      <c r="E35" s="18">
        <v>1000</v>
      </c>
      <c r="F35" s="19"/>
      <c r="G35" s="20"/>
      <c r="H35" s="21"/>
    </row>
    <row r="36" spans="1:34" x14ac:dyDescent="0.2">
      <c r="A36" s="14">
        <v>23</v>
      </c>
      <c r="B36" s="15">
        <f t="shared" si="0"/>
        <v>40575</v>
      </c>
      <c r="C36" s="15">
        <f t="shared" si="1"/>
        <v>41000</v>
      </c>
      <c r="D36" s="17">
        <v>19000</v>
      </c>
      <c r="E36" s="18">
        <v>0</v>
      </c>
      <c r="F36" s="19"/>
      <c r="G36" s="20"/>
      <c r="H36" s="21"/>
    </row>
    <row r="37" spans="1:34" x14ac:dyDescent="0.2">
      <c r="A37" s="14">
        <v>23</v>
      </c>
      <c r="B37" s="15">
        <f t="shared" si="0"/>
        <v>40575</v>
      </c>
      <c r="C37" s="15">
        <f t="shared" si="1"/>
        <v>41030</v>
      </c>
      <c r="D37" s="17">
        <v>2000</v>
      </c>
      <c r="E37" s="18">
        <v>0</v>
      </c>
      <c r="F37" s="19"/>
      <c r="G37" s="20"/>
      <c r="H37" s="21"/>
    </row>
    <row r="38" spans="1:34" x14ac:dyDescent="0.2">
      <c r="A38" s="14">
        <v>23</v>
      </c>
      <c r="B38" s="15">
        <f t="shared" si="0"/>
        <v>40575</v>
      </c>
      <c r="C38" s="15">
        <f t="shared" si="1"/>
        <v>41061</v>
      </c>
      <c r="D38" s="17">
        <v>7000</v>
      </c>
      <c r="E38" s="18">
        <v>0</v>
      </c>
      <c r="F38" s="19"/>
      <c r="G38" s="20"/>
      <c r="H38" s="21"/>
    </row>
    <row r="39" spans="1:34" x14ac:dyDescent="0.2">
      <c r="A39" s="14">
        <v>23</v>
      </c>
      <c r="B39" s="15">
        <f t="shared" si="0"/>
        <v>40575</v>
      </c>
      <c r="C39" s="15">
        <f t="shared" si="1"/>
        <v>41091</v>
      </c>
      <c r="D39" s="17">
        <v>12000</v>
      </c>
      <c r="E39" s="18">
        <v>0</v>
      </c>
      <c r="F39" s="19"/>
      <c r="G39" s="20"/>
      <c r="H39" s="21"/>
    </row>
    <row r="40" spans="1:34" x14ac:dyDescent="0.2">
      <c r="A40" s="14">
        <v>22</v>
      </c>
      <c r="B40" s="15">
        <f t="shared" si="0"/>
        <v>40603</v>
      </c>
      <c r="C40" s="15">
        <f t="shared" si="1"/>
        <v>40603</v>
      </c>
      <c r="D40" s="17">
        <v>1503000</v>
      </c>
      <c r="E40" s="18">
        <v>618000</v>
      </c>
      <c r="F40" s="19"/>
    </row>
    <row r="41" spans="1:34" x14ac:dyDescent="0.2">
      <c r="A41" s="14">
        <v>22</v>
      </c>
      <c r="B41" s="15">
        <f t="shared" si="0"/>
        <v>40603</v>
      </c>
      <c r="C41" s="15">
        <f t="shared" si="1"/>
        <v>40634</v>
      </c>
      <c r="D41" s="17">
        <v>6462000</v>
      </c>
      <c r="E41" s="18">
        <v>88000</v>
      </c>
      <c r="F41" s="19"/>
    </row>
    <row r="42" spans="1:34" x14ac:dyDescent="0.2">
      <c r="A42" s="14">
        <v>22</v>
      </c>
      <c r="B42" s="15">
        <f t="shared" si="0"/>
        <v>40603</v>
      </c>
      <c r="C42" s="15">
        <f t="shared" si="1"/>
        <v>40664</v>
      </c>
      <c r="D42" s="17">
        <v>1417000</v>
      </c>
      <c r="E42" s="18">
        <v>20000</v>
      </c>
      <c r="F42" s="19"/>
    </row>
    <row r="43" spans="1:34" s="2" customFormat="1" x14ac:dyDescent="0.2">
      <c r="A43" s="14">
        <v>22</v>
      </c>
      <c r="B43" s="15">
        <f t="shared" si="0"/>
        <v>40603</v>
      </c>
      <c r="C43" s="15">
        <f t="shared" si="1"/>
        <v>40695</v>
      </c>
      <c r="D43" s="17">
        <v>861000</v>
      </c>
      <c r="E43" s="18">
        <v>23000</v>
      </c>
      <c r="F43" s="19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 s="2" customFormat="1" x14ac:dyDescent="0.2">
      <c r="A44" s="14">
        <v>22</v>
      </c>
      <c r="B44" s="15">
        <f t="shared" si="0"/>
        <v>40603</v>
      </c>
      <c r="C44" s="15">
        <f t="shared" si="1"/>
        <v>40725</v>
      </c>
      <c r="D44" s="17">
        <v>243000</v>
      </c>
      <c r="E44" s="18">
        <v>20000</v>
      </c>
      <c r="F44" s="19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1:34" s="2" customFormat="1" x14ac:dyDescent="0.2">
      <c r="A45" s="14">
        <v>22</v>
      </c>
      <c r="B45" s="15">
        <f t="shared" si="0"/>
        <v>40603</v>
      </c>
      <c r="C45" s="15">
        <f t="shared" si="1"/>
        <v>40756</v>
      </c>
      <c r="D45" s="17">
        <v>93000</v>
      </c>
      <c r="E45" s="18">
        <v>25000</v>
      </c>
      <c r="F45" s="19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 s="2" customFormat="1" x14ac:dyDescent="0.2">
      <c r="A46" s="14">
        <v>22</v>
      </c>
      <c r="B46" s="15">
        <f t="shared" si="0"/>
        <v>40603</v>
      </c>
      <c r="C46" s="15">
        <f t="shared" si="1"/>
        <v>40787</v>
      </c>
      <c r="D46" s="17">
        <v>65000</v>
      </c>
      <c r="E46" s="18">
        <v>8000</v>
      </c>
      <c r="F46" s="19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1:34" s="2" customFormat="1" x14ac:dyDescent="0.2">
      <c r="A47" s="14">
        <v>22</v>
      </c>
      <c r="B47" s="15">
        <f t="shared" si="0"/>
        <v>40603</v>
      </c>
      <c r="C47" s="15">
        <f t="shared" si="1"/>
        <v>40817</v>
      </c>
      <c r="D47" s="17">
        <v>17000</v>
      </c>
      <c r="E47" s="18">
        <v>5000</v>
      </c>
      <c r="F47" s="19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 s="2" customFormat="1" x14ac:dyDescent="0.2">
      <c r="A48" s="14">
        <v>22</v>
      </c>
      <c r="B48" s="15">
        <f t="shared" si="0"/>
        <v>40603</v>
      </c>
      <c r="C48" s="15">
        <f t="shared" si="1"/>
        <v>40848</v>
      </c>
      <c r="D48" s="17">
        <v>16000</v>
      </c>
      <c r="E48" s="18">
        <v>3000</v>
      </c>
      <c r="F48" s="1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4" s="2" customFormat="1" x14ac:dyDescent="0.2">
      <c r="A49" s="14">
        <v>22</v>
      </c>
      <c r="B49" s="15">
        <f t="shared" si="0"/>
        <v>40603</v>
      </c>
      <c r="C49" s="15">
        <f t="shared" si="1"/>
        <v>40878</v>
      </c>
      <c r="D49" s="17">
        <v>29000</v>
      </c>
      <c r="E49" s="18">
        <v>1000</v>
      </c>
      <c r="F49" s="19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 s="2" customFormat="1" x14ac:dyDescent="0.2">
      <c r="A50" s="14">
        <v>22</v>
      </c>
      <c r="B50" s="15">
        <f t="shared" si="0"/>
        <v>40603</v>
      </c>
      <c r="C50" s="15">
        <f t="shared" si="1"/>
        <v>40909</v>
      </c>
      <c r="D50" s="17">
        <v>21000</v>
      </c>
      <c r="E50" s="18">
        <v>0</v>
      </c>
      <c r="F50" s="19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 s="2" customFormat="1" x14ac:dyDescent="0.2">
      <c r="A51" s="14">
        <v>22</v>
      </c>
      <c r="B51" s="15">
        <f t="shared" si="0"/>
        <v>40603</v>
      </c>
      <c r="C51" s="15">
        <f t="shared" si="1"/>
        <v>40940</v>
      </c>
      <c r="D51" s="17">
        <v>10000</v>
      </c>
      <c r="E51" s="18">
        <v>1000</v>
      </c>
      <c r="F51" s="19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4" s="2" customFormat="1" x14ac:dyDescent="0.2">
      <c r="A52" s="14">
        <v>22</v>
      </c>
      <c r="B52" s="15">
        <f t="shared" si="0"/>
        <v>40603</v>
      </c>
      <c r="C52" s="15">
        <f t="shared" si="1"/>
        <v>40969</v>
      </c>
      <c r="D52" s="17">
        <v>10000</v>
      </c>
      <c r="E52" s="18">
        <v>0</v>
      </c>
      <c r="F52" s="19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 s="2" customFormat="1" x14ac:dyDescent="0.2">
      <c r="A53" s="14">
        <v>22</v>
      </c>
      <c r="B53" s="15">
        <f t="shared" si="0"/>
        <v>40603</v>
      </c>
      <c r="C53" s="15">
        <f t="shared" si="1"/>
        <v>41000</v>
      </c>
      <c r="D53" s="17">
        <v>12000</v>
      </c>
      <c r="E53" s="18">
        <v>0</v>
      </c>
      <c r="F53" s="19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 s="2" customFormat="1" x14ac:dyDescent="0.2">
      <c r="A54" s="14">
        <v>22</v>
      </c>
      <c r="B54" s="15">
        <f t="shared" si="0"/>
        <v>40603</v>
      </c>
      <c r="C54" s="15">
        <f t="shared" si="1"/>
        <v>41030</v>
      </c>
      <c r="D54" s="17">
        <v>-1000</v>
      </c>
      <c r="E54" s="18">
        <v>0</v>
      </c>
      <c r="F54" s="19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 s="2" customFormat="1" x14ac:dyDescent="0.2">
      <c r="A55" s="14">
        <v>22</v>
      </c>
      <c r="B55" s="15">
        <f t="shared" si="0"/>
        <v>40603</v>
      </c>
      <c r="C55" s="15">
        <f t="shared" si="1"/>
        <v>41061</v>
      </c>
      <c r="D55" s="17">
        <v>9000</v>
      </c>
      <c r="E55" s="18">
        <v>2000</v>
      </c>
      <c r="F55" s="19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4" s="2" customFormat="1" x14ac:dyDescent="0.2">
      <c r="A56" s="14">
        <v>22</v>
      </c>
      <c r="B56" s="15">
        <f t="shared" si="0"/>
        <v>40603</v>
      </c>
      <c r="C56" s="15">
        <f t="shared" si="1"/>
        <v>41091</v>
      </c>
      <c r="D56" s="17">
        <v>22000</v>
      </c>
      <c r="E56" s="18">
        <v>0</v>
      </c>
      <c r="F56" s="19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 s="2" customFormat="1" x14ac:dyDescent="0.2">
      <c r="A57" s="14">
        <v>22</v>
      </c>
      <c r="B57" s="15">
        <f t="shared" si="0"/>
        <v>40603</v>
      </c>
      <c r="C57" s="15">
        <f t="shared" si="1"/>
        <v>41122</v>
      </c>
      <c r="D57" s="17">
        <v>8000</v>
      </c>
      <c r="E57" s="18">
        <v>3000</v>
      </c>
      <c r="F57" s="19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 s="2" customFormat="1" x14ac:dyDescent="0.2">
      <c r="A58" s="14">
        <v>21</v>
      </c>
      <c r="B58" s="15">
        <f t="shared" si="0"/>
        <v>40634</v>
      </c>
      <c r="C58" s="15">
        <f t="shared" si="1"/>
        <v>40634</v>
      </c>
      <c r="D58" s="17">
        <v>2085000</v>
      </c>
      <c r="E58" s="18">
        <v>113000</v>
      </c>
      <c r="F58" s="19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 s="2" customFormat="1" x14ac:dyDescent="0.2">
      <c r="A59" s="14">
        <v>21</v>
      </c>
      <c r="B59" s="15">
        <f t="shared" si="0"/>
        <v>40634</v>
      </c>
      <c r="C59" s="15">
        <f t="shared" si="1"/>
        <v>40664</v>
      </c>
      <c r="D59" s="17">
        <v>5009000</v>
      </c>
      <c r="E59" s="18">
        <v>16000</v>
      </c>
      <c r="F59" s="19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4" s="2" customFormat="1" x14ac:dyDescent="0.2">
      <c r="A60" s="14">
        <v>21</v>
      </c>
      <c r="B60" s="15">
        <f t="shared" si="0"/>
        <v>40634</v>
      </c>
      <c r="C60" s="15">
        <f t="shared" si="1"/>
        <v>40695</v>
      </c>
      <c r="D60" s="17">
        <v>1164000</v>
      </c>
      <c r="E60" s="18">
        <v>15000</v>
      </c>
      <c r="F60" s="19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1:34" s="2" customFormat="1" x14ac:dyDescent="0.2">
      <c r="A61" s="14">
        <v>21</v>
      </c>
      <c r="B61" s="15">
        <f t="shared" si="0"/>
        <v>40634</v>
      </c>
      <c r="C61" s="15">
        <f t="shared" si="1"/>
        <v>40725</v>
      </c>
      <c r="D61" s="17">
        <v>388000</v>
      </c>
      <c r="E61" s="18">
        <v>8000</v>
      </c>
      <c r="F61" s="19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1:34" s="2" customFormat="1" x14ac:dyDescent="0.2">
      <c r="A62" s="14">
        <v>21</v>
      </c>
      <c r="B62" s="15">
        <f t="shared" si="0"/>
        <v>40634</v>
      </c>
      <c r="C62" s="15">
        <f t="shared" si="1"/>
        <v>40756</v>
      </c>
      <c r="D62" s="17">
        <v>283000</v>
      </c>
      <c r="E62" s="18">
        <v>9000</v>
      </c>
      <c r="F62" s="19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spans="1:34" s="2" customFormat="1" x14ac:dyDescent="0.2">
      <c r="A63" s="14">
        <v>21</v>
      </c>
      <c r="B63" s="15">
        <f t="shared" si="0"/>
        <v>40634</v>
      </c>
      <c r="C63" s="15">
        <f t="shared" si="1"/>
        <v>40787</v>
      </c>
      <c r="D63" s="17">
        <v>261000</v>
      </c>
      <c r="E63" s="18">
        <v>4000</v>
      </c>
      <c r="F63" s="19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spans="1:34" s="2" customFormat="1" x14ac:dyDescent="0.2">
      <c r="A64" s="14">
        <v>21</v>
      </c>
      <c r="B64" s="15">
        <f t="shared" si="0"/>
        <v>40634</v>
      </c>
      <c r="C64" s="15">
        <f t="shared" si="1"/>
        <v>40817</v>
      </c>
      <c r="D64" s="17">
        <v>35000</v>
      </c>
      <c r="E64" s="18">
        <v>21000</v>
      </c>
      <c r="F64" s="19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spans="1:34" s="2" customFormat="1" x14ac:dyDescent="0.2">
      <c r="A65" s="14">
        <v>21</v>
      </c>
      <c r="B65" s="15">
        <f t="shared" si="0"/>
        <v>40634</v>
      </c>
      <c r="C65" s="15">
        <f t="shared" si="1"/>
        <v>40848</v>
      </c>
      <c r="D65" s="17">
        <v>26000</v>
      </c>
      <c r="E65" s="18">
        <v>1000</v>
      </c>
      <c r="F65" s="19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spans="1:34" s="2" customFormat="1" x14ac:dyDescent="0.2">
      <c r="A66" s="14">
        <v>21</v>
      </c>
      <c r="B66" s="15">
        <f t="shared" si="0"/>
        <v>40634</v>
      </c>
      <c r="C66" s="15">
        <f t="shared" si="1"/>
        <v>40878</v>
      </c>
      <c r="D66" s="17">
        <v>17000</v>
      </c>
      <c r="E66" s="18">
        <v>4000</v>
      </c>
      <c r="F66" s="19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spans="1:34" s="2" customFormat="1" x14ac:dyDescent="0.2">
      <c r="A67" s="14">
        <v>21</v>
      </c>
      <c r="B67" s="15">
        <f t="shared" si="0"/>
        <v>40634</v>
      </c>
      <c r="C67" s="15">
        <f t="shared" si="1"/>
        <v>40909</v>
      </c>
      <c r="D67" s="17">
        <v>10000</v>
      </c>
      <c r="E67" s="18">
        <v>1000</v>
      </c>
      <c r="F67" s="19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1:34" s="2" customFormat="1" x14ac:dyDescent="0.2">
      <c r="A68" s="14">
        <v>21</v>
      </c>
      <c r="B68" s="15">
        <f t="shared" si="0"/>
        <v>40634</v>
      </c>
      <c r="C68" s="15">
        <f t="shared" si="1"/>
        <v>40940</v>
      </c>
      <c r="D68" s="17">
        <v>8000</v>
      </c>
      <c r="E68" s="18">
        <v>0</v>
      </c>
      <c r="F68" s="19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spans="1:34" s="2" customFormat="1" x14ac:dyDescent="0.2">
      <c r="A69" s="14">
        <v>21</v>
      </c>
      <c r="B69" s="15">
        <f t="shared" ref="B69:B132" si="3">EDATE($L$2,-A69)</f>
        <v>40634</v>
      </c>
      <c r="C69" s="15">
        <f t="shared" ref="C69:C132" si="4">IF(B69&lt;&gt;B68,B69,EDATE(C68,1))</f>
        <v>40969</v>
      </c>
      <c r="D69" s="17">
        <v>40000</v>
      </c>
      <c r="E69" s="18">
        <v>0</v>
      </c>
      <c r="F69" s="19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spans="1:34" s="2" customFormat="1" x14ac:dyDescent="0.2">
      <c r="A70" s="14">
        <v>21</v>
      </c>
      <c r="B70" s="15">
        <f t="shared" si="3"/>
        <v>40634</v>
      </c>
      <c r="C70" s="15">
        <f t="shared" si="4"/>
        <v>41000</v>
      </c>
      <c r="D70" s="17">
        <v>27000</v>
      </c>
      <c r="E70" s="18">
        <v>0</v>
      </c>
      <c r="F70" s="19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spans="1:34" s="2" customFormat="1" x14ac:dyDescent="0.2">
      <c r="A71" s="14">
        <v>21</v>
      </c>
      <c r="B71" s="15">
        <f t="shared" si="3"/>
        <v>40634</v>
      </c>
      <c r="C71" s="15">
        <f t="shared" si="4"/>
        <v>41030</v>
      </c>
      <c r="D71" s="17">
        <v>19000</v>
      </c>
      <c r="E71" s="18">
        <v>0</v>
      </c>
      <c r="F71" s="19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spans="1:34" s="2" customFormat="1" x14ac:dyDescent="0.2">
      <c r="A72" s="14">
        <v>21</v>
      </c>
      <c r="B72" s="15">
        <f t="shared" si="3"/>
        <v>40634</v>
      </c>
      <c r="C72" s="15">
        <f t="shared" si="4"/>
        <v>41061</v>
      </c>
      <c r="D72" s="17">
        <v>6000</v>
      </c>
      <c r="E72" s="18">
        <v>0</v>
      </c>
      <c r="F72" s="19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spans="1:34" s="2" customFormat="1" x14ac:dyDescent="0.2">
      <c r="A73" s="14">
        <v>21</v>
      </c>
      <c r="B73" s="15">
        <f t="shared" si="3"/>
        <v>40634</v>
      </c>
      <c r="C73" s="15">
        <f t="shared" si="4"/>
        <v>41091</v>
      </c>
      <c r="D73" s="17">
        <v>4000</v>
      </c>
      <c r="E73" s="18">
        <v>0</v>
      </c>
      <c r="F73" s="19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spans="1:34" s="2" customFormat="1" x14ac:dyDescent="0.2">
      <c r="A74" s="14">
        <v>21</v>
      </c>
      <c r="B74" s="15">
        <f t="shared" si="3"/>
        <v>40634</v>
      </c>
      <c r="C74" s="15">
        <f t="shared" si="4"/>
        <v>41122</v>
      </c>
      <c r="D74" s="17">
        <v>-2000</v>
      </c>
      <c r="E74" s="18">
        <v>0</v>
      </c>
      <c r="F74" s="19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spans="1:34" s="2" customFormat="1" x14ac:dyDescent="0.2">
      <c r="A75" s="14">
        <v>21</v>
      </c>
      <c r="B75" s="15">
        <f t="shared" si="3"/>
        <v>40634</v>
      </c>
      <c r="C75" s="15">
        <f t="shared" si="4"/>
        <v>41153</v>
      </c>
      <c r="D75" s="17">
        <v>2000</v>
      </c>
      <c r="E75" s="18">
        <v>0</v>
      </c>
      <c r="F75" s="19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spans="1:34" s="2" customFormat="1" x14ac:dyDescent="0.2">
      <c r="A76" s="14">
        <v>20</v>
      </c>
      <c r="B76" s="15">
        <f t="shared" si="3"/>
        <v>40664</v>
      </c>
      <c r="C76" s="15">
        <f t="shared" si="4"/>
        <v>40664</v>
      </c>
      <c r="D76" s="17">
        <v>1916000</v>
      </c>
      <c r="E76" s="18">
        <v>411000</v>
      </c>
      <c r="F76" s="19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spans="1:34" s="2" customFormat="1" x14ac:dyDescent="0.2">
      <c r="A77" s="14">
        <v>20</v>
      </c>
      <c r="B77" s="15">
        <f t="shared" si="3"/>
        <v>40664</v>
      </c>
      <c r="C77" s="15">
        <f t="shared" si="4"/>
        <v>40695</v>
      </c>
      <c r="D77" s="17">
        <v>4930000</v>
      </c>
      <c r="E77" s="18">
        <v>50000</v>
      </c>
      <c r="F77" s="19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spans="1:34" s="2" customFormat="1" x14ac:dyDescent="0.2">
      <c r="A78" s="14">
        <v>20</v>
      </c>
      <c r="B78" s="15">
        <f t="shared" si="3"/>
        <v>40664</v>
      </c>
      <c r="C78" s="15">
        <f t="shared" si="4"/>
        <v>40725</v>
      </c>
      <c r="D78" s="17">
        <v>1473000</v>
      </c>
      <c r="E78" s="18">
        <v>28000</v>
      </c>
      <c r="F78" s="19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spans="1:34" s="2" customFormat="1" x14ac:dyDescent="0.2">
      <c r="A79" s="14">
        <v>20</v>
      </c>
      <c r="B79" s="15">
        <f t="shared" si="3"/>
        <v>40664</v>
      </c>
      <c r="C79" s="15">
        <f t="shared" si="4"/>
        <v>40756</v>
      </c>
      <c r="D79" s="17">
        <v>442000</v>
      </c>
      <c r="E79" s="18">
        <v>13000</v>
      </c>
      <c r="F79" s="19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spans="1:34" s="2" customFormat="1" x14ac:dyDescent="0.2">
      <c r="A80" s="14">
        <v>20</v>
      </c>
      <c r="B80" s="15">
        <f t="shared" si="3"/>
        <v>40664</v>
      </c>
      <c r="C80" s="15">
        <f t="shared" si="4"/>
        <v>40787</v>
      </c>
      <c r="D80" s="17">
        <v>244000</v>
      </c>
      <c r="E80" s="18">
        <v>4000</v>
      </c>
      <c r="F80" s="19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spans="1:34" s="2" customFormat="1" x14ac:dyDescent="0.2">
      <c r="A81" s="14">
        <v>20</v>
      </c>
      <c r="B81" s="15">
        <f t="shared" si="3"/>
        <v>40664</v>
      </c>
      <c r="C81" s="15">
        <f t="shared" si="4"/>
        <v>40817</v>
      </c>
      <c r="D81" s="17">
        <v>96000</v>
      </c>
      <c r="E81" s="18">
        <v>6000</v>
      </c>
      <c r="F81" s="19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spans="1:34" s="2" customFormat="1" x14ac:dyDescent="0.2">
      <c r="A82" s="14">
        <v>20</v>
      </c>
      <c r="B82" s="15">
        <f t="shared" si="3"/>
        <v>40664</v>
      </c>
      <c r="C82" s="15">
        <f t="shared" si="4"/>
        <v>40848</v>
      </c>
      <c r="D82" s="17">
        <v>24000</v>
      </c>
      <c r="E82" s="18">
        <v>10000</v>
      </c>
      <c r="F82" s="19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1:34" s="2" customFormat="1" x14ac:dyDescent="0.2">
      <c r="A83" s="14">
        <v>20</v>
      </c>
      <c r="B83" s="15">
        <f t="shared" si="3"/>
        <v>40664</v>
      </c>
      <c r="C83" s="15">
        <f t="shared" si="4"/>
        <v>40878</v>
      </c>
      <c r="D83" s="17">
        <v>18000</v>
      </c>
      <c r="E83" s="18">
        <v>3000</v>
      </c>
      <c r="F83" s="19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spans="1:34" s="2" customFormat="1" x14ac:dyDescent="0.2">
      <c r="A84" s="14">
        <v>20</v>
      </c>
      <c r="B84" s="15">
        <f t="shared" si="3"/>
        <v>40664</v>
      </c>
      <c r="C84" s="15">
        <f t="shared" si="4"/>
        <v>40909</v>
      </c>
      <c r="D84" s="17">
        <v>-5000</v>
      </c>
      <c r="E84" s="18">
        <v>75000</v>
      </c>
      <c r="F84" s="19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spans="1:34" s="2" customFormat="1" x14ac:dyDescent="0.2">
      <c r="A85" s="14">
        <v>20</v>
      </c>
      <c r="B85" s="15">
        <f t="shared" si="3"/>
        <v>40664</v>
      </c>
      <c r="C85" s="15">
        <f t="shared" si="4"/>
        <v>40940</v>
      </c>
      <c r="D85" s="17">
        <v>13000</v>
      </c>
      <c r="E85" s="18">
        <v>5000</v>
      </c>
      <c r="F85" s="19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spans="1:34" s="2" customFormat="1" x14ac:dyDescent="0.2">
      <c r="A86" s="14">
        <v>20</v>
      </c>
      <c r="B86" s="15">
        <f t="shared" si="3"/>
        <v>40664</v>
      </c>
      <c r="C86" s="15">
        <f t="shared" si="4"/>
        <v>40969</v>
      </c>
      <c r="D86" s="17">
        <v>52000</v>
      </c>
      <c r="E86" s="18">
        <v>0</v>
      </c>
      <c r="F86" s="19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spans="1:34" s="2" customFormat="1" x14ac:dyDescent="0.2">
      <c r="A87" s="14">
        <v>20</v>
      </c>
      <c r="B87" s="15">
        <f t="shared" si="3"/>
        <v>40664</v>
      </c>
      <c r="C87" s="15">
        <f t="shared" si="4"/>
        <v>41000</v>
      </c>
      <c r="D87" s="17">
        <v>302000</v>
      </c>
      <c r="E87" s="18">
        <v>1000</v>
      </c>
      <c r="F87" s="19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spans="1:34" s="2" customFormat="1" x14ac:dyDescent="0.2">
      <c r="A88" s="14">
        <v>20</v>
      </c>
      <c r="B88" s="15">
        <f t="shared" si="3"/>
        <v>40664</v>
      </c>
      <c r="C88" s="15">
        <f t="shared" si="4"/>
        <v>41030</v>
      </c>
      <c r="D88" s="17">
        <v>-5000</v>
      </c>
      <c r="E88" s="18">
        <v>1000</v>
      </c>
      <c r="F88" s="19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spans="1:34" s="2" customFormat="1" x14ac:dyDescent="0.2">
      <c r="A89" s="14">
        <v>20</v>
      </c>
      <c r="B89" s="15">
        <f t="shared" si="3"/>
        <v>40664</v>
      </c>
      <c r="C89" s="15">
        <f t="shared" si="4"/>
        <v>41061</v>
      </c>
      <c r="D89" s="17">
        <v>20000</v>
      </c>
      <c r="E89" s="18">
        <v>0</v>
      </c>
      <c r="F89" s="19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spans="1:34" s="2" customFormat="1" x14ac:dyDescent="0.2">
      <c r="A90" s="14">
        <v>20</v>
      </c>
      <c r="B90" s="15">
        <f t="shared" si="3"/>
        <v>40664</v>
      </c>
      <c r="C90" s="15">
        <f t="shared" si="4"/>
        <v>41091</v>
      </c>
      <c r="D90" s="17">
        <v>7000</v>
      </c>
      <c r="E90" s="18">
        <v>0</v>
      </c>
      <c r="F90" s="19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1:34" s="2" customFormat="1" x14ac:dyDescent="0.2">
      <c r="A91" s="14">
        <v>20</v>
      </c>
      <c r="B91" s="15">
        <f t="shared" si="3"/>
        <v>40664</v>
      </c>
      <c r="C91" s="15">
        <f t="shared" si="4"/>
        <v>41122</v>
      </c>
      <c r="D91" s="17">
        <v>4000</v>
      </c>
      <c r="E91" s="18">
        <v>2000</v>
      </c>
      <c r="F91" s="19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spans="1:34" s="2" customFormat="1" x14ac:dyDescent="0.2">
      <c r="A92" s="14">
        <v>20</v>
      </c>
      <c r="B92" s="15">
        <f t="shared" si="3"/>
        <v>40664</v>
      </c>
      <c r="C92" s="15">
        <f t="shared" si="4"/>
        <v>41153</v>
      </c>
      <c r="D92" s="17">
        <v>0</v>
      </c>
      <c r="E92" s="18">
        <v>0</v>
      </c>
      <c r="F92" s="19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spans="1:34" s="2" customFormat="1" x14ac:dyDescent="0.2">
      <c r="A93" s="14">
        <v>20</v>
      </c>
      <c r="B93" s="15">
        <f t="shared" si="3"/>
        <v>40664</v>
      </c>
      <c r="C93" s="15">
        <f t="shared" si="4"/>
        <v>41183</v>
      </c>
      <c r="D93" s="17">
        <v>5000</v>
      </c>
      <c r="E93" s="18">
        <v>0</v>
      </c>
      <c r="F93" s="19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spans="1:34" s="2" customFormat="1" x14ac:dyDescent="0.2">
      <c r="A94" s="14">
        <v>19</v>
      </c>
      <c r="B94" s="15">
        <f t="shared" si="3"/>
        <v>40695</v>
      </c>
      <c r="C94" s="15">
        <f t="shared" si="4"/>
        <v>40695</v>
      </c>
      <c r="D94" s="17">
        <v>1774000</v>
      </c>
      <c r="E94" s="18">
        <v>407000</v>
      </c>
      <c r="F94" s="19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spans="1:34" s="2" customFormat="1" x14ac:dyDescent="0.2">
      <c r="A95" s="14">
        <v>19</v>
      </c>
      <c r="B95" s="15">
        <f t="shared" si="3"/>
        <v>40695</v>
      </c>
      <c r="C95" s="15">
        <f t="shared" si="4"/>
        <v>40725</v>
      </c>
      <c r="D95" s="17">
        <v>5681000</v>
      </c>
      <c r="E95" s="18">
        <v>127000</v>
      </c>
      <c r="F95" s="19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1:34" s="2" customFormat="1" x14ac:dyDescent="0.2">
      <c r="A96" s="14">
        <v>19</v>
      </c>
      <c r="B96" s="15">
        <f t="shared" si="3"/>
        <v>40695</v>
      </c>
      <c r="C96" s="15">
        <f t="shared" si="4"/>
        <v>40756</v>
      </c>
      <c r="D96" s="17">
        <v>1560000</v>
      </c>
      <c r="E96" s="18">
        <v>143000</v>
      </c>
      <c r="F96" s="19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spans="1:34" s="2" customFormat="1" x14ac:dyDescent="0.2">
      <c r="A97" s="14">
        <v>19</v>
      </c>
      <c r="B97" s="15">
        <f t="shared" si="3"/>
        <v>40695</v>
      </c>
      <c r="C97" s="15">
        <f t="shared" si="4"/>
        <v>40787</v>
      </c>
      <c r="D97" s="17">
        <v>565000</v>
      </c>
      <c r="E97" s="18">
        <v>24000</v>
      </c>
      <c r="F97" s="19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spans="1:34" s="2" customFormat="1" x14ac:dyDescent="0.2">
      <c r="A98" s="14">
        <v>19</v>
      </c>
      <c r="B98" s="15">
        <f t="shared" si="3"/>
        <v>40695</v>
      </c>
      <c r="C98" s="15">
        <f t="shared" si="4"/>
        <v>40817</v>
      </c>
      <c r="D98" s="17">
        <v>149000</v>
      </c>
      <c r="E98" s="18">
        <v>21000</v>
      </c>
      <c r="F98" s="19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spans="1:34" s="2" customFormat="1" x14ac:dyDescent="0.2">
      <c r="A99" s="14">
        <v>19</v>
      </c>
      <c r="B99" s="15">
        <f t="shared" si="3"/>
        <v>40695</v>
      </c>
      <c r="C99" s="15">
        <f t="shared" si="4"/>
        <v>40848</v>
      </c>
      <c r="D99" s="17">
        <v>129000</v>
      </c>
      <c r="E99" s="18">
        <v>7000</v>
      </c>
      <c r="F99" s="19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spans="1:34" s="2" customFormat="1" x14ac:dyDescent="0.2">
      <c r="A100" s="14">
        <v>19</v>
      </c>
      <c r="B100" s="15">
        <f t="shared" si="3"/>
        <v>40695</v>
      </c>
      <c r="C100" s="15">
        <f t="shared" si="4"/>
        <v>40878</v>
      </c>
      <c r="D100" s="17">
        <v>128000</v>
      </c>
      <c r="E100" s="18">
        <v>5000</v>
      </c>
      <c r="F100" s="19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spans="1:34" s="2" customFormat="1" x14ac:dyDescent="0.2">
      <c r="A101" s="14">
        <v>19</v>
      </c>
      <c r="B101" s="15">
        <f t="shared" si="3"/>
        <v>40695</v>
      </c>
      <c r="C101" s="15">
        <f t="shared" si="4"/>
        <v>40909</v>
      </c>
      <c r="D101" s="17">
        <v>37000</v>
      </c>
      <c r="E101" s="18">
        <v>2000</v>
      </c>
      <c r="F101" s="19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spans="1:34" s="2" customFormat="1" x14ac:dyDescent="0.2">
      <c r="A102" s="14">
        <v>19</v>
      </c>
      <c r="B102" s="15">
        <f t="shared" si="3"/>
        <v>40695</v>
      </c>
      <c r="C102" s="15">
        <f t="shared" si="4"/>
        <v>40940</v>
      </c>
      <c r="D102" s="17">
        <v>17000</v>
      </c>
      <c r="E102" s="18">
        <v>3000</v>
      </c>
      <c r="F102" s="19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spans="1:34" s="2" customFormat="1" x14ac:dyDescent="0.2">
      <c r="A103" s="14">
        <v>19</v>
      </c>
      <c r="B103" s="15">
        <f t="shared" si="3"/>
        <v>40695</v>
      </c>
      <c r="C103" s="15">
        <f t="shared" si="4"/>
        <v>40969</v>
      </c>
      <c r="D103" s="17">
        <v>275000</v>
      </c>
      <c r="E103" s="18">
        <v>0</v>
      </c>
      <c r="F103" s="19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spans="1:34" s="2" customFormat="1" x14ac:dyDescent="0.2">
      <c r="A104" s="14">
        <v>19</v>
      </c>
      <c r="B104" s="15">
        <f t="shared" si="3"/>
        <v>40695</v>
      </c>
      <c r="C104" s="15">
        <f t="shared" si="4"/>
        <v>41000</v>
      </c>
      <c r="D104" s="17">
        <v>19000</v>
      </c>
      <c r="E104" s="18">
        <v>1000</v>
      </c>
      <c r="F104" s="19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spans="1:34" s="2" customFormat="1" x14ac:dyDescent="0.2">
      <c r="A105" s="14">
        <v>19</v>
      </c>
      <c r="B105" s="15">
        <f t="shared" si="3"/>
        <v>40695</v>
      </c>
      <c r="C105" s="15">
        <f t="shared" si="4"/>
        <v>41030</v>
      </c>
      <c r="D105" s="17">
        <v>24000</v>
      </c>
      <c r="E105" s="18">
        <v>0</v>
      </c>
      <c r="F105" s="19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spans="1:34" s="2" customFormat="1" x14ac:dyDescent="0.2">
      <c r="A106" s="14">
        <v>19</v>
      </c>
      <c r="B106" s="15">
        <f t="shared" si="3"/>
        <v>40695</v>
      </c>
      <c r="C106" s="15">
        <f t="shared" si="4"/>
        <v>41061</v>
      </c>
      <c r="D106" s="17">
        <v>-14000</v>
      </c>
      <c r="E106" s="18">
        <v>0</v>
      </c>
      <c r="F106" s="19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spans="1:34" s="2" customFormat="1" x14ac:dyDescent="0.2">
      <c r="A107" s="14">
        <v>19</v>
      </c>
      <c r="B107" s="15">
        <f t="shared" si="3"/>
        <v>40695</v>
      </c>
      <c r="C107" s="15">
        <f t="shared" si="4"/>
        <v>41091</v>
      </c>
      <c r="D107" s="17">
        <v>-1000</v>
      </c>
      <c r="E107" s="18">
        <v>2000</v>
      </c>
      <c r="F107" s="19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spans="1:34" s="2" customFormat="1" x14ac:dyDescent="0.2">
      <c r="A108" s="14">
        <v>19</v>
      </c>
      <c r="B108" s="15">
        <f t="shared" si="3"/>
        <v>40695</v>
      </c>
      <c r="C108" s="15">
        <f t="shared" si="4"/>
        <v>41122</v>
      </c>
      <c r="D108" s="17">
        <v>-5000</v>
      </c>
      <c r="E108" s="18">
        <v>0</v>
      </c>
      <c r="F108" s="19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spans="1:34" s="2" customFormat="1" x14ac:dyDescent="0.2">
      <c r="A109" s="14">
        <v>19</v>
      </c>
      <c r="B109" s="15">
        <f t="shared" si="3"/>
        <v>40695</v>
      </c>
      <c r="C109" s="15">
        <f t="shared" si="4"/>
        <v>41153</v>
      </c>
      <c r="D109" s="17">
        <v>3000</v>
      </c>
      <c r="E109" s="18">
        <v>0</v>
      </c>
      <c r="F109" s="19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spans="1:34" s="2" customFormat="1" x14ac:dyDescent="0.2">
      <c r="A110" s="14">
        <v>19</v>
      </c>
      <c r="B110" s="15">
        <f t="shared" si="3"/>
        <v>40695</v>
      </c>
      <c r="C110" s="15">
        <f t="shared" si="4"/>
        <v>41183</v>
      </c>
      <c r="D110" s="17">
        <v>15000</v>
      </c>
      <c r="E110" s="18">
        <v>0</v>
      </c>
      <c r="F110" s="19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spans="1:34" s="2" customFormat="1" x14ac:dyDescent="0.2">
      <c r="A111" s="14">
        <v>19</v>
      </c>
      <c r="B111" s="15">
        <f t="shared" si="3"/>
        <v>40695</v>
      </c>
      <c r="C111" s="15">
        <f t="shared" si="4"/>
        <v>41214</v>
      </c>
      <c r="D111" s="17">
        <v>-1000</v>
      </c>
      <c r="E111" s="18">
        <v>1000</v>
      </c>
      <c r="F111" s="19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spans="1:34" s="2" customFormat="1" x14ac:dyDescent="0.2">
      <c r="A112" s="14">
        <v>18</v>
      </c>
      <c r="B112" s="15">
        <f t="shared" si="3"/>
        <v>40725</v>
      </c>
      <c r="C112" s="15">
        <f t="shared" si="4"/>
        <v>40725</v>
      </c>
      <c r="D112" s="17">
        <v>1971000</v>
      </c>
      <c r="E112" s="18">
        <v>526000</v>
      </c>
      <c r="F112" s="19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spans="1:34" s="2" customFormat="1" x14ac:dyDescent="0.2">
      <c r="A113" s="14">
        <v>18</v>
      </c>
      <c r="B113" s="15">
        <f t="shared" si="3"/>
        <v>40725</v>
      </c>
      <c r="C113" s="15">
        <f t="shared" si="4"/>
        <v>40756</v>
      </c>
      <c r="D113" s="17">
        <v>4605000</v>
      </c>
      <c r="E113" s="18">
        <v>239000</v>
      </c>
      <c r="F113" s="19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spans="1:34" s="2" customFormat="1" x14ac:dyDescent="0.2">
      <c r="A114" s="14">
        <v>18</v>
      </c>
      <c r="B114" s="15">
        <f t="shared" si="3"/>
        <v>40725</v>
      </c>
      <c r="C114" s="15">
        <f t="shared" si="4"/>
        <v>40787</v>
      </c>
      <c r="D114" s="17">
        <v>1706000</v>
      </c>
      <c r="E114" s="18">
        <v>162000</v>
      </c>
      <c r="F114" s="19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spans="1:34" s="2" customFormat="1" x14ac:dyDescent="0.2">
      <c r="A115" s="14">
        <v>18</v>
      </c>
      <c r="B115" s="15">
        <f t="shared" si="3"/>
        <v>40725</v>
      </c>
      <c r="C115" s="15">
        <f t="shared" si="4"/>
        <v>40817</v>
      </c>
      <c r="D115" s="17">
        <v>480000</v>
      </c>
      <c r="E115" s="18">
        <v>10000</v>
      </c>
      <c r="F115" s="19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spans="1:34" s="2" customFormat="1" x14ac:dyDescent="0.2">
      <c r="A116" s="14">
        <v>18</v>
      </c>
      <c r="B116" s="15">
        <f t="shared" si="3"/>
        <v>40725</v>
      </c>
      <c r="C116" s="15">
        <f t="shared" si="4"/>
        <v>40848</v>
      </c>
      <c r="D116" s="17">
        <v>126000</v>
      </c>
      <c r="E116" s="18">
        <v>4000</v>
      </c>
      <c r="F116" s="19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spans="1:34" s="2" customFormat="1" x14ac:dyDescent="0.2">
      <c r="A117" s="14">
        <v>18</v>
      </c>
      <c r="B117" s="15">
        <f t="shared" si="3"/>
        <v>40725</v>
      </c>
      <c r="C117" s="15">
        <f t="shared" si="4"/>
        <v>40878</v>
      </c>
      <c r="D117" s="17">
        <v>91000</v>
      </c>
      <c r="E117" s="18">
        <v>15000</v>
      </c>
      <c r="F117" s="19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spans="1:34" s="2" customFormat="1" x14ac:dyDescent="0.2">
      <c r="A118" s="14">
        <v>18</v>
      </c>
      <c r="B118" s="15">
        <f t="shared" si="3"/>
        <v>40725</v>
      </c>
      <c r="C118" s="15">
        <f t="shared" si="4"/>
        <v>40909</v>
      </c>
      <c r="D118" s="17">
        <v>78000</v>
      </c>
      <c r="E118" s="18">
        <v>97000</v>
      </c>
      <c r="F118" s="19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spans="1:34" s="2" customFormat="1" x14ac:dyDescent="0.2">
      <c r="A119" s="14">
        <v>18</v>
      </c>
      <c r="B119" s="15">
        <f t="shared" si="3"/>
        <v>40725</v>
      </c>
      <c r="C119" s="15">
        <f t="shared" si="4"/>
        <v>40940</v>
      </c>
      <c r="D119" s="17">
        <v>42000</v>
      </c>
      <c r="E119" s="18">
        <v>0</v>
      </c>
      <c r="F119" s="19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spans="1:34" s="2" customFormat="1" x14ac:dyDescent="0.2">
      <c r="A120" s="14">
        <v>18</v>
      </c>
      <c r="B120" s="15">
        <f t="shared" si="3"/>
        <v>40725</v>
      </c>
      <c r="C120" s="15">
        <f t="shared" si="4"/>
        <v>40969</v>
      </c>
      <c r="D120" s="17">
        <v>27000</v>
      </c>
      <c r="E120" s="18">
        <v>14000</v>
      </c>
      <c r="F120" s="19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spans="1:34" s="2" customFormat="1" x14ac:dyDescent="0.2">
      <c r="A121" s="14">
        <v>18</v>
      </c>
      <c r="B121" s="15">
        <f t="shared" si="3"/>
        <v>40725</v>
      </c>
      <c r="C121" s="15">
        <f t="shared" si="4"/>
        <v>41000</v>
      </c>
      <c r="D121" s="17">
        <v>0</v>
      </c>
      <c r="E121" s="18">
        <v>1000</v>
      </c>
      <c r="F121" s="19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spans="1:34" s="2" customFormat="1" x14ac:dyDescent="0.2">
      <c r="A122" s="14">
        <v>18</v>
      </c>
      <c r="B122" s="15">
        <f t="shared" si="3"/>
        <v>40725</v>
      </c>
      <c r="C122" s="15">
        <f t="shared" si="4"/>
        <v>41030</v>
      </c>
      <c r="D122" s="17">
        <v>0</v>
      </c>
      <c r="E122" s="18">
        <v>0</v>
      </c>
      <c r="F122" s="19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spans="1:34" s="2" customFormat="1" x14ac:dyDescent="0.2">
      <c r="A123" s="14">
        <v>18</v>
      </c>
      <c r="B123" s="15">
        <f t="shared" si="3"/>
        <v>40725</v>
      </c>
      <c r="C123" s="15">
        <f t="shared" si="4"/>
        <v>41061</v>
      </c>
      <c r="D123" s="17">
        <v>-12000</v>
      </c>
      <c r="E123" s="18">
        <v>0</v>
      </c>
      <c r="F123" s="19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spans="1:34" s="2" customFormat="1" x14ac:dyDescent="0.2">
      <c r="A124" s="14">
        <v>18</v>
      </c>
      <c r="B124" s="15">
        <f t="shared" si="3"/>
        <v>40725</v>
      </c>
      <c r="C124" s="15">
        <f t="shared" si="4"/>
        <v>41091</v>
      </c>
      <c r="D124" s="17">
        <v>9000</v>
      </c>
      <c r="E124" s="18">
        <v>3000</v>
      </c>
      <c r="F124" s="19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spans="1:34" s="2" customFormat="1" x14ac:dyDescent="0.2">
      <c r="A125" s="14">
        <v>18</v>
      </c>
      <c r="B125" s="15">
        <f t="shared" si="3"/>
        <v>40725</v>
      </c>
      <c r="C125" s="15">
        <f t="shared" si="4"/>
        <v>41122</v>
      </c>
      <c r="D125" s="17">
        <v>0</v>
      </c>
      <c r="E125" s="18">
        <v>0</v>
      </c>
      <c r="F125" s="19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spans="1:34" s="2" customFormat="1" x14ac:dyDescent="0.2">
      <c r="A126" s="14">
        <v>18</v>
      </c>
      <c r="B126" s="15">
        <f t="shared" si="3"/>
        <v>40725</v>
      </c>
      <c r="C126" s="15">
        <f t="shared" si="4"/>
        <v>41153</v>
      </c>
      <c r="D126" s="17">
        <v>-2000</v>
      </c>
      <c r="E126" s="18">
        <v>0</v>
      </c>
      <c r="F126" s="19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spans="1:34" s="2" customFormat="1" x14ac:dyDescent="0.2">
      <c r="A127" s="14">
        <v>18</v>
      </c>
      <c r="B127" s="15">
        <f t="shared" si="3"/>
        <v>40725</v>
      </c>
      <c r="C127" s="15">
        <f t="shared" si="4"/>
        <v>41183</v>
      </c>
      <c r="D127" s="17">
        <v>-11000</v>
      </c>
      <c r="E127" s="18">
        <v>2000</v>
      </c>
      <c r="F127" s="19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spans="1:34" s="2" customFormat="1" x14ac:dyDescent="0.2">
      <c r="A128" s="14">
        <v>18</v>
      </c>
      <c r="B128" s="15">
        <f t="shared" si="3"/>
        <v>40725</v>
      </c>
      <c r="C128" s="15">
        <f t="shared" si="4"/>
        <v>41214</v>
      </c>
      <c r="D128" s="17">
        <v>25000</v>
      </c>
      <c r="E128" s="18">
        <v>3500</v>
      </c>
      <c r="F128" s="19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spans="1:34" s="2" customFormat="1" x14ac:dyDescent="0.2">
      <c r="A129" s="14">
        <v>18</v>
      </c>
      <c r="B129" s="15">
        <f t="shared" si="3"/>
        <v>40725</v>
      </c>
      <c r="C129" s="15">
        <f t="shared" si="4"/>
        <v>41244</v>
      </c>
      <c r="D129" s="17">
        <v>2000</v>
      </c>
      <c r="E129" s="18">
        <v>13000</v>
      </c>
      <c r="F129" s="19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spans="1:34" s="2" customFormat="1" x14ac:dyDescent="0.2">
      <c r="A130" s="14">
        <v>17</v>
      </c>
      <c r="B130" s="15">
        <f t="shared" si="3"/>
        <v>40756</v>
      </c>
      <c r="C130" s="15">
        <f t="shared" si="4"/>
        <v>40756</v>
      </c>
      <c r="D130" s="17">
        <v>1730000</v>
      </c>
      <c r="E130" s="18">
        <v>457000</v>
      </c>
      <c r="F130" s="19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spans="1:34" s="2" customFormat="1" x14ac:dyDescent="0.2">
      <c r="A131" s="14">
        <v>17</v>
      </c>
      <c r="B131" s="15">
        <f t="shared" si="3"/>
        <v>40756</v>
      </c>
      <c r="C131" s="15">
        <f t="shared" si="4"/>
        <v>40787</v>
      </c>
      <c r="D131" s="17">
        <v>5000000</v>
      </c>
      <c r="E131" s="18">
        <v>705000</v>
      </c>
      <c r="F131" s="19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spans="1:34" s="2" customFormat="1" x14ac:dyDescent="0.2">
      <c r="A132" s="14">
        <v>17</v>
      </c>
      <c r="B132" s="15">
        <f t="shared" si="3"/>
        <v>40756</v>
      </c>
      <c r="C132" s="15">
        <f t="shared" si="4"/>
        <v>40817</v>
      </c>
      <c r="D132" s="17">
        <v>1243000</v>
      </c>
      <c r="E132" s="18">
        <v>99000</v>
      </c>
      <c r="F132" s="19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spans="1:34" s="2" customFormat="1" x14ac:dyDescent="0.2">
      <c r="A133" s="14">
        <v>17</v>
      </c>
      <c r="B133" s="15">
        <f t="shared" ref="B133:B196" si="5">EDATE($L$2,-A133)</f>
        <v>40756</v>
      </c>
      <c r="C133" s="15">
        <f t="shared" ref="C133:C196" si="6">IF(B133&lt;&gt;B132,B133,EDATE(C132,1))</f>
        <v>40848</v>
      </c>
      <c r="D133" s="17">
        <v>873000</v>
      </c>
      <c r="E133" s="18">
        <v>69000</v>
      </c>
      <c r="F133" s="19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spans="1:34" s="2" customFormat="1" x14ac:dyDescent="0.2">
      <c r="A134" s="14">
        <v>17</v>
      </c>
      <c r="B134" s="15">
        <f t="shared" si="5"/>
        <v>40756</v>
      </c>
      <c r="C134" s="15">
        <f t="shared" si="6"/>
        <v>40878</v>
      </c>
      <c r="D134" s="17">
        <v>291000</v>
      </c>
      <c r="E134" s="18">
        <v>69000</v>
      </c>
      <c r="F134" s="19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spans="1:34" s="2" customFormat="1" x14ac:dyDescent="0.2">
      <c r="A135" s="14">
        <v>17</v>
      </c>
      <c r="B135" s="15">
        <f t="shared" si="5"/>
        <v>40756</v>
      </c>
      <c r="C135" s="15">
        <f t="shared" si="6"/>
        <v>40909</v>
      </c>
      <c r="D135" s="17">
        <v>101000</v>
      </c>
      <c r="E135" s="18">
        <v>15000</v>
      </c>
      <c r="F135" s="19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spans="1:34" s="2" customFormat="1" x14ac:dyDescent="0.2">
      <c r="A136" s="14">
        <v>17</v>
      </c>
      <c r="B136" s="15">
        <f t="shared" si="5"/>
        <v>40756</v>
      </c>
      <c r="C136" s="15">
        <f t="shared" si="6"/>
        <v>40940</v>
      </c>
      <c r="D136" s="17">
        <v>62000</v>
      </c>
      <c r="E136" s="18">
        <v>3000</v>
      </c>
      <c r="F136" s="19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spans="1:34" s="2" customFormat="1" x14ac:dyDescent="0.2">
      <c r="A137" s="14">
        <v>17</v>
      </c>
      <c r="B137" s="15">
        <f t="shared" si="5"/>
        <v>40756</v>
      </c>
      <c r="C137" s="15">
        <f t="shared" si="6"/>
        <v>40969</v>
      </c>
      <c r="D137" s="17">
        <v>53000</v>
      </c>
      <c r="E137" s="18">
        <v>12000</v>
      </c>
      <c r="F137" s="19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spans="1:34" s="2" customFormat="1" x14ac:dyDescent="0.2">
      <c r="A138" s="14">
        <v>17</v>
      </c>
      <c r="B138" s="15">
        <f t="shared" si="5"/>
        <v>40756</v>
      </c>
      <c r="C138" s="15">
        <f t="shared" si="6"/>
        <v>41000</v>
      </c>
      <c r="D138" s="17">
        <v>-14000</v>
      </c>
      <c r="E138" s="18">
        <v>15000</v>
      </c>
      <c r="F138" s="19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spans="1:34" s="2" customFormat="1" x14ac:dyDescent="0.2">
      <c r="A139" s="14">
        <v>17</v>
      </c>
      <c r="B139" s="15">
        <f t="shared" si="5"/>
        <v>40756</v>
      </c>
      <c r="C139" s="15">
        <f t="shared" si="6"/>
        <v>41030</v>
      </c>
      <c r="D139" s="17">
        <v>27000</v>
      </c>
      <c r="E139" s="18">
        <v>2000</v>
      </c>
      <c r="F139" s="19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spans="1:34" s="2" customFormat="1" x14ac:dyDescent="0.2">
      <c r="A140" s="14">
        <v>17</v>
      </c>
      <c r="B140" s="15">
        <f t="shared" si="5"/>
        <v>40756</v>
      </c>
      <c r="C140" s="15">
        <f t="shared" si="6"/>
        <v>41061</v>
      </c>
      <c r="D140" s="17">
        <v>17000</v>
      </c>
      <c r="E140" s="18">
        <v>1000</v>
      </c>
      <c r="F140" s="19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spans="1:34" s="2" customFormat="1" x14ac:dyDescent="0.2">
      <c r="A141" s="14">
        <v>17</v>
      </c>
      <c r="B141" s="15">
        <f t="shared" si="5"/>
        <v>40756</v>
      </c>
      <c r="C141" s="15">
        <f t="shared" si="6"/>
        <v>41091</v>
      </c>
      <c r="D141" s="17">
        <v>56000</v>
      </c>
      <c r="E141" s="18">
        <v>0</v>
      </c>
      <c r="F141" s="19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spans="1:34" s="2" customFormat="1" x14ac:dyDescent="0.2">
      <c r="A142" s="14">
        <v>17</v>
      </c>
      <c r="B142" s="15">
        <f t="shared" si="5"/>
        <v>40756</v>
      </c>
      <c r="C142" s="15">
        <f t="shared" si="6"/>
        <v>41122</v>
      </c>
      <c r="D142" s="17">
        <v>9500</v>
      </c>
      <c r="E142" s="18">
        <v>14500</v>
      </c>
      <c r="F142" s="19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spans="1:34" s="2" customFormat="1" x14ac:dyDescent="0.2">
      <c r="A143" s="14">
        <v>17</v>
      </c>
      <c r="B143" s="15">
        <f t="shared" si="5"/>
        <v>40756</v>
      </c>
      <c r="C143" s="15">
        <f t="shared" si="6"/>
        <v>41153</v>
      </c>
      <c r="D143" s="17">
        <v>2000</v>
      </c>
      <c r="E143" s="18">
        <v>0</v>
      </c>
      <c r="F143" s="19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spans="1:34" s="2" customFormat="1" x14ac:dyDescent="0.2">
      <c r="A144" s="14">
        <v>17</v>
      </c>
      <c r="B144" s="15">
        <f t="shared" si="5"/>
        <v>40756</v>
      </c>
      <c r="C144" s="15">
        <f t="shared" si="6"/>
        <v>41183</v>
      </c>
      <c r="D144" s="17">
        <v>-2000</v>
      </c>
      <c r="E144" s="18">
        <v>5000</v>
      </c>
      <c r="F144" s="19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spans="1:34" s="2" customFormat="1" x14ac:dyDescent="0.2">
      <c r="A145" s="14">
        <v>17</v>
      </c>
      <c r="B145" s="15">
        <f t="shared" si="5"/>
        <v>40756</v>
      </c>
      <c r="C145" s="15">
        <f t="shared" si="6"/>
        <v>41214</v>
      </c>
      <c r="D145" s="17">
        <v>-1000</v>
      </c>
      <c r="E145" s="18">
        <v>1000</v>
      </c>
      <c r="F145" s="19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spans="1:34" s="2" customFormat="1" x14ac:dyDescent="0.2">
      <c r="A146" s="14">
        <v>17</v>
      </c>
      <c r="B146" s="15">
        <f t="shared" si="5"/>
        <v>40756</v>
      </c>
      <c r="C146" s="15">
        <f t="shared" si="6"/>
        <v>41244</v>
      </c>
      <c r="D146" s="17">
        <v>12000</v>
      </c>
      <c r="E146" s="18">
        <v>0</v>
      </c>
      <c r="F146" s="19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spans="1:34" s="2" customFormat="1" x14ac:dyDescent="0.2">
      <c r="A147" s="14">
        <v>16</v>
      </c>
      <c r="B147" s="15">
        <f t="shared" si="5"/>
        <v>40787</v>
      </c>
      <c r="C147" s="15">
        <f t="shared" si="6"/>
        <v>40787</v>
      </c>
      <c r="D147" s="17">
        <v>2003000</v>
      </c>
      <c r="E147" s="18">
        <v>487000</v>
      </c>
      <c r="F147" s="19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spans="1:34" s="2" customFormat="1" x14ac:dyDescent="0.2">
      <c r="A148" s="14">
        <v>16</v>
      </c>
      <c r="B148" s="15">
        <f t="shared" si="5"/>
        <v>40787</v>
      </c>
      <c r="C148" s="15">
        <f t="shared" si="6"/>
        <v>40817</v>
      </c>
      <c r="D148" s="17">
        <v>4356000</v>
      </c>
      <c r="E148" s="18">
        <v>513000</v>
      </c>
      <c r="F148" s="19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spans="1:34" s="2" customFormat="1" x14ac:dyDescent="0.2">
      <c r="A149" s="14">
        <v>16</v>
      </c>
      <c r="B149" s="15">
        <f t="shared" si="5"/>
        <v>40787</v>
      </c>
      <c r="C149" s="15">
        <f t="shared" si="6"/>
        <v>40848</v>
      </c>
      <c r="D149" s="17">
        <v>1255000</v>
      </c>
      <c r="E149" s="18">
        <v>151000</v>
      </c>
      <c r="F149" s="19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spans="1:34" s="2" customFormat="1" x14ac:dyDescent="0.2">
      <c r="A150" s="14">
        <v>16</v>
      </c>
      <c r="B150" s="15">
        <f t="shared" si="5"/>
        <v>40787</v>
      </c>
      <c r="C150" s="15">
        <f t="shared" si="6"/>
        <v>40878</v>
      </c>
      <c r="D150" s="17">
        <v>560000</v>
      </c>
      <c r="E150" s="18">
        <v>56000</v>
      </c>
      <c r="F150" s="19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spans="1:34" s="2" customFormat="1" x14ac:dyDescent="0.2">
      <c r="A151" s="14">
        <v>16</v>
      </c>
      <c r="B151" s="15">
        <f t="shared" si="5"/>
        <v>40787</v>
      </c>
      <c r="C151" s="15">
        <f t="shared" si="6"/>
        <v>40909</v>
      </c>
      <c r="D151" s="17">
        <v>224000</v>
      </c>
      <c r="E151" s="18">
        <v>19000</v>
      </c>
      <c r="F151" s="19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spans="1:34" s="2" customFormat="1" x14ac:dyDescent="0.2">
      <c r="A152" s="14">
        <v>16</v>
      </c>
      <c r="B152" s="15">
        <f t="shared" si="5"/>
        <v>40787</v>
      </c>
      <c r="C152" s="15">
        <f t="shared" si="6"/>
        <v>40940</v>
      </c>
      <c r="D152" s="17">
        <v>92000</v>
      </c>
      <c r="E152" s="18">
        <v>2000</v>
      </c>
      <c r="F152" s="19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spans="1:34" s="2" customFormat="1" x14ac:dyDescent="0.2">
      <c r="A153" s="14">
        <v>16</v>
      </c>
      <c r="B153" s="15">
        <f t="shared" si="5"/>
        <v>40787</v>
      </c>
      <c r="C153" s="15">
        <f t="shared" si="6"/>
        <v>40969</v>
      </c>
      <c r="D153" s="17">
        <v>67000</v>
      </c>
      <c r="E153" s="18">
        <v>1000</v>
      </c>
      <c r="F153" s="19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spans="1:34" s="2" customFormat="1" x14ac:dyDescent="0.2">
      <c r="A154" s="14">
        <v>16</v>
      </c>
      <c r="B154" s="15">
        <f t="shared" si="5"/>
        <v>40787</v>
      </c>
      <c r="C154" s="15">
        <f t="shared" si="6"/>
        <v>41000</v>
      </c>
      <c r="D154" s="17">
        <v>25000</v>
      </c>
      <c r="E154" s="18">
        <v>5000</v>
      </c>
      <c r="F154" s="19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spans="1:34" s="2" customFormat="1" x14ac:dyDescent="0.2">
      <c r="A155" s="14">
        <v>16</v>
      </c>
      <c r="B155" s="15">
        <f t="shared" si="5"/>
        <v>40787</v>
      </c>
      <c r="C155" s="15">
        <f t="shared" si="6"/>
        <v>41030</v>
      </c>
      <c r="D155" s="17">
        <v>17000</v>
      </c>
      <c r="E155" s="18">
        <v>1000</v>
      </c>
      <c r="F155" s="19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spans="1:34" s="2" customFormat="1" x14ac:dyDescent="0.2">
      <c r="A156" s="14">
        <v>16</v>
      </c>
      <c r="B156" s="15">
        <f t="shared" si="5"/>
        <v>40787</v>
      </c>
      <c r="C156" s="15">
        <f t="shared" si="6"/>
        <v>41061</v>
      </c>
      <c r="D156" s="17">
        <v>22000</v>
      </c>
      <c r="E156" s="18">
        <v>0</v>
      </c>
      <c r="F156" s="19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spans="1:34" s="2" customFormat="1" x14ac:dyDescent="0.2">
      <c r="A157" s="14">
        <v>16</v>
      </c>
      <c r="B157" s="15">
        <f t="shared" si="5"/>
        <v>40787</v>
      </c>
      <c r="C157" s="15">
        <f t="shared" si="6"/>
        <v>41091</v>
      </c>
      <c r="D157" s="17">
        <v>2000</v>
      </c>
      <c r="E157" s="18">
        <v>0</v>
      </c>
      <c r="F157" s="19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spans="1:34" s="2" customFormat="1" x14ac:dyDescent="0.2">
      <c r="A158" s="14">
        <v>16</v>
      </c>
      <c r="B158" s="15">
        <f t="shared" si="5"/>
        <v>40787</v>
      </c>
      <c r="C158" s="15">
        <f t="shared" si="6"/>
        <v>41122</v>
      </c>
      <c r="D158" s="17">
        <v>3000</v>
      </c>
      <c r="E158" s="18">
        <v>0</v>
      </c>
      <c r="F158" s="19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spans="1:34" s="2" customFormat="1" x14ac:dyDescent="0.2">
      <c r="A159" s="14">
        <v>16</v>
      </c>
      <c r="B159" s="15">
        <f t="shared" si="5"/>
        <v>40787</v>
      </c>
      <c r="C159" s="15">
        <f t="shared" si="6"/>
        <v>41153</v>
      </c>
      <c r="D159" s="17">
        <v>-4000</v>
      </c>
      <c r="E159" s="18">
        <v>0</v>
      </c>
      <c r="F159" s="19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spans="1:34" s="2" customFormat="1" x14ac:dyDescent="0.2">
      <c r="A160" s="14">
        <v>16</v>
      </c>
      <c r="B160" s="15">
        <f t="shared" si="5"/>
        <v>40787</v>
      </c>
      <c r="C160" s="15">
        <f t="shared" si="6"/>
        <v>41183</v>
      </c>
      <c r="D160" s="17">
        <v>3000</v>
      </c>
      <c r="E160" s="18">
        <v>0</v>
      </c>
      <c r="F160" s="19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spans="1:34" s="2" customFormat="1" x14ac:dyDescent="0.2">
      <c r="A161" s="14">
        <v>16</v>
      </c>
      <c r="B161" s="15">
        <f t="shared" si="5"/>
        <v>40787</v>
      </c>
      <c r="C161" s="15">
        <f t="shared" si="6"/>
        <v>41214</v>
      </c>
      <c r="D161" s="17">
        <v>61000</v>
      </c>
      <c r="E161" s="18">
        <v>1000</v>
      </c>
      <c r="F161" s="19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spans="1:34" s="2" customFormat="1" x14ac:dyDescent="0.2">
      <c r="A162" s="14">
        <v>16</v>
      </c>
      <c r="B162" s="15">
        <f t="shared" si="5"/>
        <v>40787</v>
      </c>
      <c r="C162" s="15">
        <f t="shared" si="6"/>
        <v>41244</v>
      </c>
      <c r="D162" s="17">
        <v>5000</v>
      </c>
      <c r="E162" s="18">
        <v>0</v>
      </c>
      <c r="F162" s="19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spans="1:34" s="2" customFormat="1" x14ac:dyDescent="0.2">
      <c r="A163" s="14">
        <v>15</v>
      </c>
      <c r="B163" s="15">
        <f t="shared" si="5"/>
        <v>40817</v>
      </c>
      <c r="C163" s="15">
        <f t="shared" si="6"/>
        <v>40817</v>
      </c>
      <c r="D163" s="17">
        <v>2009000</v>
      </c>
      <c r="E163" s="18">
        <v>472000</v>
      </c>
      <c r="F163" s="19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spans="1:34" s="2" customFormat="1" x14ac:dyDescent="0.2">
      <c r="A164" s="14">
        <v>15</v>
      </c>
      <c r="B164" s="15">
        <f t="shared" si="5"/>
        <v>40817</v>
      </c>
      <c r="C164" s="15">
        <f t="shared" si="6"/>
        <v>40848</v>
      </c>
      <c r="D164" s="17">
        <v>4883000</v>
      </c>
      <c r="E164" s="18">
        <v>432000</v>
      </c>
      <c r="F164" s="19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spans="1:34" s="2" customFormat="1" x14ac:dyDescent="0.2">
      <c r="A165" s="14">
        <v>15</v>
      </c>
      <c r="B165" s="15">
        <f t="shared" si="5"/>
        <v>40817</v>
      </c>
      <c r="C165" s="15">
        <f t="shared" si="6"/>
        <v>40878</v>
      </c>
      <c r="D165" s="17">
        <v>1246000</v>
      </c>
      <c r="E165" s="18">
        <v>47000</v>
      </c>
      <c r="F165" s="19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spans="1:34" s="2" customFormat="1" x14ac:dyDescent="0.2">
      <c r="A166" s="14">
        <v>15</v>
      </c>
      <c r="B166" s="15">
        <f t="shared" si="5"/>
        <v>40817</v>
      </c>
      <c r="C166" s="15">
        <f t="shared" si="6"/>
        <v>40909</v>
      </c>
      <c r="D166" s="17">
        <v>174000</v>
      </c>
      <c r="E166" s="18">
        <v>39000</v>
      </c>
      <c r="F166" s="19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spans="1:34" s="2" customFormat="1" x14ac:dyDescent="0.2">
      <c r="A167" s="14">
        <v>15</v>
      </c>
      <c r="B167" s="15">
        <f t="shared" si="5"/>
        <v>40817</v>
      </c>
      <c r="C167" s="15">
        <f t="shared" si="6"/>
        <v>40940</v>
      </c>
      <c r="D167" s="17">
        <v>150000</v>
      </c>
      <c r="E167" s="18">
        <v>5000</v>
      </c>
      <c r="F167" s="19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spans="1:34" s="2" customFormat="1" x14ac:dyDescent="0.2">
      <c r="A168" s="14">
        <v>15</v>
      </c>
      <c r="B168" s="15">
        <f t="shared" si="5"/>
        <v>40817</v>
      </c>
      <c r="C168" s="15">
        <f t="shared" si="6"/>
        <v>40969</v>
      </c>
      <c r="D168" s="17">
        <v>110000</v>
      </c>
      <c r="E168" s="18">
        <v>11000</v>
      </c>
      <c r="F168" s="19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spans="1:34" s="2" customFormat="1" x14ac:dyDescent="0.2">
      <c r="A169" s="14">
        <v>15</v>
      </c>
      <c r="B169" s="15">
        <f t="shared" si="5"/>
        <v>40817</v>
      </c>
      <c r="C169" s="15">
        <f t="shared" si="6"/>
        <v>41000</v>
      </c>
      <c r="D169" s="17">
        <v>43000</v>
      </c>
      <c r="E169" s="18">
        <v>1000</v>
      </c>
      <c r="F169" s="19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spans="1:34" s="2" customFormat="1" x14ac:dyDescent="0.2">
      <c r="A170" s="14">
        <v>15</v>
      </c>
      <c r="B170" s="15">
        <f t="shared" si="5"/>
        <v>40817</v>
      </c>
      <c r="C170" s="15">
        <f t="shared" si="6"/>
        <v>41030</v>
      </c>
      <c r="D170" s="17">
        <v>12000</v>
      </c>
      <c r="E170" s="18">
        <v>10000</v>
      </c>
      <c r="F170" s="19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spans="1:34" s="2" customFormat="1" x14ac:dyDescent="0.2">
      <c r="A171" s="14">
        <v>15</v>
      </c>
      <c r="B171" s="15">
        <f t="shared" si="5"/>
        <v>40817</v>
      </c>
      <c r="C171" s="15">
        <f t="shared" si="6"/>
        <v>41061</v>
      </c>
      <c r="D171" s="17">
        <v>16000</v>
      </c>
      <c r="E171" s="18">
        <v>7000</v>
      </c>
      <c r="F171" s="19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spans="1:34" s="2" customFormat="1" x14ac:dyDescent="0.2">
      <c r="A172" s="14">
        <v>15</v>
      </c>
      <c r="B172" s="15">
        <f t="shared" si="5"/>
        <v>40817</v>
      </c>
      <c r="C172" s="15">
        <f t="shared" si="6"/>
        <v>41091</v>
      </c>
      <c r="D172" s="17">
        <v>21000</v>
      </c>
      <c r="E172" s="18">
        <v>1000</v>
      </c>
      <c r="F172" s="19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spans="1:34" s="2" customFormat="1" x14ac:dyDescent="0.2">
      <c r="A173" s="14">
        <v>15</v>
      </c>
      <c r="B173" s="15">
        <f t="shared" si="5"/>
        <v>40817</v>
      </c>
      <c r="C173" s="15">
        <f t="shared" si="6"/>
        <v>41122</v>
      </c>
      <c r="D173" s="17">
        <v>4000</v>
      </c>
      <c r="E173" s="18">
        <v>2000</v>
      </c>
      <c r="F173" s="19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spans="1:34" s="2" customFormat="1" x14ac:dyDescent="0.2">
      <c r="A174" s="14">
        <v>15</v>
      </c>
      <c r="B174" s="15">
        <f t="shared" si="5"/>
        <v>40817</v>
      </c>
      <c r="C174" s="15">
        <f t="shared" si="6"/>
        <v>41153</v>
      </c>
      <c r="D174" s="17">
        <v>-3000</v>
      </c>
      <c r="E174" s="18">
        <v>1000</v>
      </c>
      <c r="F174" s="19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spans="1:34" s="2" customFormat="1" x14ac:dyDescent="0.2">
      <c r="A175" s="14">
        <v>15</v>
      </c>
      <c r="B175" s="15">
        <f t="shared" si="5"/>
        <v>40817</v>
      </c>
      <c r="C175" s="15">
        <f t="shared" si="6"/>
        <v>41183</v>
      </c>
      <c r="D175" s="17">
        <v>-8000</v>
      </c>
      <c r="E175" s="18">
        <v>4000</v>
      </c>
      <c r="F175" s="19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spans="1:34" s="2" customFormat="1" x14ac:dyDescent="0.2">
      <c r="A176" s="14">
        <v>15</v>
      </c>
      <c r="B176" s="15">
        <f t="shared" si="5"/>
        <v>40817</v>
      </c>
      <c r="C176" s="15">
        <f t="shared" si="6"/>
        <v>41214</v>
      </c>
      <c r="D176" s="17">
        <v>-5000</v>
      </c>
      <c r="E176" s="18">
        <v>18000</v>
      </c>
      <c r="F176" s="19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spans="1:34" s="2" customFormat="1" x14ac:dyDescent="0.2">
      <c r="A177" s="14">
        <v>15</v>
      </c>
      <c r="B177" s="15">
        <f t="shared" si="5"/>
        <v>40817</v>
      </c>
      <c r="C177" s="15">
        <f t="shared" si="6"/>
        <v>41244</v>
      </c>
      <c r="D177" s="17">
        <v>11000</v>
      </c>
      <c r="E177" s="18">
        <v>1000</v>
      </c>
      <c r="F177" s="19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spans="1:34" s="2" customFormat="1" x14ac:dyDescent="0.2">
      <c r="A178" s="14">
        <v>14</v>
      </c>
      <c r="B178" s="15">
        <f t="shared" si="5"/>
        <v>40848</v>
      </c>
      <c r="C178" s="15">
        <f t="shared" si="6"/>
        <v>40848</v>
      </c>
      <c r="D178" s="17">
        <v>2116000</v>
      </c>
      <c r="E178" s="18">
        <v>356000</v>
      </c>
      <c r="F178" s="19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spans="1:34" s="2" customFormat="1" x14ac:dyDescent="0.2">
      <c r="A179" s="14">
        <v>14</v>
      </c>
      <c r="B179" s="15">
        <f t="shared" si="5"/>
        <v>40848</v>
      </c>
      <c r="C179" s="15">
        <f t="shared" si="6"/>
        <v>40878</v>
      </c>
      <c r="D179" s="17">
        <v>4984000</v>
      </c>
      <c r="E179" s="18">
        <v>125000</v>
      </c>
      <c r="F179" s="19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spans="1:34" s="2" customFormat="1" x14ac:dyDescent="0.2">
      <c r="A180" s="14">
        <v>14</v>
      </c>
      <c r="B180" s="15">
        <f t="shared" si="5"/>
        <v>40848</v>
      </c>
      <c r="C180" s="15">
        <f t="shared" si="6"/>
        <v>40909</v>
      </c>
      <c r="D180" s="17">
        <v>694000</v>
      </c>
      <c r="E180" s="18">
        <v>32000</v>
      </c>
      <c r="F180" s="19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spans="1:34" s="2" customFormat="1" x14ac:dyDescent="0.2">
      <c r="A181" s="14">
        <v>14</v>
      </c>
      <c r="B181" s="15">
        <f t="shared" si="5"/>
        <v>40848</v>
      </c>
      <c r="C181" s="15">
        <f t="shared" si="6"/>
        <v>40940</v>
      </c>
      <c r="D181" s="17">
        <v>340000</v>
      </c>
      <c r="E181" s="18">
        <v>8000</v>
      </c>
      <c r="F181" s="19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spans="1:34" s="2" customFormat="1" x14ac:dyDescent="0.2">
      <c r="A182" s="14">
        <v>14</v>
      </c>
      <c r="B182" s="15">
        <f t="shared" si="5"/>
        <v>40848</v>
      </c>
      <c r="C182" s="15">
        <f t="shared" si="6"/>
        <v>40969</v>
      </c>
      <c r="D182" s="17">
        <v>564000</v>
      </c>
      <c r="E182" s="18">
        <v>344000</v>
      </c>
      <c r="F182" s="19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spans="1:34" s="2" customFormat="1" x14ac:dyDescent="0.2">
      <c r="A183" s="14">
        <v>14</v>
      </c>
      <c r="B183" s="15">
        <f t="shared" si="5"/>
        <v>40848</v>
      </c>
      <c r="C183" s="15">
        <f t="shared" si="6"/>
        <v>41000</v>
      </c>
      <c r="D183" s="17">
        <v>179000</v>
      </c>
      <c r="E183" s="18">
        <v>250000</v>
      </c>
      <c r="F183" s="19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spans="1:34" s="2" customFormat="1" x14ac:dyDescent="0.2">
      <c r="A184" s="14">
        <v>14</v>
      </c>
      <c r="B184" s="15">
        <f t="shared" si="5"/>
        <v>40848</v>
      </c>
      <c r="C184" s="15">
        <f t="shared" si="6"/>
        <v>41030</v>
      </c>
      <c r="D184" s="17">
        <v>325000</v>
      </c>
      <c r="E184" s="18">
        <v>9000</v>
      </c>
      <c r="F184" s="19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spans="1:34" s="2" customFormat="1" x14ac:dyDescent="0.2">
      <c r="A185" s="14">
        <v>14</v>
      </c>
      <c r="B185" s="15">
        <f t="shared" si="5"/>
        <v>40848</v>
      </c>
      <c r="C185" s="15">
        <f t="shared" si="6"/>
        <v>41061</v>
      </c>
      <c r="D185" s="17">
        <v>61000</v>
      </c>
      <c r="E185" s="18">
        <v>8000</v>
      </c>
      <c r="F185" s="19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spans="1:34" s="2" customFormat="1" x14ac:dyDescent="0.2">
      <c r="A186" s="14">
        <v>14</v>
      </c>
      <c r="B186" s="15">
        <f t="shared" si="5"/>
        <v>40848</v>
      </c>
      <c r="C186" s="15">
        <f t="shared" si="6"/>
        <v>41091</v>
      </c>
      <c r="D186" s="17">
        <v>9000</v>
      </c>
      <c r="E186" s="18">
        <v>0</v>
      </c>
      <c r="F186" s="19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spans="1:34" s="2" customFormat="1" x14ac:dyDescent="0.2">
      <c r="A187" s="14">
        <v>14</v>
      </c>
      <c r="B187" s="15">
        <f t="shared" si="5"/>
        <v>40848</v>
      </c>
      <c r="C187" s="15">
        <f t="shared" si="6"/>
        <v>41122</v>
      </c>
      <c r="D187" s="17">
        <v>4000</v>
      </c>
      <c r="E187" s="18">
        <v>3000</v>
      </c>
      <c r="F187" s="19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spans="1:34" s="2" customFormat="1" x14ac:dyDescent="0.2">
      <c r="A188" s="14">
        <v>14</v>
      </c>
      <c r="B188" s="15">
        <f t="shared" si="5"/>
        <v>40848</v>
      </c>
      <c r="C188" s="15">
        <f t="shared" si="6"/>
        <v>41153</v>
      </c>
      <c r="D188" s="17">
        <v>19000</v>
      </c>
      <c r="E188" s="18">
        <v>7000</v>
      </c>
      <c r="F188" s="19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spans="1:34" s="2" customFormat="1" x14ac:dyDescent="0.2">
      <c r="A189" s="14">
        <v>14</v>
      </c>
      <c r="B189" s="15">
        <f t="shared" si="5"/>
        <v>40848</v>
      </c>
      <c r="C189" s="15">
        <f t="shared" si="6"/>
        <v>41183</v>
      </c>
      <c r="D189" s="17">
        <v>-15000</v>
      </c>
      <c r="E189" s="18">
        <v>1000</v>
      </c>
      <c r="F189" s="19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spans="1:34" s="2" customFormat="1" x14ac:dyDescent="0.2">
      <c r="A190" s="14">
        <v>14</v>
      </c>
      <c r="B190" s="15">
        <f t="shared" si="5"/>
        <v>40848</v>
      </c>
      <c r="C190" s="15">
        <f t="shared" si="6"/>
        <v>41214</v>
      </c>
      <c r="D190" s="17">
        <v>-7000</v>
      </c>
      <c r="E190" s="18">
        <v>2000</v>
      </c>
      <c r="F190" s="19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spans="1:34" s="2" customFormat="1" x14ac:dyDescent="0.2">
      <c r="A191" s="14">
        <v>14</v>
      </c>
      <c r="B191" s="15">
        <f t="shared" si="5"/>
        <v>40848</v>
      </c>
      <c r="C191" s="15">
        <f t="shared" si="6"/>
        <v>41244</v>
      </c>
      <c r="D191" s="17">
        <v>21000</v>
      </c>
      <c r="E191" s="18">
        <v>2000</v>
      </c>
      <c r="F191" s="19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spans="1:34" s="2" customFormat="1" x14ac:dyDescent="0.2">
      <c r="A192" s="14">
        <v>13</v>
      </c>
      <c r="B192" s="15">
        <f t="shared" si="5"/>
        <v>40878</v>
      </c>
      <c r="C192" s="15">
        <f t="shared" si="6"/>
        <v>40878</v>
      </c>
      <c r="D192" s="17">
        <v>2457000</v>
      </c>
      <c r="E192" s="18">
        <v>305000</v>
      </c>
      <c r="F192" s="19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spans="1:34" s="2" customFormat="1" x14ac:dyDescent="0.2">
      <c r="A193" s="14">
        <v>13</v>
      </c>
      <c r="B193" s="15">
        <f t="shared" si="5"/>
        <v>40878</v>
      </c>
      <c r="C193" s="15">
        <f t="shared" si="6"/>
        <v>40909</v>
      </c>
      <c r="D193" s="17">
        <v>4241000</v>
      </c>
      <c r="E193" s="18">
        <v>229000</v>
      </c>
      <c r="F193" s="19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spans="1:34" s="2" customFormat="1" x14ac:dyDescent="0.2">
      <c r="A194" s="14">
        <v>13</v>
      </c>
      <c r="B194" s="15">
        <f t="shared" si="5"/>
        <v>40878</v>
      </c>
      <c r="C194" s="15">
        <f t="shared" si="6"/>
        <v>40940</v>
      </c>
      <c r="D194" s="17">
        <v>960000</v>
      </c>
      <c r="E194" s="18">
        <v>53000</v>
      </c>
      <c r="F194" s="19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spans="1:34" s="2" customFormat="1" x14ac:dyDescent="0.2">
      <c r="A195" s="14">
        <v>13</v>
      </c>
      <c r="B195" s="15">
        <f t="shared" si="5"/>
        <v>40878</v>
      </c>
      <c r="C195" s="15">
        <f t="shared" si="6"/>
        <v>40969</v>
      </c>
      <c r="D195" s="17">
        <v>452000</v>
      </c>
      <c r="E195" s="18">
        <v>14000</v>
      </c>
      <c r="F195" s="19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spans="1:34" s="2" customFormat="1" x14ac:dyDescent="0.2">
      <c r="A196" s="14">
        <v>13</v>
      </c>
      <c r="B196" s="15">
        <f t="shared" si="5"/>
        <v>40878</v>
      </c>
      <c r="C196" s="15">
        <f t="shared" si="6"/>
        <v>41000</v>
      </c>
      <c r="D196" s="17">
        <v>192000</v>
      </c>
      <c r="E196" s="18">
        <v>13000</v>
      </c>
      <c r="F196" s="19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spans="1:34" s="2" customFormat="1" x14ac:dyDescent="0.2">
      <c r="A197" s="14">
        <v>13</v>
      </c>
      <c r="B197" s="15">
        <f t="shared" ref="B197:B260" si="7">EDATE($L$2,-A197)</f>
        <v>40878</v>
      </c>
      <c r="C197" s="15">
        <f t="shared" ref="C197:C260" si="8">IF(B197&lt;&gt;B196,B197,EDATE(C196,1))</f>
        <v>41030</v>
      </c>
      <c r="D197" s="17">
        <v>106000</v>
      </c>
      <c r="E197" s="18">
        <v>8000</v>
      </c>
      <c r="F197" s="19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spans="1:34" s="2" customFormat="1" x14ac:dyDescent="0.2">
      <c r="A198" s="14">
        <v>13</v>
      </c>
      <c r="B198" s="15">
        <f t="shared" si="7"/>
        <v>40878</v>
      </c>
      <c r="C198" s="15">
        <f t="shared" si="8"/>
        <v>41061</v>
      </c>
      <c r="D198" s="17">
        <v>76000</v>
      </c>
      <c r="E198" s="18">
        <v>2000</v>
      </c>
      <c r="F198" s="19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spans="1:34" s="2" customFormat="1" x14ac:dyDescent="0.2">
      <c r="A199" s="14">
        <v>13</v>
      </c>
      <c r="B199" s="15">
        <f t="shared" si="7"/>
        <v>40878</v>
      </c>
      <c r="C199" s="15">
        <f t="shared" si="8"/>
        <v>41091</v>
      </c>
      <c r="D199" s="17">
        <v>46000</v>
      </c>
      <c r="E199" s="18">
        <v>0</v>
      </c>
      <c r="F199" s="19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spans="1:34" s="2" customFormat="1" x14ac:dyDescent="0.2">
      <c r="A200" s="14">
        <v>13</v>
      </c>
      <c r="B200" s="15">
        <f t="shared" si="7"/>
        <v>40878</v>
      </c>
      <c r="C200" s="15">
        <f t="shared" si="8"/>
        <v>41122</v>
      </c>
      <c r="D200" s="17">
        <v>9000</v>
      </c>
      <c r="E200" s="18">
        <v>5000</v>
      </c>
      <c r="F200" s="19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spans="1:34" s="2" customFormat="1" x14ac:dyDescent="0.2">
      <c r="A201" s="14">
        <v>13</v>
      </c>
      <c r="B201" s="15">
        <f t="shared" si="7"/>
        <v>40878</v>
      </c>
      <c r="C201" s="15">
        <f t="shared" si="8"/>
        <v>41153</v>
      </c>
      <c r="D201" s="17">
        <v>-1000</v>
      </c>
      <c r="E201" s="18">
        <v>0</v>
      </c>
      <c r="F201" s="19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spans="1:34" s="2" customFormat="1" x14ac:dyDescent="0.2">
      <c r="A202" s="14">
        <v>13</v>
      </c>
      <c r="B202" s="15">
        <f t="shared" si="7"/>
        <v>40878</v>
      </c>
      <c r="C202" s="15">
        <f t="shared" si="8"/>
        <v>41183</v>
      </c>
      <c r="D202" s="17">
        <v>-9000</v>
      </c>
      <c r="E202" s="18">
        <v>51000</v>
      </c>
      <c r="F202" s="19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spans="1:34" s="2" customFormat="1" x14ac:dyDescent="0.2">
      <c r="A203" s="14">
        <v>13</v>
      </c>
      <c r="B203" s="15">
        <f t="shared" si="7"/>
        <v>40878</v>
      </c>
      <c r="C203" s="15">
        <f t="shared" si="8"/>
        <v>41214</v>
      </c>
      <c r="D203" s="17">
        <v>0</v>
      </c>
      <c r="E203" s="18">
        <v>48000</v>
      </c>
      <c r="F203" s="19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spans="1:34" s="2" customFormat="1" x14ac:dyDescent="0.2">
      <c r="A204" s="14">
        <v>13</v>
      </c>
      <c r="B204" s="15">
        <f t="shared" si="7"/>
        <v>40878</v>
      </c>
      <c r="C204" s="15">
        <f t="shared" si="8"/>
        <v>41244</v>
      </c>
      <c r="D204" s="17">
        <v>-4000</v>
      </c>
      <c r="E204" s="18">
        <v>1000</v>
      </c>
      <c r="F204" s="19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spans="1:34" s="2" customFormat="1" x14ac:dyDescent="0.2">
      <c r="A205" s="14">
        <v>12</v>
      </c>
      <c r="B205" s="15">
        <f t="shared" si="7"/>
        <v>40909</v>
      </c>
      <c r="C205" s="15">
        <f t="shared" si="8"/>
        <v>40909</v>
      </c>
      <c r="D205" s="17">
        <v>1562000</v>
      </c>
      <c r="E205" s="18">
        <v>235000</v>
      </c>
      <c r="F205" s="19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spans="1:34" s="2" customFormat="1" x14ac:dyDescent="0.2">
      <c r="A206" s="14">
        <v>12</v>
      </c>
      <c r="B206" s="15">
        <f t="shared" si="7"/>
        <v>40909</v>
      </c>
      <c r="C206" s="15">
        <f t="shared" si="8"/>
        <v>40940</v>
      </c>
      <c r="D206" s="17">
        <v>4735000</v>
      </c>
      <c r="E206" s="18">
        <v>91000</v>
      </c>
      <c r="F206" s="19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spans="1:34" s="2" customFormat="1" x14ac:dyDescent="0.2">
      <c r="A207" s="14">
        <v>12</v>
      </c>
      <c r="B207" s="15">
        <f t="shared" si="7"/>
        <v>40909</v>
      </c>
      <c r="C207" s="15">
        <f t="shared" si="8"/>
        <v>40969</v>
      </c>
      <c r="D207" s="17">
        <v>1194000</v>
      </c>
      <c r="E207" s="18">
        <v>63000</v>
      </c>
      <c r="F207" s="19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spans="1:34" s="2" customFormat="1" x14ac:dyDescent="0.2">
      <c r="A208" s="14">
        <v>12</v>
      </c>
      <c r="B208" s="15">
        <f t="shared" si="7"/>
        <v>40909</v>
      </c>
      <c r="C208" s="15">
        <f t="shared" si="8"/>
        <v>41000</v>
      </c>
      <c r="D208" s="17">
        <v>445000</v>
      </c>
      <c r="E208" s="18">
        <v>13000</v>
      </c>
      <c r="F208" s="19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spans="1:34" s="2" customFormat="1" x14ac:dyDescent="0.2">
      <c r="A209" s="14">
        <v>12</v>
      </c>
      <c r="B209" s="15">
        <f t="shared" si="7"/>
        <v>40909</v>
      </c>
      <c r="C209" s="15">
        <f t="shared" si="8"/>
        <v>41030</v>
      </c>
      <c r="D209" s="17">
        <v>173000</v>
      </c>
      <c r="E209" s="18">
        <v>4000</v>
      </c>
      <c r="F209" s="19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spans="1:34" s="2" customFormat="1" x14ac:dyDescent="0.2">
      <c r="A210" s="14">
        <v>12</v>
      </c>
      <c r="B210" s="15">
        <f t="shared" si="7"/>
        <v>40909</v>
      </c>
      <c r="C210" s="15">
        <f t="shared" si="8"/>
        <v>41061</v>
      </c>
      <c r="D210" s="17">
        <v>61000</v>
      </c>
      <c r="E210" s="18">
        <v>7000</v>
      </c>
      <c r="F210" s="19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spans="1:34" s="2" customFormat="1" x14ac:dyDescent="0.2">
      <c r="A211" s="14">
        <v>12</v>
      </c>
      <c r="B211" s="15">
        <f t="shared" si="7"/>
        <v>40909</v>
      </c>
      <c r="C211" s="15">
        <f t="shared" si="8"/>
        <v>41091</v>
      </c>
      <c r="D211" s="17">
        <v>40000</v>
      </c>
      <c r="E211" s="18">
        <v>7000</v>
      </c>
      <c r="F211" s="19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spans="1:34" s="2" customFormat="1" x14ac:dyDescent="0.2">
      <c r="A212" s="14">
        <v>12</v>
      </c>
      <c r="B212" s="15">
        <f t="shared" si="7"/>
        <v>40909</v>
      </c>
      <c r="C212" s="15">
        <f t="shared" si="8"/>
        <v>41122</v>
      </c>
      <c r="D212" s="17">
        <v>26000</v>
      </c>
      <c r="E212" s="18">
        <v>3000</v>
      </c>
      <c r="F212" s="19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spans="1:34" s="2" customFormat="1" x14ac:dyDescent="0.2">
      <c r="A213" s="14">
        <v>12</v>
      </c>
      <c r="B213" s="15">
        <f t="shared" si="7"/>
        <v>40909</v>
      </c>
      <c r="C213" s="15">
        <f t="shared" si="8"/>
        <v>41153</v>
      </c>
      <c r="D213" s="17">
        <v>13000</v>
      </c>
      <c r="E213" s="18">
        <v>1000</v>
      </c>
      <c r="F213" s="19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spans="1:34" s="2" customFormat="1" x14ac:dyDescent="0.2">
      <c r="A214" s="14">
        <v>12</v>
      </c>
      <c r="B214" s="15">
        <f t="shared" si="7"/>
        <v>40909</v>
      </c>
      <c r="C214" s="15">
        <f t="shared" si="8"/>
        <v>41183</v>
      </c>
      <c r="D214" s="17">
        <v>25000</v>
      </c>
      <c r="E214" s="18">
        <v>3600</v>
      </c>
      <c r="F214" s="19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spans="1:34" s="2" customFormat="1" x14ac:dyDescent="0.2">
      <c r="A215" s="14">
        <v>12</v>
      </c>
      <c r="B215" s="15">
        <f t="shared" si="7"/>
        <v>40909</v>
      </c>
      <c r="C215" s="15">
        <f t="shared" si="8"/>
        <v>41214</v>
      </c>
      <c r="D215" s="17">
        <v>-20000</v>
      </c>
      <c r="E215" s="18">
        <v>2000</v>
      </c>
      <c r="F215" s="19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spans="1:34" s="2" customFormat="1" x14ac:dyDescent="0.2">
      <c r="A216" s="14">
        <v>12</v>
      </c>
      <c r="B216" s="15">
        <f t="shared" si="7"/>
        <v>40909</v>
      </c>
      <c r="C216" s="15">
        <f t="shared" si="8"/>
        <v>41244</v>
      </c>
      <c r="D216" s="17">
        <v>50000</v>
      </c>
      <c r="E216" s="18">
        <v>4000</v>
      </c>
      <c r="F216" s="19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spans="1:34" s="2" customFormat="1" x14ac:dyDescent="0.2">
      <c r="A217" s="14">
        <v>11</v>
      </c>
      <c r="B217" s="15">
        <f t="shared" si="7"/>
        <v>40940</v>
      </c>
      <c r="C217" s="15">
        <f t="shared" si="8"/>
        <v>40940</v>
      </c>
      <c r="D217" s="17">
        <v>1594000</v>
      </c>
      <c r="E217" s="18">
        <v>276000</v>
      </c>
      <c r="F217" s="19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spans="1:34" s="2" customFormat="1" x14ac:dyDescent="0.2">
      <c r="A218" s="14">
        <v>11</v>
      </c>
      <c r="B218" s="15">
        <f t="shared" si="7"/>
        <v>40940</v>
      </c>
      <c r="C218" s="15">
        <f t="shared" si="8"/>
        <v>40969</v>
      </c>
      <c r="D218" s="17">
        <v>4996000</v>
      </c>
      <c r="E218" s="18">
        <v>227000</v>
      </c>
      <c r="F218" s="19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spans="1:34" s="2" customFormat="1" x14ac:dyDescent="0.2">
      <c r="A219" s="14">
        <v>11</v>
      </c>
      <c r="B219" s="15">
        <f t="shared" si="7"/>
        <v>40940</v>
      </c>
      <c r="C219" s="15">
        <f t="shared" si="8"/>
        <v>41000</v>
      </c>
      <c r="D219" s="17">
        <v>768000</v>
      </c>
      <c r="E219" s="18">
        <v>49000</v>
      </c>
      <c r="F219" s="19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spans="1:34" s="2" customFormat="1" x14ac:dyDescent="0.2">
      <c r="A220" s="14">
        <v>11</v>
      </c>
      <c r="B220" s="15">
        <f t="shared" si="7"/>
        <v>40940</v>
      </c>
      <c r="C220" s="15">
        <f t="shared" si="8"/>
        <v>41030</v>
      </c>
      <c r="D220" s="17">
        <v>260000</v>
      </c>
      <c r="E220" s="18">
        <v>18000</v>
      </c>
      <c r="F220" s="19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spans="1:34" s="2" customFormat="1" x14ac:dyDescent="0.2">
      <c r="A221" s="14">
        <v>11</v>
      </c>
      <c r="B221" s="15">
        <f t="shared" si="7"/>
        <v>40940</v>
      </c>
      <c r="C221" s="15">
        <f t="shared" si="8"/>
        <v>41061</v>
      </c>
      <c r="D221" s="17">
        <v>340000</v>
      </c>
      <c r="E221" s="18">
        <v>24000</v>
      </c>
      <c r="F221" s="19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spans="1:34" s="2" customFormat="1" x14ac:dyDescent="0.2">
      <c r="A222" s="14">
        <v>11</v>
      </c>
      <c r="B222" s="15">
        <f t="shared" si="7"/>
        <v>40940</v>
      </c>
      <c r="C222" s="15">
        <f t="shared" si="8"/>
        <v>41091</v>
      </c>
      <c r="D222" s="17">
        <v>114000</v>
      </c>
      <c r="E222" s="18">
        <v>0</v>
      </c>
      <c r="F222" s="19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spans="1:34" s="2" customFormat="1" x14ac:dyDescent="0.2">
      <c r="A223" s="14">
        <v>11</v>
      </c>
      <c r="B223" s="15">
        <f t="shared" si="7"/>
        <v>40940</v>
      </c>
      <c r="C223" s="15">
        <f t="shared" si="8"/>
        <v>41122</v>
      </c>
      <c r="D223" s="17">
        <v>36000</v>
      </c>
      <c r="E223" s="18">
        <v>5000</v>
      </c>
      <c r="F223" s="19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spans="1:34" s="2" customFormat="1" x14ac:dyDescent="0.2">
      <c r="A224" s="14">
        <v>11</v>
      </c>
      <c r="B224" s="15">
        <f t="shared" si="7"/>
        <v>40940</v>
      </c>
      <c r="C224" s="15">
        <f t="shared" si="8"/>
        <v>41153</v>
      </c>
      <c r="D224" s="17">
        <v>42000</v>
      </c>
      <c r="E224" s="18">
        <v>2000</v>
      </c>
      <c r="F224" s="19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spans="1:34" s="2" customFormat="1" x14ac:dyDescent="0.2">
      <c r="A225" s="14">
        <v>11</v>
      </c>
      <c r="B225" s="15">
        <f t="shared" si="7"/>
        <v>40940</v>
      </c>
      <c r="C225" s="15">
        <f t="shared" si="8"/>
        <v>41183</v>
      </c>
      <c r="D225" s="17">
        <v>27000</v>
      </c>
      <c r="E225" s="18">
        <v>2100</v>
      </c>
      <c r="F225" s="19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spans="1:34" s="2" customFormat="1" x14ac:dyDescent="0.2">
      <c r="A226" s="14">
        <v>11</v>
      </c>
      <c r="B226" s="15">
        <f t="shared" si="7"/>
        <v>40940</v>
      </c>
      <c r="C226" s="15">
        <f t="shared" si="8"/>
        <v>41214</v>
      </c>
      <c r="D226" s="17">
        <v>2000</v>
      </c>
      <c r="E226" s="18">
        <v>0</v>
      </c>
      <c r="F226" s="19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spans="1:34" s="2" customFormat="1" x14ac:dyDescent="0.2">
      <c r="A227" s="14">
        <v>11</v>
      </c>
      <c r="B227" s="15">
        <f t="shared" si="7"/>
        <v>40940</v>
      </c>
      <c r="C227" s="15">
        <f t="shared" si="8"/>
        <v>41244</v>
      </c>
      <c r="D227" s="17">
        <v>-5000</v>
      </c>
      <c r="E227" s="18">
        <v>3500</v>
      </c>
      <c r="F227" s="19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spans="1:34" s="2" customFormat="1" x14ac:dyDescent="0.2">
      <c r="A228" s="14">
        <v>10</v>
      </c>
      <c r="B228" s="15">
        <f t="shared" si="7"/>
        <v>40969</v>
      </c>
      <c r="C228" s="15">
        <f t="shared" si="8"/>
        <v>40969</v>
      </c>
      <c r="D228" s="17">
        <v>2894000</v>
      </c>
      <c r="E228" s="18">
        <v>228000</v>
      </c>
      <c r="F228" s="19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spans="1:34" s="2" customFormat="1" x14ac:dyDescent="0.2">
      <c r="A229" s="14">
        <v>10</v>
      </c>
      <c r="B229" s="15">
        <f t="shared" si="7"/>
        <v>40969</v>
      </c>
      <c r="C229" s="15">
        <f t="shared" si="8"/>
        <v>41000</v>
      </c>
      <c r="D229" s="17">
        <v>4857000</v>
      </c>
      <c r="E229" s="18">
        <v>80000</v>
      </c>
      <c r="F229" s="19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spans="1:34" s="2" customFormat="1" x14ac:dyDescent="0.2">
      <c r="A230" s="14">
        <v>10</v>
      </c>
      <c r="B230" s="15">
        <f t="shared" si="7"/>
        <v>40969</v>
      </c>
      <c r="C230" s="15">
        <f t="shared" si="8"/>
        <v>41030</v>
      </c>
      <c r="D230" s="17">
        <v>961000</v>
      </c>
      <c r="E230" s="18">
        <v>18000</v>
      </c>
      <c r="F230" s="19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spans="1:34" s="2" customFormat="1" x14ac:dyDescent="0.2">
      <c r="A231" s="14">
        <v>10</v>
      </c>
      <c r="B231" s="15">
        <f t="shared" si="7"/>
        <v>40969</v>
      </c>
      <c r="C231" s="15">
        <f t="shared" si="8"/>
        <v>41061</v>
      </c>
      <c r="D231" s="17">
        <v>445000</v>
      </c>
      <c r="E231" s="18">
        <v>31000</v>
      </c>
      <c r="F231" s="19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spans="1:34" s="2" customFormat="1" x14ac:dyDescent="0.2">
      <c r="A232" s="14">
        <v>10</v>
      </c>
      <c r="B232" s="15">
        <f t="shared" si="7"/>
        <v>40969</v>
      </c>
      <c r="C232" s="15">
        <f t="shared" si="8"/>
        <v>41091</v>
      </c>
      <c r="D232" s="17">
        <v>127000</v>
      </c>
      <c r="E232" s="18">
        <v>3000</v>
      </c>
      <c r="F232" s="19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spans="1:34" s="2" customFormat="1" x14ac:dyDescent="0.2">
      <c r="A233" s="14">
        <v>10</v>
      </c>
      <c r="B233" s="15">
        <f t="shared" si="7"/>
        <v>40969</v>
      </c>
      <c r="C233" s="15">
        <f t="shared" si="8"/>
        <v>41122</v>
      </c>
      <c r="D233" s="17">
        <v>131000</v>
      </c>
      <c r="E233" s="18">
        <v>5000</v>
      </c>
      <c r="F233" s="19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spans="1:34" s="2" customFormat="1" x14ac:dyDescent="0.2">
      <c r="A234" s="14">
        <v>10</v>
      </c>
      <c r="B234" s="15">
        <f t="shared" si="7"/>
        <v>40969</v>
      </c>
      <c r="C234" s="15">
        <f t="shared" si="8"/>
        <v>41153</v>
      </c>
      <c r="D234" s="17">
        <v>24000</v>
      </c>
      <c r="E234" s="18">
        <v>6000</v>
      </c>
      <c r="F234" s="19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spans="1:34" s="2" customFormat="1" x14ac:dyDescent="0.2">
      <c r="A235" s="14">
        <v>10</v>
      </c>
      <c r="B235" s="15">
        <f t="shared" si="7"/>
        <v>40969</v>
      </c>
      <c r="C235" s="15">
        <f t="shared" si="8"/>
        <v>41183</v>
      </c>
      <c r="D235" s="17">
        <v>56000</v>
      </c>
      <c r="E235" s="18">
        <v>1000</v>
      </c>
      <c r="F235" s="19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spans="1:34" s="2" customFormat="1" x14ac:dyDescent="0.2">
      <c r="A236" s="14">
        <v>10</v>
      </c>
      <c r="B236" s="15">
        <f t="shared" si="7"/>
        <v>40969</v>
      </c>
      <c r="C236" s="15">
        <f t="shared" si="8"/>
        <v>41214</v>
      </c>
      <c r="D236" s="17">
        <v>13000</v>
      </c>
      <c r="E236" s="18">
        <v>1000</v>
      </c>
      <c r="F236" s="19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spans="1:34" s="2" customFormat="1" x14ac:dyDescent="0.2">
      <c r="A237" s="14">
        <v>10</v>
      </c>
      <c r="B237" s="15">
        <f t="shared" si="7"/>
        <v>40969</v>
      </c>
      <c r="C237" s="15">
        <f t="shared" si="8"/>
        <v>41244</v>
      </c>
      <c r="D237" s="17">
        <v>38000</v>
      </c>
      <c r="E237" s="18">
        <v>0</v>
      </c>
      <c r="F237" s="19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spans="1:34" s="2" customFormat="1" x14ac:dyDescent="0.2">
      <c r="A238" s="14">
        <v>9</v>
      </c>
      <c r="B238" s="15">
        <f t="shared" si="7"/>
        <v>41000</v>
      </c>
      <c r="C238" s="15">
        <f t="shared" si="8"/>
        <v>41000</v>
      </c>
      <c r="D238" s="17">
        <v>2383000</v>
      </c>
      <c r="E238" s="18">
        <v>184000</v>
      </c>
      <c r="F238" s="19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spans="1:34" s="2" customFormat="1" x14ac:dyDescent="0.2">
      <c r="A239" s="14">
        <v>9</v>
      </c>
      <c r="B239" s="15">
        <f t="shared" si="7"/>
        <v>41000</v>
      </c>
      <c r="C239" s="15">
        <f t="shared" si="8"/>
        <v>41030</v>
      </c>
      <c r="D239" s="17">
        <v>4659000</v>
      </c>
      <c r="E239" s="18">
        <v>39000</v>
      </c>
      <c r="F239" s="19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spans="1:34" s="2" customFormat="1" x14ac:dyDescent="0.2">
      <c r="A240" s="14">
        <v>9</v>
      </c>
      <c r="B240" s="15">
        <f t="shared" si="7"/>
        <v>41000</v>
      </c>
      <c r="C240" s="15">
        <f t="shared" si="8"/>
        <v>41061</v>
      </c>
      <c r="D240" s="17">
        <v>1276000</v>
      </c>
      <c r="E240" s="18">
        <v>101000</v>
      </c>
      <c r="F240" s="19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spans="1:34" s="2" customFormat="1" x14ac:dyDescent="0.2">
      <c r="A241" s="14">
        <v>9</v>
      </c>
      <c r="B241" s="15">
        <f t="shared" si="7"/>
        <v>41000</v>
      </c>
      <c r="C241" s="15">
        <f t="shared" si="8"/>
        <v>41091</v>
      </c>
      <c r="D241" s="17">
        <v>355000</v>
      </c>
      <c r="E241" s="18">
        <v>6000</v>
      </c>
      <c r="F241" s="19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spans="1:34" s="2" customFormat="1" x14ac:dyDescent="0.2">
      <c r="A242" s="14">
        <v>9</v>
      </c>
      <c r="B242" s="15">
        <f t="shared" si="7"/>
        <v>41000</v>
      </c>
      <c r="C242" s="15">
        <f t="shared" si="8"/>
        <v>41122</v>
      </c>
      <c r="D242" s="17">
        <v>152000</v>
      </c>
      <c r="E242" s="18">
        <v>2000</v>
      </c>
      <c r="F242" s="19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spans="1:34" s="2" customFormat="1" x14ac:dyDescent="0.2">
      <c r="A243" s="14">
        <v>9</v>
      </c>
      <c r="B243" s="15">
        <f t="shared" si="7"/>
        <v>41000</v>
      </c>
      <c r="C243" s="15">
        <f t="shared" si="8"/>
        <v>41153</v>
      </c>
      <c r="D243" s="17">
        <v>238000</v>
      </c>
      <c r="E243" s="18">
        <v>5000</v>
      </c>
      <c r="F243" s="19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spans="1:34" s="2" customFormat="1" x14ac:dyDescent="0.2">
      <c r="A244" s="14">
        <v>9</v>
      </c>
      <c r="B244" s="15">
        <f t="shared" si="7"/>
        <v>41000</v>
      </c>
      <c r="C244" s="15">
        <f t="shared" si="8"/>
        <v>41183</v>
      </c>
      <c r="D244" s="17">
        <v>63000</v>
      </c>
      <c r="E244" s="18">
        <v>3000</v>
      </c>
      <c r="F244" s="19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spans="1:34" s="2" customFormat="1" x14ac:dyDescent="0.2">
      <c r="A245" s="14">
        <v>9</v>
      </c>
      <c r="B245" s="15">
        <f t="shared" si="7"/>
        <v>41000</v>
      </c>
      <c r="C245" s="15">
        <f t="shared" si="8"/>
        <v>41214</v>
      </c>
      <c r="D245" s="17">
        <v>17000</v>
      </c>
      <c r="E245" s="18">
        <v>1000</v>
      </c>
      <c r="F245" s="19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spans="1:34" s="2" customFormat="1" x14ac:dyDescent="0.2">
      <c r="A246" s="14">
        <v>9</v>
      </c>
      <c r="B246" s="15">
        <f t="shared" si="7"/>
        <v>41000</v>
      </c>
      <c r="C246" s="15">
        <f t="shared" si="8"/>
        <v>41244</v>
      </c>
      <c r="D246" s="17">
        <v>24000</v>
      </c>
      <c r="E246" s="18">
        <v>1000</v>
      </c>
      <c r="F246" s="19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spans="1:34" s="2" customFormat="1" x14ac:dyDescent="0.2">
      <c r="A247" s="14">
        <v>8</v>
      </c>
      <c r="B247" s="15">
        <f t="shared" si="7"/>
        <v>41030</v>
      </c>
      <c r="C247" s="15">
        <f t="shared" si="8"/>
        <v>41030</v>
      </c>
      <c r="D247" s="17">
        <v>2311000</v>
      </c>
      <c r="E247" s="22">
        <v>185000</v>
      </c>
      <c r="F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spans="1:34" s="2" customFormat="1" x14ac:dyDescent="0.2">
      <c r="A248" s="14">
        <v>8</v>
      </c>
      <c r="B248" s="15">
        <f t="shared" si="7"/>
        <v>41030</v>
      </c>
      <c r="C248" s="15">
        <f t="shared" si="8"/>
        <v>41061</v>
      </c>
      <c r="D248" s="17">
        <v>5423000</v>
      </c>
      <c r="E248" s="22">
        <v>50000</v>
      </c>
      <c r="F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spans="1:34" s="2" customFormat="1" x14ac:dyDescent="0.2">
      <c r="A249" s="14">
        <v>8</v>
      </c>
      <c r="B249" s="15">
        <f t="shared" si="7"/>
        <v>41030</v>
      </c>
      <c r="C249" s="15">
        <f t="shared" si="8"/>
        <v>41091</v>
      </c>
      <c r="D249" s="17">
        <v>651000</v>
      </c>
      <c r="E249" s="22">
        <v>172000</v>
      </c>
      <c r="F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spans="1:34" s="2" customFormat="1" x14ac:dyDescent="0.2">
      <c r="A250" s="14">
        <v>8</v>
      </c>
      <c r="B250" s="15">
        <f t="shared" si="7"/>
        <v>41030</v>
      </c>
      <c r="C250" s="15">
        <f t="shared" si="8"/>
        <v>41122</v>
      </c>
      <c r="D250" s="17">
        <v>455000</v>
      </c>
      <c r="E250" s="22">
        <v>5000</v>
      </c>
      <c r="F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spans="1:34" s="2" customFormat="1" x14ac:dyDescent="0.2">
      <c r="A251" s="14">
        <v>8</v>
      </c>
      <c r="B251" s="15">
        <f t="shared" si="7"/>
        <v>41030</v>
      </c>
      <c r="C251" s="15">
        <f t="shared" si="8"/>
        <v>41153</v>
      </c>
      <c r="D251" s="17">
        <v>317000</v>
      </c>
      <c r="E251" s="22">
        <v>5000</v>
      </c>
      <c r="F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spans="1:34" s="2" customFormat="1" x14ac:dyDescent="0.2">
      <c r="A252" s="14">
        <v>8</v>
      </c>
      <c r="B252" s="15">
        <f t="shared" si="7"/>
        <v>41030</v>
      </c>
      <c r="C252" s="15">
        <f t="shared" si="8"/>
        <v>41183</v>
      </c>
      <c r="D252" s="17">
        <v>60000</v>
      </c>
      <c r="E252" s="22">
        <v>1000</v>
      </c>
      <c r="F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spans="1:34" s="2" customFormat="1" x14ac:dyDescent="0.2">
      <c r="A253" s="14">
        <v>8</v>
      </c>
      <c r="B253" s="15">
        <f t="shared" si="7"/>
        <v>41030</v>
      </c>
      <c r="C253" s="15">
        <f t="shared" si="8"/>
        <v>41214</v>
      </c>
      <c r="D253" s="17">
        <v>74000</v>
      </c>
      <c r="E253" s="22">
        <v>1000</v>
      </c>
      <c r="F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spans="1:34" s="2" customFormat="1" x14ac:dyDescent="0.2">
      <c r="A254" s="14">
        <v>8</v>
      </c>
      <c r="B254" s="15">
        <f t="shared" si="7"/>
        <v>41030</v>
      </c>
      <c r="C254" s="15">
        <f t="shared" si="8"/>
        <v>41244</v>
      </c>
      <c r="D254" s="17">
        <v>-14000</v>
      </c>
      <c r="E254" s="22">
        <v>3000</v>
      </c>
      <c r="F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spans="1:34" s="2" customFormat="1" x14ac:dyDescent="0.2">
      <c r="A255" s="14">
        <v>7</v>
      </c>
      <c r="B255" s="15">
        <f t="shared" si="7"/>
        <v>41061</v>
      </c>
      <c r="C255" s="15">
        <f t="shared" si="8"/>
        <v>41061</v>
      </c>
      <c r="D255" s="17">
        <v>2782000</v>
      </c>
      <c r="E255" s="17">
        <v>189000</v>
      </c>
      <c r="F255" s="2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spans="1:34" s="2" customFormat="1" x14ac:dyDescent="0.2">
      <c r="A256" s="14">
        <v>7</v>
      </c>
      <c r="B256" s="15">
        <f t="shared" si="7"/>
        <v>41061</v>
      </c>
      <c r="C256" s="15">
        <f t="shared" si="8"/>
        <v>41091</v>
      </c>
      <c r="D256" s="17">
        <v>4821000</v>
      </c>
      <c r="E256" s="17">
        <v>152000</v>
      </c>
      <c r="F256" s="2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spans="1:34" s="2" customFormat="1" x14ac:dyDescent="0.2">
      <c r="A257" s="14">
        <v>7</v>
      </c>
      <c r="B257" s="15">
        <f t="shared" si="7"/>
        <v>41061</v>
      </c>
      <c r="C257" s="15">
        <f t="shared" si="8"/>
        <v>41122</v>
      </c>
      <c r="D257" s="17">
        <v>942000</v>
      </c>
      <c r="E257" s="17">
        <v>5000</v>
      </c>
      <c r="F257" s="2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spans="1:34" s="2" customFormat="1" x14ac:dyDescent="0.2">
      <c r="A258" s="14">
        <v>7</v>
      </c>
      <c r="B258" s="15">
        <f t="shared" si="7"/>
        <v>41061</v>
      </c>
      <c r="C258" s="15">
        <f t="shared" si="8"/>
        <v>41153</v>
      </c>
      <c r="D258" s="17">
        <v>188000</v>
      </c>
      <c r="E258" s="17">
        <v>14000</v>
      </c>
      <c r="F258" s="2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spans="1:34" s="2" customFormat="1" x14ac:dyDescent="0.2">
      <c r="A259" s="14">
        <v>7</v>
      </c>
      <c r="B259" s="15">
        <f t="shared" si="7"/>
        <v>41061</v>
      </c>
      <c r="C259" s="15">
        <f t="shared" si="8"/>
        <v>41183</v>
      </c>
      <c r="D259" s="17">
        <v>135000</v>
      </c>
      <c r="E259" s="17">
        <v>0</v>
      </c>
      <c r="F259" s="2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spans="1:34" s="2" customFormat="1" x14ac:dyDescent="0.2">
      <c r="A260" s="14">
        <v>7</v>
      </c>
      <c r="B260" s="15">
        <f t="shared" si="7"/>
        <v>41061</v>
      </c>
      <c r="C260" s="15">
        <f t="shared" si="8"/>
        <v>41214</v>
      </c>
      <c r="D260" s="17">
        <v>77000</v>
      </c>
      <c r="E260" s="17">
        <v>2000</v>
      </c>
      <c r="F260" s="2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spans="1:34" s="2" customFormat="1" x14ac:dyDescent="0.2">
      <c r="A261" s="14">
        <v>7</v>
      </c>
      <c r="B261" s="15">
        <f t="shared" ref="B261:B282" si="9">EDATE($L$2,-A261)</f>
        <v>41061</v>
      </c>
      <c r="C261" s="15">
        <f t="shared" ref="C261:C282" si="10">IF(B261&lt;&gt;B260,B261,EDATE(C260,1))</f>
        <v>41244</v>
      </c>
      <c r="D261" s="17">
        <v>38000</v>
      </c>
      <c r="E261" s="17">
        <v>1000</v>
      </c>
      <c r="F261" s="2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spans="1:34" s="2" customFormat="1" x14ac:dyDescent="0.2">
      <c r="A262" s="14">
        <v>6</v>
      </c>
      <c r="B262" s="15">
        <f t="shared" si="9"/>
        <v>41091</v>
      </c>
      <c r="C262" s="15">
        <f t="shared" si="10"/>
        <v>41091</v>
      </c>
      <c r="D262" s="17">
        <v>1917000</v>
      </c>
      <c r="E262" s="22">
        <v>151000</v>
      </c>
      <c r="F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spans="1:34" s="2" customFormat="1" x14ac:dyDescent="0.2">
      <c r="A263" s="14">
        <v>6</v>
      </c>
      <c r="B263" s="15">
        <f t="shared" si="9"/>
        <v>41091</v>
      </c>
      <c r="C263" s="15">
        <f t="shared" si="10"/>
        <v>41122</v>
      </c>
      <c r="D263" s="17">
        <v>4472000</v>
      </c>
      <c r="E263" s="22">
        <v>39000</v>
      </c>
      <c r="F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spans="1:34" s="2" customFormat="1" x14ac:dyDescent="0.2">
      <c r="A264" s="14">
        <v>6</v>
      </c>
      <c r="B264" s="15">
        <f t="shared" si="9"/>
        <v>41091</v>
      </c>
      <c r="C264" s="15">
        <f t="shared" si="10"/>
        <v>41153</v>
      </c>
      <c r="D264" s="17">
        <v>880000</v>
      </c>
      <c r="E264" s="22">
        <v>15000</v>
      </c>
      <c r="F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spans="1:34" s="2" customFormat="1" x14ac:dyDescent="0.2">
      <c r="A265" s="14">
        <v>6</v>
      </c>
      <c r="B265" s="15">
        <f t="shared" si="9"/>
        <v>41091</v>
      </c>
      <c r="C265" s="15">
        <f t="shared" si="10"/>
        <v>41183</v>
      </c>
      <c r="D265" s="17">
        <v>423000</v>
      </c>
      <c r="E265" s="22">
        <v>5000</v>
      </c>
      <c r="F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spans="1:34" s="2" customFormat="1" x14ac:dyDescent="0.2">
      <c r="A266" s="14">
        <v>6</v>
      </c>
      <c r="B266" s="15">
        <f t="shared" si="9"/>
        <v>41091</v>
      </c>
      <c r="C266" s="15">
        <f t="shared" si="10"/>
        <v>41214</v>
      </c>
      <c r="D266" s="17">
        <v>146000</v>
      </c>
      <c r="E266" s="22">
        <v>1000</v>
      </c>
      <c r="F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spans="1:34" s="2" customFormat="1" x14ac:dyDescent="0.2">
      <c r="A267" s="14">
        <v>6</v>
      </c>
      <c r="B267" s="15">
        <f t="shared" si="9"/>
        <v>41091</v>
      </c>
      <c r="C267" s="15">
        <f t="shared" si="10"/>
        <v>41244</v>
      </c>
      <c r="D267" s="17">
        <v>69000</v>
      </c>
      <c r="E267" s="22">
        <v>3000</v>
      </c>
      <c r="F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spans="1:34" s="2" customFormat="1" x14ac:dyDescent="0.2">
      <c r="A268" s="14">
        <v>5</v>
      </c>
      <c r="B268" s="15">
        <f t="shared" si="9"/>
        <v>41122</v>
      </c>
      <c r="C268" s="15">
        <f t="shared" si="10"/>
        <v>41122</v>
      </c>
      <c r="D268" s="17">
        <v>1685000</v>
      </c>
      <c r="E268" s="17">
        <v>625114</v>
      </c>
      <c r="F268" s="2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spans="1:34" s="2" customFormat="1" x14ac:dyDescent="0.2">
      <c r="A269" s="14">
        <v>5</v>
      </c>
      <c r="B269" s="15">
        <f t="shared" si="9"/>
        <v>41122</v>
      </c>
      <c r="C269" s="15">
        <f t="shared" si="10"/>
        <v>41153</v>
      </c>
      <c r="D269" s="17">
        <v>4785000</v>
      </c>
      <c r="E269" s="17">
        <v>711804</v>
      </c>
      <c r="F269" s="2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spans="1:34" s="2" customFormat="1" x14ac:dyDescent="0.2">
      <c r="A270" s="14">
        <v>5</v>
      </c>
      <c r="B270" s="15">
        <f t="shared" si="9"/>
        <v>41122</v>
      </c>
      <c r="C270" s="15">
        <f t="shared" si="10"/>
        <v>41183</v>
      </c>
      <c r="D270" s="17">
        <v>1518000</v>
      </c>
      <c r="E270" s="17">
        <v>237268</v>
      </c>
      <c r="F270" s="2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spans="1:34" s="2" customFormat="1" x14ac:dyDescent="0.2">
      <c r="A271" s="14">
        <v>5</v>
      </c>
      <c r="B271" s="15">
        <f t="shared" si="9"/>
        <v>41122</v>
      </c>
      <c r="C271" s="15">
        <f t="shared" si="10"/>
        <v>41214</v>
      </c>
      <c r="D271" s="17">
        <v>417000</v>
      </c>
      <c r="E271" s="17">
        <v>9317</v>
      </c>
      <c r="F271" s="2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spans="1:34" s="2" customFormat="1" x14ac:dyDescent="0.2">
      <c r="A272" s="14">
        <v>5</v>
      </c>
      <c r="B272" s="15">
        <f t="shared" si="9"/>
        <v>41122</v>
      </c>
      <c r="C272" s="15">
        <f t="shared" si="10"/>
        <v>41244</v>
      </c>
      <c r="D272" s="17">
        <v>187000</v>
      </c>
      <c r="E272" s="17">
        <v>2662</v>
      </c>
      <c r="F272" s="2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spans="1:34" s="2" customFormat="1" x14ac:dyDescent="0.2">
      <c r="A273" s="14">
        <v>4</v>
      </c>
      <c r="B273" s="15">
        <f t="shared" si="9"/>
        <v>41153</v>
      </c>
      <c r="C273" s="15">
        <f t="shared" si="10"/>
        <v>41153</v>
      </c>
      <c r="D273" s="17">
        <v>1355000</v>
      </c>
      <c r="E273" s="22">
        <v>836512</v>
      </c>
      <c r="F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spans="1:34" s="2" customFormat="1" x14ac:dyDescent="0.2">
      <c r="A274" s="14">
        <v>4</v>
      </c>
      <c r="B274" s="15">
        <f t="shared" si="9"/>
        <v>41153</v>
      </c>
      <c r="C274" s="15">
        <f t="shared" si="10"/>
        <v>41183</v>
      </c>
      <c r="D274" s="17">
        <v>4888000</v>
      </c>
      <c r="E274" s="22">
        <v>241472</v>
      </c>
      <c r="F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spans="1:34" s="2" customFormat="1" x14ac:dyDescent="0.2">
      <c r="A275" s="14">
        <v>4</v>
      </c>
      <c r="B275" s="15">
        <f t="shared" si="9"/>
        <v>41153</v>
      </c>
      <c r="C275" s="15">
        <f t="shared" si="10"/>
        <v>41214</v>
      </c>
      <c r="D275" s="17">
        <v>743000</v>
      </c>
      <c r="E275" s="22">
        <v>357024</v>
      </c>
      <c r="F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spans="1:34" s="2" customFormat="1" x14ac:dyDescent="0.2">
      <c r="A276" s="14">
        <v>4</v>
      </c>
      <c r="B276" s="15">
        <f t="shared" si="9"/>
        <v>41153</v>
      </c>
      <c r="C276" s="15">
        <f t="shared" si="10"/>
        <v>41244</v>
      </c>
      <c r="D276" s="17">
        <v>386000</v>
      </c>
      <c r="E276" s="22">
        <v>12096</v>
      </c>
      <c r="F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spans="1:34" s="2" customFormat="1" x14ac:dyDescent="0.2">
      <c r="A277" s="14">
        <v>3</v>
      </c>
      <c r="B277" s="15">
        <f t="shared" si="9"/>
        <v>41183</v>
      </c>
      <c r="C277" s="15">
        <f t="shared" si="10"/>
        <v>41183</v>
      </c>
      <c r="D277" s="17">
        <v>1803000</v>
      </c>
      <c r="E277" s="17">
        <v>755914</v>
      </c>
      <c r="F277" s="2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spans="1:34" s="2" customFormat="1" x14ac:dyDescent="0.2">
      <c r="A278" s="14">
        <v>3</v>
      </c>
      <c r="B278" s="15">
        <f t="shared" si="9"/>
        <v>41183</v>
      </c>
      <c r="C278" s="15">
        <f t="shared" si="10"/>
        <v>41214</v>
      </c>
      <c r="D278" s="17">
        <v>4503000</v>
      </c>
      <c r="E278" s="17">
        <v>832809</v>
      </c>
      <c r="F278" s="2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spans="1:34" s="2" customFormat="1" x14ac:dyDescent="0.2">
      <c r="A279" s="14">
        <v>3</v>
      </c>
      <c r="B279" s="15">
        <f t="shared" si="9"/>
        <v>41183</v>
      </c>
      <c r="C279" s="15">
        <f t="shared" si="10"/>
        <v>41244</v>
      </c>
      <c r="D279" s="17">
        <v>876000</v>
      </c>
      <c r="E279" s="17">
        <v>582278</v>
      </c>
      <c r="F279" s="2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spans="1:34" s="2" customFormat="1" x14ac:dyDescent="0.2">
      <c r="A280" s="14">
        <v>2</v>
      </c>
      <c r="B280" s="15">
        <f t="shared" si="9"/>
        <v>41214</v>
      </c>
      <c r="C280" s="15">
        <f t="shared" si="10"/>
        <v>41214</v>
      </c>
      <c r="D280" s="17">
        <v>1357000</v>
      </c>
      <c r="E280" s="22">
        <v>1009464</v>
      </c>
      <c r="F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spans="1:34" s="2" customFormat="1" x14ac:dyDescent="0.2">
      <c r="A281" s="14">
        <v>2</v>
      </c>
      <c r="B281" s="15">
        <f t="shared" si="9"/>
        <v>41214</v>
      </c>
      <c r="C281" s="15">
        <f t="shared" si="10"/>
        <v>41244</v>
      </c>
      <c r="D281" s="17">
        <v>5339000</v>
      </c>
      <c r="E281" s="22">
        <v>594216</v>
      </c>
      <c r="F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spans="1:34" s="2" customFormat="1" x14ac:dyDescent="0.2">
      <c r="A282" s="14">
        <v>1</v>
      </c>
      <c r="B282" s="15">
        <f t="shared" si="9"/>
        <v>41244</v>
      </c>
      <c r="C282" s="15">
        <f t="shared" si="10"/>
        <v>41244</v>
      </c>
      <c r="D282" s="17">
        <v>1938000</v>
      </c>
      <c r="E282" s="22">
        <v>1420125</v>
      </c>
      <c r="F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spans="1:34" s="2" customFormat="1" x14ac:dyDescent="0.2">
      <c r="A283" s="14">
        <f>(YEAR($L$2)-YEAR(B283))*12+MONTH($L$2)-MONTH(B283)</f>
        <v>1356</v>
      </c>
      <c r="B283" s="20"/>
      <c r="C283" s="20"/>
      <c r="D283" s="21"/>
      <c r="E283" s="3"/>
      <c r="F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spans="1:34" s="2" customFormat="1" x14ac:dyDescent="0.2">
      <c r="A284" s="14"/>
      <c r="B284" s="20"/>
      <c r="C284" s="20"/>
      <c r="D284" s="21"/>
      <c r="E284" s="3"/>
      <c r="F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spans="1:34" s="2" customFormat="1" x14ac:dyDescent="0.2">
      <c r="A285" s="14"/>
      <c r="B285" s="20"/>
      <c r="C285" s="20"/>
      <c r="D285" s="21"/>
      <c r="E285" s="21"/>
      <c r="F285" s="2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spans="1:34" s="2" customFormat="1" x14ac:dyDescent="0.2">
      <c r="A286" s="14"/>
      <c r="B286" s="20"/>
      <c r="C286" s="20"/>
      <c r="D286" s="21"/>
      <c r="E286" s="21"/>
      <c r="F286" s="2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spans="1:34" s="2" customFormat="1" x14ac:dyDescent="0.2">
      <c r="A287" s="14"/>
      <c r="B287" s="20"/>
      <c r="C287" s="20"/>
      <c r="D287" s="21"/>
      <c r="E287" s="21"/>
      <c r="F287" s="2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spans="1:34" s="2" customFormat="1" x14ac:dyDescent="0.2">
      <c r="A288" s="14"/>
      <c r="B288" s="20"/>
      <c r="C288" s="20"/>
      <c r="D288" s="21"/>
      <c r="E288" s="21"/>
      <c r="F288" s="2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spans="1:34" s="2" customFormat="1" x14ac:dyDescent="0.2">
      <c r="A289" s="14"/>
      <c r="B289" s="20"/>
      <c r="C289" s="20"/>
      <c r="D289" s="21"/>
      <c r="E289" s="21"/>
      <c r="F289" s="2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spans="1:34" s="2" customFormat="1" x14ac:dyDescent="0.2">
      <c r="A290" s="14"/>
      <c r="B290" s="20"/>
      <c r="C290" s="20"/>
      <c r="D290" s="21"/>
      <c r="E290" s="21"/>
      <c r="F290" s="2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spans="1:34" s="2" customFormat="1" x14ac:dyDescent="0.2">
      <c r="A291" s="14"/>
      <c r="B291" s="20"/>
      <c r="C291" s="20"/>
      <c r="D291" s="21"/>
      <c r="E291" s="21"/>
      <c r="F291" s="2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spans="1:34" s="2" customFormat="1" x14ac:dyDescent="0.2">
      <c r="A292" s="14"/>
      <c r="B292" s="20"/>
      <c r="C292" s="20"/>
      <c r="D292" s="21"/>
      <c r="E292" s="21"/>
      <c r="F292" s="2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spans="1:34" s="2" customFormat="1" x14ac:dyDescent="0.2">
      <c r="A293" s="14"/>
      <c r="B293" s="20"/>
      <c r="C293" s="20"/>
      <c r="D293" s="21"/>
      <c r="E293" s="21"/>
      <c r="F293" s="2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spans="1:34" s="2" customFormat="1" x14ac:dyDescent="0.2">
      <c r="A294" s="14"/>
      <c r="B294" s="20"/>
      <c r="C294" s="20"/>
      <c r="D294" s="21"/>
      <c r="E294" s="21"/>
      <c r="F294" s="2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spans="1:34" s="2" customFormat="1" x14ac:dyDescent="0.2">
      <c r="A295" s="14"/>
      <c r="B295" s="20"/>
      <c r="C295" s="20"/>
      <c r="D295" s="21"/>
      <c r="E295" s="3"/>
      <c r="F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spans="1:34" s="2" customFormat="1" x14ac:dyDescent="0.2">
      <c r="A296" s="14"/>
      <c r="B296" s="20"/>
      <c r="C296" s="20"/>
      <c r="D296" s="21"/>
      <c r="E296" s="3"/>
      <c r="F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spans="1:34" s="2" customFormat="1" x14ac:dyDescent="0.2">
      <c r="A297" s="14"/>
      <c r="B297" s="20"/>
      <c r="C297" s="20"/>
      <c r="D297" s="21"/>
      <c r="E297" s="3"/>
      <c r="F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spans="1:34" s="2" customFormat="1" x14ac:dyDescent="0.2">
      <c r="A298" s="14"/>
      <c r="B298" s="20"/>
      <c r="C298" s="20"/>
      <c r="D298" s="21"/>
      <c r="E298" s="3"/>
      <c r="F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spans="1:34" s="2" customFormat="1" x14ac:dyDescent="0.2">
      <c r="A299" s="14"/>
      <c r="B299" s="20"/>
      <c r="C299" s="20"/>
      <c r="D299" s="21"/>
      <c r="E299" s="3"/>
      <c r="F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spans="1:34" s="2" customFormat="1" x14ac:dyDescent="0.2">
      <c r="A300" s="14"/>
      <c r="B300" s="20"/>
      <c r="C300" s="20"/>
      <c r="D300" s="21"/>
      <c r="E300" s="3"/>
      <c r="F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spans="1:34" s="2" customFormat="1" x14ac:dyDescent="0.2">
      <c r="A301" s="14"/>
      <c r="B301" s="20"/>
      <c r="C301" s="20"/>
      <c r="D301" s="21"/>
      <c r="E301" s="3"/>
      <c r="F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spans="1:34" s="2" customFormat="1" x14ac:dyDescent="0.2">
      <c r="A302" s="14"/>
      <c r="B302" s="20"/>
      <c r="C302" s="20"/>
      <c r="D302" s="21"/>
      <c r="E302" s="3"/>
      <c r="F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spans="1:34" s="2" customFormat="1" x14ac:dyDescent="0.2">
      <c r="A303" s="14"/>
      <c r="B303" s="20"/>
      <c r="C303" s="20"/>
      <c r="D303" s="21"/>
      <c r="E303" s="3"/>
      <c r="F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spans="1:34" s="2" customFormat="1" x14ac:dyDescent="0.2">
      <c r="A304" s="14"/>
      <c r="B304" s="20"/>
      <c r="C304" s="20"/>
      <c r="D304" s="21"/>
      <c r="E304" s="3"/>
      <c r="F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spans="1:34" s="2" customFormat="1" x14ac:dyDescent="0.2">
      <c r="A305" s="14"/>
      <c r="B305" s="20"/>
      <c r="C305" s="20"/>
      <c r="D305" s="21"/>
      <c r="E305" s="3"/>
      <c r="F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spans="1:34" s="2" customFormat="1" x14ac:dyDescent="0.2">
      <c r="A306" s="14"/>
      <c r="B306" s="20"/>
      <c r="C306" s="20"/>
      <c r="D306" s="21"/>
      <c r="E306" s="3"/>
      <c r="F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spans="1:34" s="2" customFormat="1" x14ac:dyDescent="0.2">
      <c r="A307" s="14"/>
      <c r="B307" s="20"/>
      <c r="C307" s="20"/>
      <c r="D307" s="21"/>
      <c r="E307" s="3"/>
      <c r="F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spans="1:34" s="2" customFormat="1" x14ac:dyDescent="0.2">
      <c r="A308" s="14"/>
      <c r="B308" s="20"/>
      <c r="C308" s="20"/>
      <c r="D308" s="21"/>
      <c r="E308" s="3"/>
      <c r="F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spans="1:34" s="2" customFormat="1" x14ac:dyDescent="0.2">
      <c r="A309" s="14"/>
      <c r="B309" s="20"/>
      <c r="C309" s="20"/>
      <c r="D309" s="21"/>
      <c r="E309" s="3"/>
      <c r="F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spans="1:34" s="2" customFormat="1" x14ac:dyDescent="0.2">
      <c r="A310" s="14"/>
      <c r="B310" s="20"/>
      <c r="C310" s="20"/>
      <c r="D310" s="21"/>
      <c r="E310" s="21"/>
      <c r="F310" s="2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spans="1:34" s="2" customFormat="1" x14ac:dyDescent="0.2">
      <c r="A311" s="14"/>
      <c r="B311" s="20"/>
      <c r="C311" s="20"/>
      <c r="D311" s="21"/>
      <c r="E311" s="21"/>
      <c r="F311" s="2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spans="1:34" s="2" customFormat="1" x14ac:dyDescent="0.2">
      <c r="A312" s="14"/>
      <c r="B312" s="20"/>
      <c r="C312" s="20"/>
      <c r="D312" s="21"/>
      <c r="E312" s="21"/>
      <c r="F312" s="2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spans="1:34" s="2" customFormat="1" x14ac:dyDescent="0.2">
      <c r="A313" s="14"/>
      <c r="B313" s="20"/>
      <c r="C313" s="20"/>
      <c r="D313" s="21"/>
      <c r="E313" s="21"/>
      <c r="F313" s="2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spans="1:34" s="2" customFormat="1" x14ac:dyDescent="0.2">
      <c r="A314" s="14"/>
      <c r="B314" s="20"/>
      <c r="C314" s="20"/>
      <c r="D314" s="21"/>
      <c r="E314" s="21"/>
      <c r="F314" s="2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spans="1:34" s="2" customFormat="1" x14ac:dyDescent="0.2">
      <c r="A315" s="14"/>
      <c r="B315" s="20"/>
      <c r="C315" s="20"/>
      <c r="D315" s="21"/>
      <c r="E315" s="21"/>
      <c r="F315" s="2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spans="1:34" s="2" customFormat="1" x14ac:dyDescent="0.2">
      <c r="A316" s="14"/>
      <c r="B316" s="20"/>
      <c r="C316" s="20"/>
      <c r="D316" s="21"/>
      <c r="E316" s="21"/>
      <c r="F316" s="2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spans="1:34" s="2" customFormat="1" x14ac:dyDescent="0.2">
      <c r="A317" s="14"/>
      <c r="B317" s="20"/>
      <c r="C317" s="20"/>
      <c r="D317" s="21"/>
      <c r="E317" s="21"/>
      <c r="F317" s="2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spans="1:34" s="2" customFormat="1" x14ac:dyDescent="0.2">
      <c r="A318" s="14"/>
      <c r="B318" s="20"/>
      <c r="C318" s="20"/>
      <c r="D318" s="21"/>
      <c r="E318" s="21"/>
      <c r="F318" s="2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spans="1:34" s="2" customFormat="1" x14ac:dyDescent="0.2">
      <c r="A319" s="14"/>
      <c r="B319" s="20"/>
      <c r="C319" s="20"/>
      <c r="D319" s="21"/>
      <c r="E319" s="21"/>
      <c r="F319" s="2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spans="1:34" s="2" customFormat="1" x14ac:dyDescent="0.2">
      <c r="A320" s="14"/>
      <c r="B320" s="20"/>
      <c r="C320" s="20"/>
      <c r="D320" s="21"/>
      <c r="E320" s="3"/>
      <c r="F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spans="1:34" s="2" customFormat="1" x14ac:dyDescent="0.2">
      <c r="A321" s="14"/>
      <c r="B321" s="20"/>
      <c r="C321" s="20"/>
      <c r="D321" s="21"/>
      <c r="E321" s="3"/>
      <c r="F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spans="1:34" s="2" customFormat="1" x14ac:dyDescent="0.2">
      <c r="A322" s="14"/>
      <c r="B322" s="20"/>
      <c r="C322" s="20"/>
      <c r="D322" s="21"/>
      <c r="E322" s="3"/>
      <c r="F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spans="1:34" s="2" customFormat="1" x14ac:dyDescent="0.2">
      <c r="A323" s="14"/>
      <c r="B323" s="20"/>
      <c r="C323" s="20"/>
      <c r="D323" s="21"/>
      <c r="E323" s="3"/>
      <c r="F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spans="1:34" s="2" customFormat="1" x14ac:dyDescent="0.2">
      <c r="A324" s="14"/>
      <c r="B324" s="20"/>
      <c r="C324" s="20"/>
      <c r="D324" s="21"/>
      <c r="E324" s="3"/>
      <c r="F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spans="1:34" s="2" customFormat="1" x14ac:dyDescent="0.2">
      <c r="A325" s="14"/>
      <c r="B325" s="20"/>
      <c r="C325" s="20"/>
      <c r="D325" s="21"/>
      <c r="E325" s="3"/>
      <c r="F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spans="1:34" s="2" customFormat="1" x14ac:dyDescent="0.2">
      <c r="A326" s="14"/>
      <c r="B326" s="20"/>
      <c r="C326" s="20"/>
      <c r="D326" s="21"/>
      <c r="E326" s="3"/>
      <c r="F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spans="1:34" s="2" customFormat="1" x14ac:dyDescent="0.2">
      <c r="A327" s="14"/>
      <c r="B327" s="20"/>
      <c r="C327" s="20"/>
      <c r="D327" s="21"/>
      <c r="E327" s="3"/>
      <c r="F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spans="1:34" s="2" customFormat="1" x14ac:dyDescent="0.2">
      <c r="A328" s="14"/>
      <c r="B328" s="20"/>
      <c r="C328" s="20"/>
      <c r="D328" s="21"/>
      <c r="E328" s="3"/>
      <c r="F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spans="1:34" s="2" customFormat="1" x14ac:dyDescent="0.2">
      <c r="A329" s="14"/>
      <c r="B329" s="20"/>
      <c r="C329" s="20"/>
      <c r="D329" s="21"/>
      <c r="E329" s="3"/>
      <c r="F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spans="1:34" s="2" customFormat="1" x14ac:dyDescent="0.2">
      <c r="A330" s="14"/>
      <c r="B330" s="20"/>
      <c r="C330" s="20"/>
      <c r="D330" s="21"/>
      <c r="E330" s="3"/>
      <c r="F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spans="1:34" s="2" customFormat="1" x14ac:dyDescent="0.2">
      <c r="A331" s="14"/>
      <c r="B331" s="20"/>
      <c r="C331" s="20"/>
      <c r="D331" s="21"/>
      <c r="E331" s="3"/>
      <c r="F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spans="1:34" s="2" customFormat="1" x14ac:dyDescent="0.2">
      <c r="A332" s="14"/>
      <c r="B332" s="20"/>
      <c r="C332" s="20"/>
      <c r="D332" s="21"/>
      <c r="E332" s="3"/>
      <c r="F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spans="1:34" s="2" customFormat="1" x14ac:dyDescent="0.2">
      <c r="A333" s="14"/>
      <c r="B333" s="20"/>
      <c r="C333" s="20"/>
      <c r="D333" s="21"/>
      <c r="E333" s="3"/>
      <c r="F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spans="1:34" s="2" customFormat="1" x14ac:dyDescent="0.2">
      <c r="A334" s="14"/>
      <c r="B334" s="20"/>
      <c r="C334" s="20"/>
      <c r="D334" s="21"/>
      <c r="E334" s="3"/>
      <c r="F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spans="1:34" s="2" customFormat="1" x14ac:dyDescent="0.2">
      <c r="A335" s="14"/>
      <c r="B335" s="20"/>
      <c r="C335" s="20"/>
      <c r="D335" s="21"/>
      <c r="E335" s="21"/>
      <c r="F335" s="2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spans="1:34" s="2" customFormat="1" x14ac:dyDescent="0.2">
      <c r="A336" s="14"/>
      <c r="B336" s="20"/>
      <c r="C336" s="20"/>
      <c r="D336" s="21"/>
      <c r="E336" s="21"/>
      <c r="F336" s="2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spans="1:34" s="2" customFormat="1" x14ac:dyDescent="0.2">
      <c r="A337" s="14"/>
      <c r="B337" s="20"/>
      <c r="C337" s="20"/>
      <c r="D337" s="21"/>
      <c r="E337" s="21"/>
      <c r="F337" s="2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spans="1:34" s="2" customFormat="1" x14ac:dyDescent="0.2">
      <c r="A338" s="14"/>
      <c r="B338" s="20"/>
      <c r="C338" s="20"/>
      <c r="D338" s="21"/>
      <c r="E338" s="21"/>
      <c r="F338" s="2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spans="1:34" s="2" customFormat="1" x14ac:dyDescent="0.2">
      <c r="A339" s="14"/>
      <c r="B339" s="20"/>
      <c r="C339" s="20"/>
      <c r="D339" s="21"/>
      <c r="E339" s="21"/>
      <c r="F339" s="2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spans="1:34" s="2" customFormat="1" x14ac:dyDescent="0.2">
      <c r="A340" s="14"/>
      <c r="B340" s="20"/>
      <c r="C340" s="20"/>
      <c r="D340" s="21"/>
      <c r="E340" s="21"/>
      <c r="F340" s="2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spans="1:34" s="2" customFormat="1" x14ac:dyDescent="0.2">
      <c r="A341" s="14"/>
      <c r="B341" s="20"/>
      <c r="C341" s="20"/>
      <c r="D341" s="21"/>
      <c r="E341" s="21"/>
      <c r="F341" s="2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spans="1:34" s="2" customFormat="1" x14ac:dyDescent="0.2">
      <c r="A342" s="14"/>
      <c r="B342" s="20"/>
      <c r="C342" s="20"/>
      <c r="D342" s="21"/>
      <c r="E342" s="21"/>
      <c r="F342" s="2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spans="1:34" s="2" customFormat="1" x14ac:dyDescent="0.2">
      <c r="A343" s="14"/>
      <c r="B343" s="20"/>
      <c r="C343" s="20"/>
      <c r="D343" s="21"/>
      <c r="E343" s="21"/>
      <c r="F343" s="2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spans="1:34" s="2" customFormat="1" x14ac:dyDescent="0.2">
      <c r="A344" s="14"/>
      <c r="B344" s="20"/>
      <c r="C344" s="20"/>
      <c r="D344" s="21"/>
      <c r="E344" s="21"/>
      <c r="F344" s="2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spans="1:34" s="2" customFormat="1" x14ac:dyDescent="0.2">
      <c r="A345" s="14"/>
      <c r="B345" s="20"/>
      <c r="C345" s="20"/>
      <c r="D345" s="21"/>
      <c r="E345" s="3"/>
      <c r="F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spans="1:34" s="2" customFormat="1" x14ac:dyDescent="0.2">
      <c r="A346" s="14"/>
      <c r="B346" s="20"/>
      <c r="C346" s="20"/>
      <c r="D346" s="21"/>
      <c r="E346" s="3"/>
      <c r="F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spans="1:34" s="2" customFormat="1" x14ac:dyDescent="0.2">
      <c r="A347" s="14"/>
      <c r="B347" s="20"/>
      <c r="C347" s="20"/>
      <c r="D347" s="21"/>
      <c r="E347" s="3"/>
      <c r="F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spans="1:34" s="2" customFormat="1" x14ac:dyDescent="0.2">
      <c r="A348" s="14"/>
      <c r="B348" s="20"/>
      <c r="C348" s="20"/>
      <c r="D348" s="21"/>
      <c r="E348" s="3"/>
      <c r="F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spans="1:34" s="2" customFormat="1" x14ac:dyDescent="0.2">
      <c r="A349" s="14"/>
      <c r="B349" s="20"/>
      <c r="C349" s="20"/>
      <c r="D349" s="21"/>
      <c r="E349" s="3"/>
      <c r="F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spans="1:34" s="2" customFormat="1" x14ac:dyDescent="0.2">
      <c r="A350" s="14"/>
      <c r="B350" s="20"/>
      <c r="C350" s="20"/>
      <c r="D350" s="21"/>
      <c r="E350" s="3"/>
      <c r="F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spans="1:34" s="2" customFormat="1" x14ac:dyDescent="0.2">
      <c r="A351" s="14"/>
      <c r="B351" s="20"/>
      <c r="C351" s="20"/>
      <c r="D351" s="21"/>
      <c r="E351" s="3"/>
      <c r="F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spans="1:34" s="2" customFormat="1" x14ac:dyDescent="0.2">
      <c r="A352" s="14"/>
      <c r="B352" s="20"/>
      <c r="C352" s="20"/>
      <c r="D352" s="21"/>
      <c r="E352" s="3"/>
      <c r="F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spans="1:34" s="2" customFormat="1" x14ac:dyDescent="0.2">
      <c r="A353" s="14"/>
      <c r="B353" s="20"/>
      <c r="C353" s="20"/>
      <c r="D353" s="21"/>
      <c r="E353" s="3"/>
      <c r="F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spans="1:34" s="2" customFormat="1" x14ac:dyDescent="0.2">
      <c r="A354" s="14"/>
      <c r="B354" s="20"/>
      <c r="C354" s="20"/>
      <c r="D354" s="21"/>
      <c r="E354" s="3"/>
      <c r="F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spans="1:34" s="2" customFormat="1" x14ac:dyDescent="0.2">
      <c r="A355" s="14"/>
      <c r="B355" s="20"/>
      <c r="C355" s="20"/>
      <c r="D355" s="21"/>
      <c r="E355" s="3"/>
      <c r="F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spans="1:34" s="2" customFormat="1" x14ac:dyDescent="0.2">
      <c r="A356" s="14"/>
      <c r="B356" s="20"/>
      <c r="C356" s="20"/>
      <c r="D356" s="21"/>
      <c r="E356" s="3"/>
      <c r="F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spans="1:34" s="2" customFormat="1" x14ac:dyDescent="0.2">
      <c r="A357" s="14"/>
      <c r="B357" s="20"/>
      <c r="C357" s="20"/>
      <c r="D357" s="21"/>
      <c r="E357" s="3"/>
      <c r="F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spans="1:34" s="2" customFormat="1" x14ac:dyDescent="0.2">
      <c r="A358" s="14"/>
      <c r="B358" s="20"/>
      <c r="C358" s="20"/>
      <c r="D358" s="21"/>
      <c r="E358" s="3"/>
      <c r="F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spans="1:34" s="2" customFormat="1" x14ac:dyDescent="0.2">
      <c r="A359" s="14"/>
      <c r="B359" s="20"/>
      <c r="C359" s="20"/>
      <c r="D359" s="21"/>
      <c r="E359" s="3"/>
      <c r="F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spans="1:34" s="2" customFormat="1" x14ac:dyDescent="0.2">
      <c r="A360" s="14"/>
      <c r="B360" s="20"/>
      <c r="C360" s="20"/>
      <c r="D360" s="21"/>
      <c r="E360" s="21"/>
      <c r="F360" s="2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spans="1:34" s="2" customFormat="1" x14ac:dyDescent="0.2">
      <c r="A361" s="14"/>
      <c r="B361" s="20"/>
      <c r="C361" s="20"/>
      <c r="D361" s="21"/>
      <c r="E361" s="21"/>
      <c r="F361" s="2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spans="1:34" s="2" customFormat="1" x14ac:dyDescent="0.2">
      <c r="A362" s="14"/>
      <c r="B362" s="20"/>
      <c r="C362" s="20"/>
      <c r="D362" s="21"/>
      <c r="E362" s="21"/>
      <c r="F362" s="2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spans="1:34" s="2" customFormat="1" x14ac:dyDescent="0.2">
      <c r="A363" s="14"/>
      <c r="B363" s="20"/>
      <c r="C363" s="20"/>
      <c r="D363" s="21"/>
      <c r="E363" s="21"/>
      <c r="F363" s="2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spans="1:34" s="2" customFormat="1" x14ac:dyDescent="0.2">
      <c r="A364" s="14"/>
      <c r="B364" s="20"/>
      <c r="C364" s="20"/>
      <c r="D364" s="21"/>
      <c r="E364" s="21"/>
      <c r="F364" s="2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spans="1:34" s="2" customFormat="1" x14ac:dyDescent="0.2">
      <c r="A365" s="14"/>
      <c r="B365" s="20"/>
      <c r="C365" s="20"/>
      <c r="D365" s="21"/>
      <c r="E365" s="21"/>
      <c r="F365" s="2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spans="1:34" s="2" customFormat="1" x14ac:dyDescent="0.2">
      <c r="A366" s="14"/>
      <c r="B366" s="20"/>
      <c r="C366" s="20"/>
      <c r="D366" s="21"/>
      <c r="E366" s="21"/>
      <c r="F366" s="2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spans="1:34" s="2" customFormat="1" x14ac:dyDescent="0.2">
      <c r="A367" s="14"/>
      <c r="B367" s="20"/>
      <c r="C367" s="20"/>
      <c r="D367" s="21"/>
      <c r="E367" s="21"/>
      <c r="F367" s="2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spans="1:34" s="2" customFormat="1" x14ac:dyDescent="0.2">
      <c r="A368" s="14"/>
      <c r="B368" s="20"/>
      <c r="C368" s="20"/>
      <c r="D368" s="21"/>
      <c r="E368" s="21"/>
      <c r="F368" s="2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spans="1:34" s="2" customFormat="1" x14ac:dyDescent="0.2">
      <c r="A369" s="14"/>
      <c r="B369" s="20"/>
      <c r="C369" s="20"/>
      <c r="D369" s="21"/>
      <c r="E369" s="21"/>
      <c r="F369" s="2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spans="1:34" s="2" customFormat="1" x14ac:dyDescent="0.2">
      <c r="A370" s="3"/>
      <c r="B370" s="20"/>
      <c r="C370" s="20"/>
      <c r="D370" s="21"/>
      <c r="E370" s="3"/>
      <c r="F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spans="1:34" s="2" customFormat="1" x14ac:dyDescent="0.2">
      <c r="A371" s="3"/>
      <c r="B371" s="20"/>
      <c r="C371" s="20"/>
      <c r="D371" s="21"/>
      <c r="E371" s="3"/>
      <c r="F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spans="1:34" s="2" customFormat="1" x14ac:dyDescent="0.2">
      <c r="A372" s="3"/>
      <c r="B372" s="20"/>
      <c r="C372" s="20"/>
      <c r="D372" s="21"/>
      <c r="E372" s="3"/>
      <c r="F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spans="1:34" s="2" customFormat="1" x14ac:dyDescent="0.2">
      <c r="A373" s="3"/>
      <c r="B373" s="20"/>
      <c r="C373" s="20"/>
      <c r="D373" s="21"/>
      <c r="E373" s="3"/>
      <c r="F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spans="1:34" s="2" customFormat="1" x14ac:dyDescent="0.2">
      <c r="A374" s="3"/>
      <c r="B374" s="20"/>
      <c r="C374" s="20"/>
      <c r="D374" s="21"/>
      <c r="E374" s="3"/>
      <c r="F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spans="1:34" s="2" customFormat="1" x14ac:dyDescent="0.2">
      <c r="A375" s="3"/>
      <c r="B375" s="20"/>
      <c r="C375" s="20"/>
      <c r="D375" s="21"/>
      <c r="E375" s="3"/>
      <c r="F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spans="1:34" s="2" customFormat="1" x14ac:dyDescent="0.2">
      <c r="A376" s="3"/>
      <c r="B376" s="20"/>
      <c r="C376" s="20"/>
      <c r="D376" s="21"/>
      <c r="E376" s="3"/>
      <c r="F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spans="1:34" s="2" customFormat="1" x14ac:dyDescent="0.2">
      <c r="A377" s="3"/>
      <c r="B377" s="20"/>
      <c r="C377" s="20"/>
      <c r="D377" s="21"/>
      <c r="E377" s="3"/>
      <c r="F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spans="1:34" s="2" customFormat="1" x14ac:dyDescent="0.2">
      <c r="A378" s="3"/>
      <c r="B378" s="20"/>
      <c r="C378" s="20"/>
      <c r="D378" s="21"/>
      <c r="E378" s="3"/>
      <c r="F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spans="1:34" s="2" customFormat="1" x14ac:dyDescent="0.2">
      <c r="A379" s="3"/>
      <c r="B379" s="20"/>
      <c r="C379" s="20"/>
      <c r="D379" s="21"/>
      <c r="E379" s="3"/>
      <c r="F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spans="1:34" s="2" customFormat="1" x14ac:dyDescent="0.2">
      <c r="A380" s="3"/>
      <c r="B380" s="20"/>
      <c r="C380" s="20"/>
      <c r="D380" s="21"/>
      <c r="E380" s="3"/>
      <c r="F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spans="1:34" s="2" customFormat="1" x14ac:dyDescent="0.2">
      <c r="A381" s="3"/>
      <c r="B381" s="20"/>
      <c r="C381" s="20"/>
      <c r="D381" s="21"/>
      <c r="E381" s="3"/>
      <c r="F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spans="1:34" s="2" customFormat="1" x14ac:dyDescent="0.2">
      <c r="A382" s="3"/>
      <c r="B382" s="20"/>
      <c r="C382" s="20"/>
      <c r="D382" s="21"/>
      <c r="E382" s="3"/>
      <c r="F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spans="1:34" s="2" customFormat="1" x14ac:dyDescent="0.2">
      <c r="A383" s="3"/>
      <c r="B383" s="20"/>
      <c r="C383" s="20"/>
      <c r="D383" s="21"/>
      <c r="E383" s="3"/>
      <c r="F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spans="1:34" s="2" customFormat="1" x14ac:dyDescent="0.2">
      <c r="A384" s="3"/>
      <c r="B384" s="20"/>
      <c r="C384" s="20"/>
      <c r="D384" s="21"/>
      <c r="E384" s="3"/>
      <c r="F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spans="1:34" s="2" customFormat="1" x14ac:dyDescent="0.2">
      <c r="A385" s="3"/>
      <c r="B385" s="20"/>
      <c r="C385" s="20"/>
      <c r="D385" s="21"/>
      <c r="E385" s="21"/>
      <c r="F385" s="2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spans="1:34" s="2" customFormat="1" x14ac:dyDescent="0.2">
      <c r="A386" s="3"/>
      <c r="B386" s="20"/>
      <c r="C386" s="20"/>
      <c r="D386" s="21"/>
      <c r="E386" s="21"/>
      <c r="F386" s="2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spans="1:34" s="2" customFormat="1" x14ac:dyDescent="0.2">
      <c r="A387" s="3"/>
      <c r="B387" s="20"/>
      <c r="C387" s="20"/>
      <c r="D387" s="21"/>
      <c r="E387" s="21"/>
      <c r="F387" s="2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spans="1:34" s="2" customFormat="1" x14ac:dyDescent="0.2">
      <c r="A388" s="3"/>
      <c r="B388" s="20"/>
      <c r="C388" s="20"/>
      <c r="D388" s="21"/>
      <c r="E388" s="21"/>
      <c r="F388" s="2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spans="1:34" s="2" customFormat="1" x14ac:dyDescent="0.2">
      <c r="A389" s="3"/>
      <c r="B389" s="20"/>
      <c r="C389" s="20"/>
      <c r="D389" s="21"/>
      <c r="E389" s="21"/>
      <c r="F389" s="2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spans="1:34" s="2" customFormat="1" x14ac:dyDescent="0.2">
      <c r="A390" s="3"/>
      <c r="B390" s="20"/>
      <c r="C390" s="20"/>
      <c r="D390" s="21"/>
      <c r="E390" s="21"/>
      <c r="F390" s="2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spans="1:34" s="2" customFormat="1" x14ac:dyDescent="0.2">
      <c r="A391" s="3"/>
      <c r="B391" s="20"/>
      <c r="C391" s="20"/>
      <c r="D391" s="21"/>
      <c r="E391" s="21"/>
      <c r="F391" s="2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spans="1:34" s="2" customFormat="1" x14ac:dyDescent="0.2">
      <c r="A392" s="3"/>
      <c r="B392" s="20"/>
      <c r="C392" s="20"/>
      <c r="D392" s="21"/>
      <c r="E392" s="21"/>
      <c r="F392" s="2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spans="1:34" s="2" customFormat="1" x14ac:dyDescent="0.2">
      <c r="A393" s="3"/>
      <c r="B393" s="20"/>
      <c r="C393" s="20"/>
      <c r="D393" s="21"/>
      <c r="E393" s="21"/>
      <c r="F393" s="2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spans="1:34" s="2" customFormat="1" x14ac:dyDescent="0.2">
      <c r="A394" s="3"/>
      <c r="B394" s="20"/>
      <c r="C394" s="20"/>
      <c r="D394" s="21"/>
      <c r="E394" s="21"/>
      <c r="F394" s="2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spans="1:34" s="2" customFormat="1" x14ac:dyDescent="0.2">
      <c r="A395" s="3"/>
      <c r="B395" s="20"/>
      <c r="C395" s="20"/>
      <c r="D395" s="21"/>
      <c r="E395" s="3"/>
      <c r="F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spans="1:34" s="2" customFormat="1" x14ac:dyDescent="0.2">
      <c r="A396" s="3"/>
      <c r="B396" s="20"/>
      <c r="C396" s="20"/>
      <c r="D396" s="21"/>
      <c r="E396" s="3"/>
      <c r="F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spans="1:34" s="2" customFormat="1" x14ac:dyDescent="0.2">
      <c r="A397" s="3"/>
      <c r="B397" s="20"/>
      <c r="C397" s="20"/>
      <c r="D397" s="21"/>
      <c r="E397" s="3"/>
      <c r="F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spans="1:34" s="2" customFormat="1" x14ac:dyDescent="0.2">
      <c r="A398" s="3"/>
      <c r="B398" s="20"/>
      <c r="C398" s="20"/>
      <c r="D398" s="21"/>
      <c r="E398" s="3"/>
      <c r="F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spans="1:34" s="2" customFormat="1" x14ac:dyDescent="0.2">
      <c r="A399" s="3"/>
      <c r="B399" s="20"/>
      <c r="C399" s="20"/>
      <c r="D399" s="21"/>
      <c r="E399" s="3"/>
      <c r="F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spans="1:34" s="2" customFormat="1" x14ac:dyDescent="0.2">
      <c r="A400" s="3"/>
      <c r="B400" s="20"/>
      <c r="C400" s="20"/>
      <c r="D400" s="21"/>
      <c r="E400" s="3"/>
      <c r="F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spans="1:34" s="2" customFormat="1" x14ac:dyDescent="0.2">
      <c r="A401" s="3"/>
      <c r="B401" s="20"/>
      <c r="C401" s="20"/>
      <c r="D401" s="21"/>
      <c r="E401" s="3"/>
      <c r="F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spans="1:34" s="2" customFormat="1" x14ac:dyDescent="0.2">
      <c r="A402" s="3"/>
      <c r="B402" s="20"/>
      <c r="C402" s="20"/>
      <c r="D402" s="21"/>
      <c r="E402" s="3"/>
      <c r="F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spans="1:34" s="2" customFormat="1" x14ac:dyDescent="0.2">
      <c r="A403" s="3"/>
      <c r="B403" s="20"/>
      <c r="C403" s="20"/>
      <c r="D403" s="21"/>
      <c r="E403" s="3"/>
      <c r="F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spans="1:34" s="2" customFormat="1" x14ac:dyDescent="0.2">
      <c r="A404" s="3"/>
      <c r="B404" s="20"/>
      <c r="C404" s="20"/>
      <c r="D404" s="21"/>
      <c r="E404" s="3"/>
      <c r="F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spans="1:34" s="2" customFormat="1" x14ac:dyDescent="0.2">
      <c r="A405" s="3"/>
      <c r="B405" s="20"/>
      <c r="C405" s="20"/>
      <c r="D405" s="21"/>
      <c r="E405" s="3"/>
      <c r="F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spans="1:34" s="2" customFormat="1" x14ac:dyDescent="0.2">
      <c r="A406" s="3"/>
      <c r="B406" s="20"/>
      <c r="C406" s="20"/>
      <c r="D406" s="21"/>
      <c r="E406" s="3"/>
      <c r="F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spans="1:34" s="2" customFormat="1" x14ac:dyDescent="0.2">
      <c r="A407" s="3"/>
      <c r="B407" s="20"/>
      <c r="C407" s="20"/>
      <c r="D407" s="21"/>
      <c r="E407" s="3"/>
      <c r="F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spans="1:34" s="2" customFormat="1" x14ac:dyDescent="0.2">
      <c r="A408" s="3"/>
      <c r="B408" s="20"/>
      <c r="C408" s="20"/>
      <c r="D408" s="21"/>
      <c r="E408" s="3"/>
      <c r="F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spans="1:34" s="2" customFormat="1" x14ac:dyDescent="0.2">
      <c r="A409" s="3"/>
      <c r="B409" s="20"/>
      <c r="C409" s="20"/>
      <c r="D409" s="21"/>
      <c r="E409" s="3"/>
      <c r="F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spans="1:34" s="2" customFormat="1" x14ac:dyDescent="0.2">
      <c r="A410" s="3"/>
      <c r="B410" s="20"/>
      <c r="C410" s="20"/>
      <c r="D410" s="21"/>
      <c r="E410" s="21"/>
      <c r="F410" s="2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spans="1:34" s="2" customFormat="1" x14ac:dyDescent="0.2">
      <c r="A411" s="3"/>
      <c r="B411" s="20"/>
      <c r="C411" s="20"/>
      <c r="D411" s="21"/>
      <c r="E411" s="21"/>
      <c r="F411" s="2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spans="1:34" s="2" customFormat="1" x14ac:dyDescent="0.2">
      <c r="A412" s="3"/>
      <c r="B412" s="20"/>
      <c r="C412" s="20"/>
      <c r="D412" s="21"/>
      <c r="E412" s="21"/>
      <c r="F412" s="2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spans="1:34" s="2" customFormat="1" x14ac:dyDescent="0.2">
      <c r="A413" s="3"/>
      <c r="B413" s="20"/>
      <c r="C413" s="20"/>
      <c r="D413" s="21"/>
      <c r="E413" s="21"/>
      <c r="F413" s="2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spans="1:34" s="2" customFormat="1" x14ac:dyDescent="0.2">
      <c r="A414" s="3"/>
      <c r="B414" s="20"/>
      <c r="C414" s="20"/>
      <c r="D414" s="21"/>
      <c r="E414" s="21"/>
      <c r="F414" s="2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spans="1:34" s="2" customFormat="1" x14ac:dyDescent="0.2">
      <c r="A415" s="3"/>
      <c r="B415" s="20"/>
      <c r="C415" s="20"/>
      <c r="D415" s="21"/>
      <c r="E415" s="21"/>
      <c r="F415" s="2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spans="1:34" s="2" customFormat="1" x14ac:dyDescent="0.2">
      <c r="A416" s="3"/>
      <c r="B416" s="20"/>
      <c r="C416" s="20"/>
      <c r="D416" s="21"/>
      <c r="E416" s="21"/>
      <c r="F416" s="2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spans="1:34" s="2" customFormat="1" x14ac:dyDescent="0.2">
      <c r="A417" s="3"/>
      <c r="B417" s="20"/>
      <c r="C417" s="20"/>
      <c r="D417" s="21"/>
      <c r="E417" s="21"/>
      <c r="F417" s="2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spans="1:34" s="2" customFormat="1" x14ac:dyDescent="0.2">
      <c r="A418" s="3"/>
      <c r="B418" s="20"/>
      <c r="C418" s="20"/>
      <c r="D418" s="21"/>
      <c r="E418" s="21"/>
      <c r="F418" s="2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spans="1:34" s="2" customFormat="1" x14ac:dyDescent="0.2">
      <c r="A419" s="3"/>
      <c r="B419" s="20"/>
      <c r="C419" s="20"/>
      <c r="D419" s="21"/>
      <c r="E419" s="21"/>
      <c r="F419" s="2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spans="1:34" s="2" customFormat="1" x14ac:dyDescent="0.2">
      <c r="A420" s="3"/>
      <c r="B420" s="20"/>
      <c r="C420" s="20"/>
      <c r="D420" s="21"/>
      <c r="E420" s="3"/>
      <c r="F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spans="1:34" s="2" customFormat="1" x14ac:dyDescent="0.2">
      <c r="A421" s="3"/>
      <c r="B421" s="20"/>
      <c r="C421" s="20"/>
      <c r="D421" s="21"/>
      <c r="E421" s="3"/>
      <c r="F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spans="1:34" s="2" customFormat="1" x14ac:dyDescent="0.2">
      <c r="A422" s="3"/>
      <c r="B422" s="20"/>
      <c r="C422" s="20"/>
      <c r="D422" s="21"/>
      <c r="E422" s="3"/>
      <c r="F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spans="1:34" s="2" customFormat="1" x14ac:dyDescent="0.2">
      <c r="A423" s="3"/>
      <c r="B423" s="20"/>
      <c r="C423" s="20"/>
      <c r="D423" s="21"/>
      <c r="E423" s="3"/>
      <c r="F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spans="1:34" s="2" customFormat="1" x14ac:dyDescent="0.2">
      <c r="A424" s="3"/>
      <c r="B424" s="20"/>
      <c r="C424" s="20"/>
      <c r="D424" s="21"/>
      <c r="E424" s="3"/>
      <c r="F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spans="1:34" s="2" customFormat="1" x14ac:dyDescent="0.2">
      <c r="A425" s="3"/>
      <c r="B425" s="20"/>
      <c r="C425" s="20"/>
      <c r="D425" s="21"/>
      <c r="E425" s="3"/>
      <c r="F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spans="1:34" s="2" customFormat="1" x14ac:dyDescent="0.2">
      <c r="A426" s="3"/>
      <c r="B426" s="20"/>
      <c r="C426" s="20"/>
      <c r="D426" s="21"/>
      <c r="E426" s="3"/>
      <c r="F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spans="1:34" s="2" customFormat="1" x14ac:dyDescent="0.2">
      <c r="A427" s="3"/>
      <c r="B427" s="20"/>
      <c r="C427" s="20"/>
      <c r="D427" s="21"/>
      <c r="E427" s="3"/>
      <c r="F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spans="1:34" s="2" customFormat="1" x14ac:dyDescent="0.2">
      <c r="A428" s="3"/>
      <c r="B428" s="20"/>
      <c r="C428" s="20"/>
      <c r="D428" s="21"/>
      <c r="E428" s="3"/>
      <c r="F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spans="1:34" s="2" customFormat="1" x14ac:dyDescent="0.2">
      <c r="A429" s="3"/>
      <c r="B429" s="20"/>
      <c r="C429" s="20"/>
      <c r="D429" s="21"/>
      <c r="E429" s="3"/>
      <c r="F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spans="1:34" s="2" customFormat="1" x14ac:dyDescent="0.2">
      <c r="A430" s="3"/>
      <c r="B430" s="20"/>
      <c r="C430" s="20"/>
      <c r="D430" s="21"/>
      <c r="E430" s="3"/>
      <c r="F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spans="1:34" s="2" customFormat="1" x14ac:dyDescent="0.2">
      <c r="A431" s="3"/>
      <c r="B431" s="20"/>
      <c r="C431" s="20"/>
      <c r="D431" s="21"/>
      <c r="E431" s="3"/>
      <c r="F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spans="1:34" s="2" customFormat="1" x14ac:dyDescent="0.2">
      <c r="A432" s="3"/>
      <c r="B432" s="20"/>
      <c r="C432" s="20"/>
      <c r="D432" s="21"/>
      <c r="E432" s="3"/>
      <c r="F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spans="1:34" s="2" customFormat="1" x14ac:dyDescent="0.2">
      <c r="A433" s="3"/>
      <c r="B433" s="20"/>
      <c r="C433" s="20"/>
      <c r="D433" s="21"/>
      <c r="E433" s="3"/>
      <c r="F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spans="1:34" s="2" customFormat="1" x14ac:dyDescent="0.2">
      <c r="A434" s="3"/>
      <c r="B434" s="20"/>
      <c r="C434" s="20"/>
      <c r="D434" s="21"/>
      <c r="E434" s="3"/>
      <c r="F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spans="1:34" s="2" customFormat="1" x14ac:dyDescent="0.2">
      <c r="A435" s="3"/>
      <c r="B435" s="20"/>
      <c r="C435" s="20"/>
      <c r="D435" s="21"/>
      <c r="E435" s="21"/>
      <c r="F435" s="2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spans="1:34" s="2" customFormat="1" x14ac:dyDescent="0.2">
      <c r="A436" s="3"/>
      <c r="B436" s="20"/>
      <c r="C436" s="20"/>
      <c r="D436" s="21"/>
      <c r="E436" s="21"/>
      <c r="F436" s="2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spans="1:34" s="2" customFormat="1" x14ac:dyDescent="0.2">
      <c r="A437" s="3"/>
      <c r="B437" s="20"/>
      <c r="C437" s="20"/>
      <c r="D437" s="21"/>
      <c r="E437" s="21"/>
      <c r="F437" s="2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spans="1:34" s="2" customFormat="1" x14ac:dyDescent="0.2">
      <c r="A438" s="3"/>
      <c r="B438" s="20"/>
      <c r="C438" s="20"/>
      <c r="D438" s="21"/>
      <c r="E438" s="21"/>
      <c r="F438" s="2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spans="1:34" s="2" customFormat="1" x14ac:dyDescent="0.2">
      <c r="A439" s="3"/>
      <c r="B439" s="20"/>
      <c r="C439" s="20"/>
      <c r="D439" s="21"/>
      <c r="E439" s="21"/>
      <c r="F439" s="2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spans="1:34" s="2" customFormat="1" x14ac:dyDescent="0.2">
      <c r="A440" s="3"/>
      <c r="B440" s="20"/>
      <c r="C440" s="20"/>
      <c r="D440" s="21"/>
      <c r="E440" s="21"/>
      <c r="F440" s="2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spans="1:34" s="2" customFormat="1" x14ac:dyDescent="0.2">
      <c r="A441" s="3"/>
      <c r="B441" s="20"/>
      <c r="C441" s="20"/>
      <c r="D441" s="21"/>
      <c r="E441" s="21"/>
      <c r="F441" s="2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spans="1:34" s="2" customFormat="1" x14ac:dyDescent="0.2">
      <c r="A442" s="3"/>
      <c r="B442" s="20"/>
      <c r="C442" s="20"/>
      <c r="D442" s="21"/>
      <c r="E442" s="21"/>
      <c r="F442" s="2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spans="1:34" s="2" customFormat="1" x14ac:dyDescent="0.2">
      <c r="A443" s="3"/>
      <c r="B443" s="20"/>
      <c r="C443" s="20"/>
      <c r="D443" s="21"/>
      <c r="E443" s="21"/>
      <c r="F443" s="2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spans="1:34" s="2" customFormat="1" x14ac:dyDescent="0.2">
      <c r="A444" s="3"/>
      <c r="B444" s="20"/>
      <c r="C444" s="20"/>
      <c r="D444" s="21"/>
      <c r="E444" s="21"/>
      <c r="F444" s="2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spans="1:34" s="2" customFormat="1" x14ac:dyDescent="0.2">
      <c r="A445" s="3"/>
      <c r="B445" s="20"/>
      <c r="C445" s="20"/>
      <c r="D445" s="21"/>
      <c r="E445" s="3"/>
      <c r="F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spans="1:34" s="2" customFormat="1" x14ac:dyDescent="0.2">
      <c r="A446" s="3"/>
      <c r="B446" s="20"/>
      <c r="C446" s="20"/>
      <c r="D446" s="21"/>
      <c r="E446" s="3"/>
      <c r="F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spans="1:34" s="2" customFormat="1" x14ac:dyDescent="0.2">
      <c r="A447" s="3"/>
      <c r="B447" s="20"/>
      <c r="C447" s="20"/>
      <c r="D447" s="21"/>
      <c r="E447" s="3"/>
      <c r="F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spans="1:34" s="2" customFormat="1" x14ac:dyDescent="0.2">
      <c r="A448" s="3"/>
      <c r="B448" s="20"/>
      <c r="C448" s="20"/>
      <c r="D448" s="21"/>
      <c r="E448" s="3"/>
      <c r="F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spans="1:34" s="2" customFormat="1" x14ac:dyDescent="0.2">
      <c r="A449" s="3"/>
      <c r="B449" s="20"/>
      <c r="C449" s="20"/>
      <c r="D449" s="21"/>
      <c r="E449" s="3"/>
      <c r="F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spans="1:34" s="2" customFormat="1" x14ac:dyDescent="0.2">
      <c r="A450" s="3"/>
      <c r="B450" s="20"/>
      <c r="C450" s="20"/>
      <c r="D450" s="21"/>
      <c r="E450" s="3"/>
      <c r="F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spans="1:34" s="2" customFormat="1" x14ac:dyDescent="0.2">
      <c r="A451" s="3"/>
      <c r="B451" s="20"/>
      <c r="C451" s="20"/>
      <c r="D451" s="21"/>
      <c r="E451" s="3"/>
      <c r="F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spans="1:34" s="2" customFormat="1" x14ac:dyDescent="0.2">
      <c r="A452" s="3"/>
      <c r="B452" s="20"/>
      <c r="C452" s="20"/>
      <c r="D452" s="21"/>
      <c r="E452" s="3"/>
      <c r="F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spans="1:34" s="2" customFormat="1" x14ac:dyDescent="0.2">
      <c r="A453" s="3"/>
      <c r="B453" s="20"/>
      <c r="C453" s="20"/>
      <c r="D453" s="21"/>
      <c r="E453" s="3"/>
      <c r="F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spans="1:34" s="2" customFormat="1" x14ac:dyDescent="0.2">
      <c r="A454" s="3"/>
      <c r="B454" s="20"/>
      <c r="C454" s="20"/>
      <c r="D454" s="21"/>
      <c r="E454" s="3"/>
      <c r="F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spans="1:34" s="2" customFormat="1" x14ac:dyDescent="0.2">
      <c r="A455" s="3"/>
      <c r="B455" s="20"/>
      <c r="C455" s="20"/>
      <c r="D455" s="21"/>
      <c r="E455" s="3"/>
      <c r="F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spans="1:34" s="2" customFormat="1" x14ac:dyDescent="0.2">
      <c r="A456" s="3"/>
      <c r="B456" s="20"/>
      <c r="C456" s="20"/>
      <c r="D456" s="21"/>
      <c r="E456" s="3"/>
      <c r="F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spans="1:34" s="2" customFormat="1" x14ac:dyDescent="0.2">
      <c r="A457" s="3"/>
      <c r="B457" s="20"/>
      <c r="C457" s="20"/>
      <c r="D457" s="21"/>
      <c r="E457" s="3"/>
      <c r="F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spans="1:34" s="2" customFormat="1" x14ac:dyDescent="0.2">
      <c r="A458" s="3"/>
      <c r="B458" s="20"/>
      <c r="C458" s="20"/>
      <c r="D458" s="21"/>
      <c r="E458" s="3"/>
      <c r="F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spans="1:34" s="2" customFormat="1" x14ac:dyDescent="0.2">
      <c r="A459" s="3"/>
      <c r="B459" s="20"/>
      <c r="C459" s="20"/>
      <c r="D459" s="21"/>
      <c r="E459" s="3"/>
      <c r="F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spans="1:34" s="2" customFormat="1" x14ac:dyDescent="0.2">
      <c r="A460" s="3"/>
      <c r="B460" s="20"/>
      <c r="C460" s="20"/>
      <c r="D460" s="21"/>
      <c r="E460" s="21"/>
      <c r="F460" s="2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spans="1:34" s="2" customFormat="1" x14ac:dyDescent="0.2">
      <c r="A461" s="3"/>
      <c r="B461" s="20"/>
      <c r="C461" s="20"/>
      <c r="D461" s="21"/>
      <c r="E461" s="21"/>
      <c r="F461" s="2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spans="1:34" s="2" customFormat="1" x14ac:dyDescent="0.2">
      <c r="A462" s="3"/>
      <c r="B462" s="20"/>
      <c r="C462" s="20"/>
      <c r="D462" s="21"/>
      <c r="E462" s="21"/>
      <c r="F462" s="2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spans="1:34" s="2" customFormat="1" x14ac:dyDescent="0.2">
      <c r="A463" s="3"/>
      <c r="B463" s="20"/>
      <c r="C463" s="20"/>
      <c r="D463" s="21"/>
      <c r="E463" s="21"/>
      <c r="F463" s="2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spans="1:34" s="2" customFormat="1" x14ac:dyDescent="0.2">
      <c r="A464" s="3"/>
      <c r="B464" s="20"/>
      <c r="C464" s="20"/>
      <c r="D464" s="21"/>
      <c r="E464" s="21"/>
      <c r="F464" s="2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spans="1:34" s="2" customFormat="1" x14ac:dyDescent="0.2">
      <c r="A465" s="3"/>
      <c r="B465" s="20"/>
      <c r="C465" s="20"/>
      <c r="D465" s="21"/>
      <c r="E465" s="21"/>
      <c r="F465" s="2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spans="1:34" s="2" customFormat="1" x14ac:dyDescent="0.2">
      <c r="A466" s="3"/>
      <c r="B466" s="20"/>
      <c r="C466" s="20"/>
      <c r="D466" s="21"/>
      <c r="E466" s="21"/>
      <c r="F466" s="2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spans="1:34" s="2" customFormat="1" x14ac:dyDescent="0.2">
      <c r="A467" s="3"/>
      <c r="B467" s="20"/>
      <c r="C467" s="20"/>
      <c r="D467" s="21"/>
      <c r="E467" s="21"/>
      <c r="F467" s="2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spans="1:34" s="2" customFormat="1" x14ac:dyDescent="0.2">
      <c r="A468" s="3"/>
      <c r="B468" s="20"/>
      <c r="C468" s="20"/>
      <c r="D468" s="21"/>
      <c r="E468" s="21"/>
      <c r="F468" s="2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spans="1:34" s="2" customFormat="1" x14ac:dyDescent="0.2">
      <c r="A469" s="3"/>
      <c r="B469" s="20"/>
      <c r="C469" s="20"/>
      <c r="D469" s="21"/>
      <c r="E469" s="21"/>
      <c r="F469" s="2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spans="1:34" s="2" customFormat="1" x14ac:dyDescent="0.2">
      <c r="A470" s="3"/>
      <c r="B470" s="20"/>
      <c r="C470" s="20"/>
      <c r="D470" s="21"/>
      <c r="E470" s="3"/>
      <c r="F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spans="1:34" s="2" customFormat="1" x14ac:dyDescent="0.2">
      <c r="A471" s="3"/>
      <c r="B471" s="20"/>
      <c r="C471" s="20"/>
      <c r="D471" s="21"/>
      <c r="E471" s="3"/>
      <c r="F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spans="1:34" s="2" customFormat="1" x14ac:dyDescent="0.2">
      <c r="A472" s="3"/>
      <c r="B472" s="20"/>
      <c r="C472" s="20"/>
      <c r="D472" s="21"/>
      <c r="E472" s="3"/>
      <c r="F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spans="1:34" s="2" customFormat="1" x14ac:dyDescent="0.2">
      <c r="A473" s="3"/>
      <c r="B473" s="20"/>
      <c r="C473" s="20"/>
      <c r="D473" s="21"/>
      <c r="E473" s="3"/>
      <c r="F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spans="1:34" s="2" customFormat="1" x14ac:dyDescent="0.2">
      <c r="A474" s="3"/>
      <c r="B474" s="20"/>
      <c r="C474" s="20"/>
      <c r="D474" s="21"/>
      <c r="E474" s="3"/>
      <c r="F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spans="1:34" s="2" customFormat="1" x14ac:dyDescent="0.2">
      <c r="A475" s="3"/>
      <c r="B475" s="20"/>
      <c r="C475" s="20"/>
      <c r="D475" s="21"/>
      <c r="E475" s="3"/>
      <c r="F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spans="1:34" s="2" customFormat="1" x14ac:dyDescent="0.2">
      <c r="A476" s="3"/>
      <c r="B476" s="20"/>
      <c r="C476" s="20"/>
      <c r="D476" s="21"/>
      <c r="E476" s="3"/>
      <c r="F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spans="1:34" s="2" customFormat="1" x14ac:dyDescent="0.2">
      <c r="A477" s="3"/>
      <c r="B477" s="20"/>
      <c r="C477" s="20"/>
      <c r="D477" s="21"/>
      <c r="E477" s="3"/>
      <c r="F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spans="1:34" s="2" customFormat="1" x14ac:dyDescent="0.2">
      <c r="A478" s="3"/>
      <c r="B478" s="20"/>
      <c r="C478" s="20"/>
      <c r="D478" s="21"/>
      <c r="E478" s="3"/>
      <c r="F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spans="1:34" s="2" customFormat="1" x14ac:dyDescent="0.2">
      <c r="A479" s="3"/>
      <c r="B479" s="20"/>
      <c r="C479" s="20"/>
      <c r="D479" s="21"/>
      <c r="E479" s="3"/>
      <c r="F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spans="1:34" s="2" customFormat="1" x14ac:dyDescent="0.2">
      <c r="A480" s="3"/>
      <c r="B480" s="20"/>
      <c r="C480" s="20"/>
      <c r="D480" s="21"/>
      <c r="E480" s="3"/>
      <c r="F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spans="1:34" s="2" customFormat="1" x14ac:dyDescent="0.2">
      <c r="A481" s="3"/>
      <c r="B481" s="20"/>
      <c r="C481" s="20"/>
      <c r="D481" s="21"/>
      <c r="E481" s="3"/>
      <c r="F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spans="1:34" s="2" customFormat="1" x14ac:dyDescent="0.2">
      <c r="A482" s="3"/>
      <c r="B482" s="20"/>
      <c r="C482" s="20"/>
      <c r="D482" s="21"/>
      <c r="E482" s="3"/>
      <c r="F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spans="1:34" s="2" customFormat="1" x14ac:dyDescent="0.2">
      <c r="A483" s="3"/>
      <c r="B483" s="20"/>
      <c r="C483" s="20"/>
      <c r="D483" s="21"/>
      <c r="E483" s="3"/>
      <c r="F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spans="1:34" s="2" customFormat="1" x14ac:dyDescent="0.2">
      <c r="A484" s="3"/>
      <c r="B484" s="20"/>
      <c r="C484" s="20"/>
      <c r="D484" s="21"/>
      <c r="E484" s="3"/>
      <c r="F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spans="1:34" s="2" customFormat="1" x14ac:dyDescent="0.2">
      <c r="A485" s="3"/>
      <c r="B485" s="20"/>
      <c r="C485" s="20"/>
      <c r="D485" s="21"/>
      <c r="E485" s="21"/>
      <c r="F485" s="2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spans="1:34" s="2" customFormat="1" x14ac:dyDescent="0.2">
      <c r="A486" s="3"/>
      <c r="B486" s="20"/>
      <c r="C486" s="20"/>
      <c r="D486" s="21"/>
      <c r="E486" s="21"/>
      <c r="F486" s="2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spans="1:34" s="2" customFormat="1" x14ac:dyDescent="0.2">
      <c r="A487" s="3"/>
      <c r="B487" s="20"/>
      <c r="C487" s="20"/>
      <c r="D487" s="21"/>
      <c r="E487" s="21"/>
      <c r="F487" s="2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spans="1:34" s="2" customFormat="1" x14ac:dyDescent="0.2">
      <c r="A488" s="3"/>
      <c r="B488" s="20"/>
      <c r="C488" s="20"/>
      <c r="D488" s="21"/>
      <c r="E488" s="21"/>
      <c r="F488" s="2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spans="1:34" s="2" customFormat="1" x14ac:dyDescent="0.2">
      <c r="A489" s="3"/>
      <c r="B489" s="20"/>
      <c r="C489" s="20"/>
      <c r="D489" s="21"/>
      <c r="E489" s="21"/>
      <c r="F489" s="2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spans="1:34" s="2" customFormat="1" x14ac:dyDescent="0.2">
      <c r="A490" s="3"/>
      <c r="B490" s="20"/>
      <c r="C490" s="20"/>
      <c r="D490" s="21"/>
      <c r="E490" s="21"/>
      <c r="F490" s="2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spans="1:34" s="2" customFormat="1" x14ac:dyDescent="0.2">
      <c r="A491" s="3"/>
      <c r="B491" s="20"/>
      <c r="C491" s="20"/>
      <c r="D491" s="21"/>
      <c r="E491" s="21"/>
      <c r="F491" s="2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spans="1:34" s="2" customFormat="1" x14ac:dyDescent="0.2">
      <c r="A492" s="3"/>
      <c r="B492" s="20"/>
      <c r="C492" s="20"/>
      <c r="D492" s="21"/>
      <c r="E492" s="21"/>
      <c r="F492" s="2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spans="1:34" s="2" customFormat="1" x14ac:dyDescent="0.2">
      <c r="A493" s="3"/>
      <c r="B493" s="20"/>
      <c r="C493" s="20"/>
      <c r="D493" s="21"/>
      <c r="E493" s="21"/>
      <c r="F493" s="2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spans="1:34" s="2" customFormat="1" x14ac:dyDescent="0.2">
      <c r="A494" s="3"/>
      <c r="B494" s="20"/>
      <c r="C494" s="20"/>
      <c r="D494" s="21"/>
      <c r="E494" s="3"/>
      <c r="F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spans="1:34" s="2" customFormat="1" x14ac:dyDescent="0.2">
      <c r="A495" s="3"/>
      <c r="B495" s="20"/>
      <c r="C495" s="20"/>
      <c r="D495" s="21"/>
      <c r="E495" s="3"/>
      <c r="F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spans="1:34" s="2" customFormat="1" x14ac:dyDescent="0.2">
      <c r="A496" s="3"/>
      <c r="B496" s="20"/>
      <c r="C496" s="20"/>
      <c r="D496" s="21"/>
      <c r="E496" s="3"/>
      <c r="F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spans="1:34" s="2" customFormat="1" x14ac:dyDescent="0.2">
      <c r="A497" s="3"/>
      <c r="B497" s="20"/>
      <c r="C497" s="20"/>
      <c r="D497" s="21"/>
      <c r="E497" s="3"/>
      <c r="F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spans="1:34" s="2" customFormat="1" x14ac:dyDescent="0.2">
      <c r="A498" s="3"/>
      <c r="B498" s="20"/>
      <c r="C498" s="20"/>
      <c r="D498" s="21"/>
      <c r="E498" s="3"/>
      <c r="F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spans="1:34" s="2" customFormat="1" x14ac:dyDescent="0.2">
      <c r="A499" s="3"/>
      <c r="B499" s="20"/>
      <c r="C499" s="20"/>
      <c r="D499" s="21"/>
      <c r="E499" s="3"/>
      <c r="F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spans="1:34" s="2" customFormat="1" x14ac:dyDescent="0.2">
      <c r="A500" s="3"/>
      <c r="B500" s="20"/>
      <c r="C500" s="20"/>
      <c r="D500" s="21"/>
      <c r="E500" s="3"/>
      <c r="F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spans="1:34" s="2" customFormat="1" x14ac:dyDescent="0.2">
      <c r="A501" s="3"/>
      <c r="B501" s="20"/>
      <c r="C501" s="20"/>
      <c r="D501" s="21"/>
      <c r="E501" s="3"/>
      <c r="F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spans="1:34" s="2" customFormat="1" x14ac:dyDescent="0.2">
      <c r="A502" s="3"/>
      <c r="B502" s="20"/>
      <c r="C502" s="20"/>
      <c r="D502" s="21"/>
      <c r="E502" s="3"/>
      <c r="F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spans="1:34" s="2" customFormat="1" x14ac:dyDescent="0.2">
      <c r="A503" s="3"/>
      <c r="B503" s="20"/>
      <c r="C503" s="20"/>
      <c r="D503" s="21"/>
      <c r="E503" s="3"/>
      <c r="F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spans="1:34" s="2" customFormat="1" x14ac:dyDescent="0.2">
      <c r="A504" s="3"/>
      <c r="B504" s="20"/>
      <c r="C504" s="20"/>
      <c r="D504" s="21"/>
      <c r="E504" s="3"/>
      <c r="F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spans="1:34" s="2" customFormat="1" x14ac:dyDescent="0.2">
      <c r="A505" s="3"/>
      <c r="B505" s="20"/>
      <c r="C505" s="20"/>
      <c r="D505" s="21"/>
      <c r="E505" s="3"/>
      <c r="F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spans="1:34" s="2" customFormat="1" x14ac:dyDescent="0.2">
      <c r="A506" s="3"/>
      <c r="B506" s="20"/>
      <c r="C506" s="20"/>
      <c r="D506" s="21"/>
      <c r="E506" s="3"/>
      <c r="F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spans="1:34" s="2" customFormat="1" x14ac:dyDescent="0.2">
      <c r="A507" s="3"/>
      <c r="B507" s="20"/>
      <c r="C507" s="20"/>
      <c r="D507" s="21"/>
      <c r="E507" s="3"/>
      <c r="F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spans="1:34" s="2" customFormat="1" x14ac:dyDescent="0.2">
      <c r="A508" s="3"/>
      <c r="B508" s="20"/>
      <c r="C508" s="20"/>
      <c r="D508" s="21"/>
      <c r="E508" s="3"/>
      <c r="F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spans="1:34" s="2" customFormat="1" x14ac:dyDescent="0.2">
      <c r="A509" s="3"/>
      <c r="B509" s="20"/>
      <c r="C509" s="20"/>
      <c r="D509" s="21"/>
      <c r="E509" s="3"/>
      <c r="F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spans="1:34" s="2" customFormat="1" x14ac:dyDescent="0.2">
      <c r="A510" s="3"/>
      <c r="B510" s="20"/>
      <c r="C510" s="20"/>
      <c r="D510" s="21"/>
      <c r="E510" s="21"/>
      <c r="F510" s="2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spans="1:34" s="2" customFormat="1" x14ac:dyDescent="0.2">
      <c r="A511" s="3"/>
      <c r="B511" s="20"/>
      <c r="C511" s="20"/>
      <c r="D511" s="21"/>
      <c r="E511" s="21"/>
      <c r="F511" s="2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spans="1:34" s="2" customFormat="1" x14ac:dyDescent="0.2">
      <c r="A512" s="3"/>
      <c r="B512" s="20"/>
      <c r="C512" s="20"/>
      <c r="D512" s="21"/>
      <c r="E512" s="21"/>
      <c r="F512" s="2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spans="1:34" s="2" customFormat="1" x14ac:dyDescent="0.2">
      <c r="A513" s="3"/>
      <c r="B513" s="20"/>
      <c r="C513" s="20"/>
      <c r="D513" s="21"/>
      <c r="E513" s="21"/>
      <c r="F513" s="2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spans="1:34" s="2" customFormat="1" x14ac:dyDescent="0.2">
      <c r="A514" s="3"/>
      <c r="B514" s="20"/>
      <c r="C514" s="20"/>
      <c r="D514" s="21"/>
      <c r="E514" s="21"/>
      <c r="F514" s="2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spans="1:34" s="2" customFormat="1" x14ac:dyDescent="0.2">
      <c r="A515" s="3"/>
      <c r="B515" s="20"/>
      <c r="C515" s="20"/>
      <c r="D515" s="21"/>
      <c r="E515" s="21"/>
      <c r="F515" s="2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spans="1:34" s="2" customFormat="1" x14ac:dyDescent="0.2">
      <c r="A516" s="3"/>
      <c r="B516" s="20"/>
      <c r="C516" s="20"/>
      <c r="D516" s="21"/>
      <c r="E516" s="21"/>
      <c r="F516" s="2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spans="1:34" s="2" customFormat="1" x14ac:dyDescent="0.2">
      <c r="A517" s="3"/>
      <c r="B517" s="20"/>
      <c r="C517" s="20"/>
      <c r="D517" s="21"/>
      <c r="E517" s="21"/>
      <c r="F517" s="2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spans="1:34" s="2" customFormat="1" x14ac:dyDescent="0.2">
      <c r="A518" s="3"/>
      <c r="B518" s="20"/>
      <c r="C518" s="20"/>
      <c r="D518" s="21"/>
      <c r="E518" s="3"/>
      <c r="F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spans="1:34" s="2" customFormat="1" x14ac:dyDescent="0.2">
      <c r="A519" s="3"/>
      <c r="B519" s="20"/>
      <c r="C519" s="20"/>
      <c r="D519" s="21"/>
      <c r="E519" s="3"/>
      <c r="F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spans="1:34" s="2" customFormat="1" x14ac:dyDescent="0.2">
      <c r="A520" s="3"/>
      <c r="B520" s="20"/>
      <c r="C520" s="20"/>
      <c r="D520" s="21"/>
      <c r="E520" s="3"/>
      <c r="F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spans="1:34" s="2" customFormat="1" x14ac:dyDescent="0.2">
      <c r="A521" s="3"/>
      <c r="B521" s="20"/>
      <c r="C521" s="20"/>
      <c r="D521" s="21"/>
      <c r="E521" s="3"/>
      <c r="F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spans="1:34" s="2" customFormat="1" x14ac:dyDescent="0.2">
      <c r="A522" s="3"/>
      <c r="B522" s="20"/>
      <c r="C522" s="20"/>
      <c r="D522" s="21"/>
      <c r="E522" s="3"/>
      <c r="F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spans="1:34" s="2" customFormat="1" x14ac:dyDescent="0.2">
      <c r="A523" s="3"/>
      <c r="B523" s="20"/>
      <c r="C523" s="20"/>
      <c r="D523" s="21"/>
      <c r="E523" s="3"/>
      <c r="F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spans="1:34" s="2" customFormat="1" x14ac:dyDescent="0.2">
      <c r="A524" s="3"/>
      <c r="B524" s="20"/>
      <c r="C524" s="20"/>
      <c r="D524" s="21"/>
      <c r="E524" s="3"/>
      <c r="F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spans="1:34" s="2" customFormat="1" x14ac:dyDescent="0.2">
      <c r="A525" s="3"/>
      <c r="B525" s="20"/>
      <c r="C525" s="20"/>
      <c r="D525" s="21"/>
      <c r="E525" s="3"/>
      <c r="F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spans="1:34" s="2" customFormat="1" x14ac:dyDescent="0.2">
      <c r="A526" s="3"/>
      <c r="B526" s="20"/>
      <c r="C526" s="20"/>
      <c r="D526" s="21"/>
      <c r="E526" s="3"/>
      <c r="F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spans="1:34" s="2" customFormat="1" x14ac:dyDescent="0.2">
      <c r="A527" s="3"/>
      <c r="B527" s="20"/>
      <c r="C527" s="20"/>
      <c r="D527" s="21"/>
      <c r="E527" s="3"/>
      <c r="F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spans="1:34" s="2" customFormat="1" x14ac:dyDescent="0.2">
      <c r="A528" s="3"/>
      <c r="B528" s="20"/>
      <c r="C528" s="20"/>
      <c r="D528" s="21"/>
      <c r="E528" s="3"/>
      <c r="F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spans="1:34" s="2" customFormat="1" x14ac:dyDescent="0.2">
      <c r="A529" s="3"/>
      <c r="B529" s="20"/>
      <c r="C529" s="20"/>
      <c r="D529" s="21"/>
      <c r="E529" s="3"/>
      <c r="F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spans="1:34" s="2" customFormat="1" x14ac:dyDescent="0.2">
      <c r="A530" s="3"/>
      <c r="B530" s="20"/>
      <c r="C530" s="20"/>
      <c r="D530" s="21"/>
      <c r="E530" s="3"/>
      <c r="F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spans="1:34" s="2" customFormat="1" x14ac:dyDescent="0.2">
      <c r="A531" s="3"/>
      <c r="B531" s="20"/>
      <c r="C531" s="20"/>
      <c r="D531" s="21"/>
      <c r="E531" s="3"/>
      <c r="F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spans="1:34" s="2" customFormat="1" x14ac:dyDescent="0.2">
      <c r="A532" s="3"/>
      <c r="B532" s="20"/>
      <c r="C532" s="20"/>
      <c r="D532" s="21"/>
      <c r="E532" s="3"/>
      <c r="F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spans="1:34" s="2" customFormat="1" x14ac:dyDescent="0.2">
      <c r="A533" s="3"/>
      <c r="B533" s="20"/>
      <c r="C533" s="20"/>
      <c r="D533" s="21"/>
      <c r="E533" s="3"/>
      <c r="F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spans="1:34" s="2" customFormat="1" x14ac:dyDescent="0.2">
      <c r="A534" s="3"/>
      <c r="B534" s="20"/>
      <c r="C534" s="20"/>
      <c r="D534" s="21"/>
      <c r="E534" s="3"/>
      <c r="F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spans="1:34" s="2" customFormat="1" x14ac:dyDescent="0.2">
      <c r="A535" s="3"/>
      <c r="B535" s="20"/>
      <c r="C535" s="20"/>
      <c r="D535" s="21"/>
      <c r="E535" s="21"/>
      <c r="F535" s="2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spans="1:34" s="2" customFormat="1" x14ac:dyDescent="0.2">
      <c r="A536" s="3"/>
      <c r="B536" s="20"/>
      <c r="C536" s="20"/>
      <c r="D536" s="21"/>
      <c r="E536" s="21"/>
      <c r="F536" s="2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spans="1:34" s="2" customFormat="1" x14ac:dyDescent="0.2">
      <c r="A537" s="3"/>
      <c r="B537" s="20"/>
      <c r="C537" s="20"/>
      <c r="D537" s="21"/>
      <c r="E537" s="21"/>
      <c r="F537" s="2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spans="1:34" s="2" customFormat="1" x14ac:dyDescent="0.2">
      <c r="A538" s="3"/>
      <c r="B538" s="20"/>
      <c r="C538" s="20"/>
      <c r="D538" s="21"/>
      <c r="E538" s="21"/>
      <c r="F538" s="2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spans="1:34" s="2" customFormat="1" x14ac:dyDescent="0.2">
      <c r="A539" s="3"/>
      <c r="B539" s="20"/>
      <c r="C539" s="20"/>
      <c r="D539" s="21"/>
      <c r="E539" s="21"/>
      <c r="F539" s="2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spans="1:34" s="2" customFormat="1" x14ac:dyDescent="0.2">
      <c r="A540" s="3"/>
      <c r="B540" s="20"/>
      <c r="C540" s="20"/>
      <c r="D540" s="21"/>
      <c r="E540" s="21"/>
      <c r="F540" s="2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spans="1:34" s="2" customFormat="1" x14ac:dyDescent="0.2">
      <c r="A541" s="3"/>
      <c r="B541" s="20"/>
      <c r="C541" s="20"/>
      <c r="D541" s="21"/>
      <c r="E541" s="21"/>
      <c r="F541" s="2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spans="1:34" s="2" customFormat="1" x14ac:dyDescent="0.2">
      <c r="A542" s="3"/>
      <c r="B542" s="20"/>
      <c r="C542" s="20"/>
      <c r="D542" s="21"/>
      <c r="E542" s="3"/>
      <c r="F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spans="1:34" s="2" customFormat="1" x14ac:dyDescent="0.2">
      <c r="A543" s="3"/>
      <c r="B543" s="20"/>
      <c r="C543" s="20"/>
      <c r="D543" s="21"/>
      <c r="E543" s="3"/>
      <c r="F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spans="1:34" s="2" customFormat="1" x14ac:dyDescent="0.2">
      <c r="A544" s="3"/>
      <c r="B544" s="20"/>
      <c r="C544" s="20"/>
      <c r="D544" s="21"/>
      <c r="E544" s="3"/>
      <c r="F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spans="1:34" s="2" customFormat="1" x14ac:dyDescent="0.2">
      <c r="A545" s="3"/>
      <c r="B545" s="20"/>
      <c r="C545" s="20"/>
      <c r="D545" s="21"/>
      <c r="E545" s="3"/>
      <c r="F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spans="1:34" s="2" customFormat="1" x14ac:dyDescent="0.2">
      <c r="A546" s="3"/>
      <c r="B546" s="20"/>
      <c r="C546" s="20"/>
      <c r="D546" s="21"/>
      <c r="E546" s="3"/>
      <c r="F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spans="1:34" s="2" customFormat="1" x14ac:dyDescent="0.2">
      <c r="A547" s="3"/>
      <c r="B547" s="20"/>
      <c r="C547" s="20"/>
      <c r="D547" s="21"/>
      <c r="E547" s="3"/>
      <c r="F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spans="1:34" s="2" customFormat="1" x14ac:dyDescent="0.2">
      <c r="A548" s="3"/>
      <c r="B548" s="20"/>
      <c r="C548" s="20"/>
      <c r="D548" s="21"/>
      <c r="E548" s="3"/>
      <c r="F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spans="1:34" s="2" customFormat="1" x14ac:dyDescent="0.2">
      <c r="A549" s="3"/>
      <c r="B549" s="20"/>
      <c r="C549" s="20"/>
      <c r="D549" s="21"/>
      <c r="E549" s="3"/>
      <c r="F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spans="1:34" s="2" customFormat="1" x14ac:dyDescent="0.2">
      <c r="A550" s="3"/>
      <c r="B550" s="20"/>
      <c r="C550" s="20"/>
      <c r="D550" s="21"/>
      <c r="E550" s="3"/>
      <c r="F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spans="1:34" s="2" customFormat="1" x14ac:dyDescent="0.2">
      <c r="A551" s="3"/>
      <c r="B551" s="20"/>
      <c r="C551" s="20"/>
      <c r="D551" s="21"/>
      <c r="E551" s="3"/>
      <c r="F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spans="1:34" s="2" customFormat="1" x14ac:dyDescent="0.2">
      <c r="A552" s="3"/>
      <c r="B552" s="20"/>
      <c r="C552" s="20"/>
      <c r="D552" s="21"/>
      <c r="E552" s="3"/>
      <c r="F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spans="1:34" s="2" customFormat="1" x14ac:dyDescent="0.2">
      <c r="A553" s="3"/>
      <c r="B553" s="20"/>
      <c r="C553" s="20"/>
      <c r="D553" s="21"/>
      <c r="E553" s="3"/>
      <c r="F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spans="1:34" s="2" customFormat="1" x14ac:dyDescent="0.2">
      <c r="A554" s="3"/>
      <c r="B554" s="20"/>
      <c r="C554" s="20"/>
      <c r="D554" s="21"/>
      <c r="E554" s="3"/>
      <c r="F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spans="1:34" s="2" customFormat="1" x14ac:dyDescent="0.2">
      <c r="A555" s="3"/>
      <c r="B555" s="20"/>
      <c r="C555" s="20"/>
      <c r="D555" s="21"/>
      <c r="E555" s="3"/>
      <c r="F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spans="1:34" s="2" customFormat="1" x14ac:dyDescent="0.2">
      <c r="A556" s="3"/>
      <c r="B556" s="20"/>
      <c r="C556" s="20"/>
      <c r="D556" s="21"/>
      <c r="E556" s="3"/>
      <c r="F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spans="1:34" s="2" customFormat="1" x14ac:dyDescent="0.2">
      <c r="A557" s="3"/>
      <c r="B557" s="20"/>
      <c r="C557" s="20"/>
      <c r="D557" s="21"/>
      <c r="E557" s="3"/>
      <c r="F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spans="1:34" s="2" customFormat="1" x14ac:dyDescent="0.2">
      <c r="A558" s="3"/>
      <c r="B558" s="20"/>
      <c r="C558" s="20"/>
      <c r="D558" s="21"/>
      <c r="E558" s="3"/>
      <c r="F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spans="1:34" s="2" customFormat="1" x14ac:dyDescent="0.2">
      <c r="A559" s="3"/>
      <c r="B559" s="20"/>
      <c r="C559" s="20"/>
      <c r="D559" s="21"/>
      <c r="E559" s="3"/>
      <c r="F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spans="1:34" s="2" customFormat="1" x14ac:dyDescent="0.2">
      <c r="A560" s="3"/>
      <c r="B560" s="20"/>
      <c r="C560" s="20"/>
      <c r="D560" s="21"/>
      <c r="E560" s="21"/>
      <c r="F560" s="2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spans="1:34" s="2" customFormat="1" x14ac:dyDescent="0.2">
      <c r="A561" s="3"/>
      <c r="B561" s="20"/>
      <c r="C561" s="20"/>
      <c r="D561" s="21"/>
      <c r="E561" s="21"/>
      <c r="F561" s="2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spans="1:34" s="2" customFormat="1" x14ac:dyDescent="0.2">
      <c r="A562" s="3"/>
      <c r="B562" s="20"/>
      <c r="C562" s="20"/>
      <c r="D562" s="21"/>
      <c r="E562" s="21"/>
      <c r="F562" s="2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spans="1:34" s="2" customFormat="1" x14ac:dyDescent="0.2">
      <c r="A563" s="3"/>
      <c r="B563" s="20"/>
      <c r="C563" s="20"/>
      <c r="D563" s="21"/>
      <c r="E563" s="21"/>
      <c r="F563" s="2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spans="1:34" s="2" customFormat="1" x14ac:dyDescent="0.2">
      <c r="A564" s="3"/>
      <c r="B564" s="20"/>
      <c r="C564" s="20"/>
      <c r="D564" s="21"/>
      <c r="E564" s="21"/>
      <c r="F564" s="2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spans="1:34" s="2" customFormat="1" x14ac:dyDescent="0.2">
      <c r="A565" s="3"/>
      <c r="B565" s="20"/>
      <c r="C565" s="20"/>
      <c r="D565" s="21"/>
      <c r="E565" s="21"/>
      <c r="F565" s="2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spans="1:34" s="2" customFormat="1" x14ac:dyDescent="0.2">
      <c r="A566" s="3"/>
      <c r="B566" s="20"/>
      <c r="C566" s="20"/>
      <c r="D566" s="21"/>
      <c r="E566" s="3"/>
      <c r="F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spans="1:34" s="2" customFormat="1" x14ac:dyDescent="0.2">
      <c r="A567" s="3"/>
      <c r="B567" s="20"/>
      <c r="C567" s="20"/>
      <c r="D567" s="21"/>
      <c r="E567" s="3"/>
      <c r="F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spans="1:34" s="2" customFormat="1" x14ac:dyDescent="0.2">
      <c r="A568" s="3"/>
      <c r="B568" s="20"/>
      <c r="C568" s="20"/>
      <c r="D568" s="21"/>
      <c r="E568" s="3"/>
      <c r="F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spans="1:34" s="2" customFormat="1" x14ac:dyDescent="0.2">
      <c r="A569" s="3"/>
      <c r="B569" s="20"/>
      <c r="C569" s="20"/>
      <c r="D569" s="21"/>
      <c r="E569" s="3"/>
      <c r="F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spans="1:34" s="2" customFormat="1" x14ac:dyDescent="0.2">
      <c r="A570" s="3"/>
      <c r="B570" s="20"/>
      <c r="C570" s="20"/>
      <c r="D570" s="21"/>
      <c r="E570" s="3"/>
      <c r="F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spans="1:34" s="2" customFormat="1" x14ac:dyDescent="0.2">
      <c r="A571" s="3"/>
      <c r="B571" s="20"/>
      <c r="C571" s="20"/>
      <c r="D571" s="21"/>
      <c r="E571" s="3"/>
      <c r="F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spans="1:34" s="2" customFormat="1" x14ac:dyDescent="0.2">
      <c r="A572" s="3"/>
      <c r="B572" s="20"/>
      <c r="C572" s="20"/>
      <c r="D572" s="21"/>
      <c r="E572" s="3"/>
      <c r="F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spans="1:34" s="2" customFormat="1" x14ac:dyDescent="0.2">
      <c r="A573" s="3"/>
      <c r="B573" s="20"/>
      <c r="C573" s="20"/>
      <c r="D573" s="21"/>
      <c r="E573" s="3"/>
      <c r="F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spans="1:34" s="2" customFormat="1" x14ac:dyDescent="0.2">
      <c r="A574" s="3"/>
      <c r="B574" s="20"/>
      <c r="C574" s="20"/>
      <c r="D574" s="21"/>
      <c r="E574" s="3"/>
      <c r="F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spans="1:34" s="2" customFormat="1" x14ac:dyDescent="0.2">
      <c r="A575" s="3"/>
      <c r="B575" s="20"/>
      <c r="C575" s="20"/>
      <c r="D575" s="21"/>
      <c r="E575" s="3"/>
      <c r="F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spans="1:34" s="2" customFormat="1" x14ac:dyDescent="0.2">
      <c r="A576" s="3"/>
      <c r="B576" s="20"/>
      <c r="C576" s="20"/>
      <c r="D576" s="21"/>
      <c r="E576" s="3"/>
      <c r="F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spans="1:34" s="2" customFormat="1" x14ac:dyDescent="0.2">
      <c r="A577" s="3"/>
      <c r="B577" s="20"/>
      <c r="C577" s="20"/>
      <c r="D577" s="21"/>
      <c r="E577" s="3"/>
      <c r="F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spans="1:34" s="2" customFormat="1" x14ac:dyDescent="0.2">
      <c r="A578" s="3"/>
      <c r="B578" s="20"/>
      <c r="C578" s="20"/>
      <c r="D578" s="21"/>
      <c r="E578" s="3"/>
      <c r="F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spans="1:34" s="2" customFormat="1" x14ac:dyDescent="0.2">
      <c r="A579" s="3"/>
      <c r="B579" s="20"/>
      <c r="C579" s="20"/>
      <c r="D579" s="21"/>
      <c r="E579" s="3"/>
      <c r="F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spans="1:34" s="2" customFormat="1" x14ac:dyDescent="0.2">
      <c r="A580" s="3"/>
      <c r="B580" s="20"/>
      <c r="C580" s="20"/>
      <c r="D580" s="21"/>
      <c r="E580" s="3"/>
      <c r="F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spans="1:34" s="2" customFormat="1" x14ac:dyDescent="0.2">
      <c r="A581" s="3"/>
      <c r="B581" s="20"/>
      <c r="C581" s="20"/>
      <c r="D581" s="21"/>
      <c r="E581" s="3"/>
      <c r="F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spans="1:34" s="2" customFormat="1" x14ac:dyDescent="0.2">
      <c r="A582" s="3"/>
      <c r="B582" s="20"/>
      <c r="C582" s="20"/>
      <c r="D582" s="21"/>
      <c r="E582" s="3"/>
      <c r="F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spans="1:34" s="2" customFormat="1" x14ac:dyDescent="0.2">
      <c r="A583" s="3"/>
      <c r="B583" s="20"/>
      <c r="C583" s="20"/>
      <c r="D583" s="21"/>
      <c r="E583" s="3"/>
      <c r="F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spans="1:34" s="2" customFormat="1" x14ac:dyDescent="0.2">
      <c r="A584" s="3"/>
      <c r="B584" s="20"/>
      <c r="C584" s="20"/>
      <c r="D584" s="21"/>
      <c r="E584" s="3"/>
      <c r="F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spans="1:34" s="2" customFormat="1" x14ac:dyDescent="0.2">
      <c r="A585" s="3"/>
      <c r="B585" s="20"/>
      <c r="C585" s="20"/>
      <c r="D585" s="21"/>
      <c r="E585" s="21"/>
      <c r="F585" s="2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spans="1:34" s="2" customFormat="1" x14ac:dyDescent="0.2">
      <c r="A586" s="3"/>
      <c r="B586" s="20"/>
      <c r="C586" s="20"/>
      <c r="D586" s="21"/>
      <c r="E586" s="21"/>
      <c r="F586" s="2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spans="1:34" s="2" customFormat="1" x14ac:dyDescent="0.2">
      <c r="A587" s="3"/>
      <c r="B587" s="20"/>
      <c r="C587" s="20"/>
      <c r="D587" s="21"/>
      <c r="E587" s="21"/>
      <c r="F587" s="2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spans="1:34" s="2" customFormat="1" x14ac:dyDescent="0.2">
      <c r="A588" s="3"/>
      <c r="B588" s="20"/>
      <c r="C588" s="20"/>
      <c r="D588" s="21"/>
      <c r="E588" s="21"/>
      <c r="F588" s="2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spans="1:34" s="2" customFormat="1" x14ac:dyDescent="0.2">
      <c r="A589" s="3"/>
      <c r="B589" s="20"/>
      <c r="C589" s="20"/>
      <c r="D589" s="21"/>
      <c r="E589" s="21"/>
      <c r="F589" s="2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spans="1:34" s="2" customFormat="1" x14ac:dyDescent="0.2">
      <c r="A590" s="3"/>
      <c r="B590" s="20"/>
      <c r="C590" s="20"/>
      <c r="D590" s="21"/>
      <c r="E590" s="3"/>
      <c r="F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spans="1:34" s="2" customFormat="1" x14ac:dyDescent="0.2">
      <c r="A591" s="3"/>
      <c r="B591" s="20"/>
      <c r="C591" s="20"/>
      <c r="D591" s="21"/>
      <c r="E591" s="3"/>
      <c r="F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spans="1:34" s="2" customFormat="1" x14ac:dyDescent="0.2">
      <c r="A592" s="3"/>
      <c r="B592" s="20"/>
      <c r="C592" s="20"/>
      <c r="D592" s="21"/>
      <c r="E592" s="3"/>
      <c r="F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spans="1:34" s="2" customFormat="1" x14ac:dyDescent="0.2">
      <c r="A593" s="3"/>
      <c r="B593" s="20"/>
      <c r="C593" s="20"/>
      <c r="D593" s="21"/>
      <c r="E593" s="3"/>
      <c r="F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spans="1:34" s="2" customFormat="1" x14ac:dyDescent="0.2">
      <c r="A594" s="3"/>
      <c r="B594" s="20"/>
      <c r="C594" s="20"/>
      <c r="D594" s="21"/>
      <c r="E594" s="3"/>
      <c r="F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spans="1:34" s="2" customFormat="1" x14ac:dyDescent="0.2">
      <c r="A595" s="3"/>
      <c r="B595" s="20"/>
      <c r="C595" s="20"/>
      <c r="D595" s="21"/>
      <c r="E595" s="3"/>
      <c r="F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spans="1:34" s="2" customFormat="1" x14ac:dyDescent="0.2">
      <c r="A596" s="3"/>
      <c r="B596" s="20"/>
      <c r="C596" s="20"/>
      <c r="D596" s="21"/>
      <c r="E596" s="3"/>
      <c r="F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spans="1:34" s="2" customFormat="1" x14ac:dyDescent="0.2">
      <c r="A597" s="3"/>
      <c r="B597" s="20"/>
      <c r="C597" s="20"/>
      <c r="D597" s="21"/>
      <c r="E597" s="3"/>
      <c r="F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spans="1:34" s="2" customFormat="1" x14ac:dyDescent="0.2">
      <c r="A598" s="3"/>
      <c r="B598" s="20"/>
      <c r="C598" s="20"/>
      <c r="D598" s="21"/>
      <c r="E598" s="3"/>
      <c r="F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spans="1:34" s="2" customFormat="1" x14ac:dyDescent="0.2">
      <c r="A599" s="3"/>
      <c r="B599" s="20"/>
      <c r="C599" s="20"/>
      <c r="D599" s="21"/>
      <c r="E599" s="3"/>
      <c r="F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spans="1:34" s="2" customFormat="1" x14ac:dyDescent="0.2">
      <c r="A600" s="3"/>
      <c r="B600" s="20"/>
      <c r="C600" s="20"/>
      <c r="D600" s="21"/>
      <c r="E600" s="3"/>
      <c r="F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spans="1:34" s="2" customFormat="1" x14ac:dyDescent="0.2">
      <c r="A601" s="3"/>
      <c r="B601" s="20"/>
      <c r="C601" s="20"/>
      <c r="D601" s="21"/>
      <c r="E601" s="3"/>
      <c r="F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spans="1:34" s="2" customFormat="1" x14ac:dyDescent="0.2">
      <c r="A602" s="3"/>
      <c r="B602" s="20"/>
      <c r="C602" s="20"/>
      <c r="D602" s="21"/>
      <c r="E602" s="3"/>
      <c r="F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spans="1:34" s="2" customFormat="1" x14ac:dyDescent="0.2">
      <c r="A603" s="3"/>
      <c r="B603" s="20"/>
      <c r="C603" s="20"/>
      <c r="D603" s="21"/>
      <c r="E603" s="3"/>
      <c r="F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spans="1:34" s="2" customFormat="1" x14ac:dyDescent="0.2">
      <c r="A604" s="3"/>
      <c r="B604" s="20"/>
      <c r="C604" s="20"/>
      <c r="D604" s="21"/>
      <c r="E604" s="3"/>
      <c r="F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spans="1:34" s="2" customFormat="1" x14ac:dyDescent="0.2">
      <c r="A605" s="3"/>
      <c r="B605" s="20"/>
      <c r="C605" s="20"/>
      <c r="D605" s="21"/>
      <c r="E605" s="3"/>
      <c r="F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spans="1:34" s="2" customFormat="1" x14ac:dyDescent="0.2">
      <c r="A606" s="3"/>
      <c r="B606" s="20"/>
      <c r="C606" s="20"/>
      <c r="D606" s="21"/>
      <c r="E606" s="3"/>
      <c r="F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spans="1:34" s="2" customFormat="1" x14ac:dyDescent="0.2">
      <c r="A607" s="3"/>
      <c r="B607" s="20"/>
      <c r="C607" s="20"/>
      <c r="D607" s="21"/>
      <c r="E607" s="3"/>
      <c r="F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spans="1:34" s="2" customFormat="1" x14ac:dyDescent="0.2">
      <c r="A608" s="3"/>
      <c r="B608" s="20"/>
      <c r="C608" s="20"/>
      <c r="D608" s="21"/>
      <c r="E608" s="3"/>
      <c r="F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spans="1:34" s="2" customFormat="1" x14ac:dyDescent="0.2">
      <c r="A609" s="3"/>
      <c r="B609" s="20"/>
      <c r="C609" s="20"/>
      <c r="D609" s="21"/>
      <c r="E609" s="3"/>
      <c r="F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spans="1:34" s="2" customFormat="1" x14ac:dyDescent="0.2">
      <c r="A610" s="3"/>
      <c r="B610" s="20"/>
      <c r="C610" s="20"/>
      <c r="D610" s="21"/>
      <c r="E610" s="21"/>
      <c r="F610" s="2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spans="1:34" s="2" customFormat="1" x14ac:dyDescent="0.2">
      <c r="A611" s="3"/>
      <c r="B611" s="20"/>
      <c r="C611" s="20"/>
      <c r="D611" s="21"/>
      <c r="E611" s="21"/>
      <c r="F611" s="2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spans="1:34" s="2" customFormat="1" x14ac:dyDescent="0.2">
      <c r="A612" s="3"/>
      <c r="B612" s="20"/>
      <c r="C612" s="20"/>
      <c r="D612" s="21"/>
      <c r="E612" s="21"/>
      <c r="F612" s="2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spans="1:34" s="2" customFormat="1" x14ac:dyDescent="0.2">
      <c r="A613" s="3"/>
      <c r="B613" s="20"/>
      <c r="C613" s="20"/>
      <c r="D613" s="21"/>
      <c r="E613" s="21"/>
      <c r="F613" s="2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spans="1:34" s="2" customFormat="1" x14ac:dyDescent="0.2">
      <c r="A614" s="3"/>
      <c r="B614" s="20"/>
      <c r="C614" s="20"/>
      <c r="D614" s="21"/>
      <c r="E614" s="21"/>
      <c r="F614" s="2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spans="1:34" s="2" customFormat="1" x14ac:dyDescent="0.2">
      <c r="A615" s="3"/>
      <c r="B615" s="20"/>
      <c r="C615" s="20"/>
      <c r="D615" s="21"/>
      <c r="E615" s="3"/>
      <c r="F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spans="1:34" s="2" customFormat="1" x14ac:dyDescent="0.2">
      <c r="A616" s="3"/>
      <c r="B616" s="20"/>
      <c r="C616" s="20"/>
      <c r="D616" s="21"/>
      <c r="E616" s="3"/>
      <c r="F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spans="1:34" s="2" customFormat="1" x14ac:dyDescent="0.2">
      <c r="A617" s="3"/>
      <c r="B617" s="20"/>
      <c r="C617" s="20"/>
      <c r="D617" s="21"/>
      <c r="E617" s="3"/>
      <c r="F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spans="1:34" s="2" customFormat="1" x14ac:dyDescent="0.2">
      <c r="A618" s="3"/>
      <c r="B618" s="20"/>
      <c r="C618" s="20"/>
      <c r="D618" s="21"/>
      <c r="E618" s="3"/>
      <c r="F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spans="1:34" s="2" customFormat="1" x14ac:dyDescent="0.2">
      <c r="A619" s="3"/>
      <c r="B619" s="20"/>
      <c r="C619" s="20"/>
      <c r="D619" s="21"/>
      <c r="E619" s="3"/>
      <c r="F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spans="1:34" s="2" customFormat="1" x14ac:dyDescent="0.2">
      <c r="A620" s="3"/>
      <c r="B620" s="20"/>
      <c r="C620" s="20"/>
      <c r="D620" s="21"/>
      <c r="E620" s="3"/>
      <c r="F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spans="1:34" s="2" customFormat="1" x14ac:dyDescent="0.2">
      <c r="A621" s="3"/>
      <c r="B621" s="20"/>
      <c r="C621" s="20"/>
      <c r="D621" s="21"/>
      <c r="E621" s="3"/>
      <c r="F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spans="1:34" s="2" customFormat="1" x14ac:dyDescent="0.2">
      <c r="A622" s="3"/>
      <c r="B622" s="20"/>
      <c r="C622" s="20"/>
      <c r="D622" s="21"/>
      <c r="E622" s="3"/>
      <c r="F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spans="1:34" s="2" customFormat="1" x14ac:dyDescent="0.2">
      <c r="A623" s="3"/>
      <c r="B623" s="20"/>
      <c r="C623" s="20"/>
      <c r="D623" s="21"/>
      <c r="E623" s="3"/>
      <c r="F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spans="1:34" s="2" customFormat="1" x14ac:dyDescent="0.2">
      <c r="A624" s="3"/>
      <c r="B624" s="20"/>
      <c r="C624" s="20"/>
      <c r="D624" s="21"/>
      <c r="E624" s="3"/>
      <c r="F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spans="1:34" s="2" customFormat="1" x14ac:dyDescent="0.2">
      <c r="A625" s="3"/>
      <c r="B625" s="20"/>
      <c r="C625" s="20"/>
      <c r="D625" s="21"/>
      <c r="E625" s="3"/>
      <c r="F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spans="1:34" s="2" customFormat="1" x14ac:dyDescent="0.2">
      <c r="A626" s="3"/>
      <c r="B626" s="20"/>
      <c r="C626" s="20"/>
      <c r="D626" s="21"/>
      <c r="E626" s="3"/>
      <c r="F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spans="1:34" s="2" customFormat="1" x14ac:dyDescent="0.2">
      <c r="A627" s="3"/>
      <c r="B627" s="20"/>
      <c r="C627" s="20"/>
      <c r="D627" s="21"/>
      <c r="E627" s="3"/>
      <c r="F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spans="1:34" s="2" customFormat="1" x14ac:dyDescent="0.2">
      <c r="A628" s="3"/>
      <c r="B628" s="20"/>
      <c r="C628" s="20"/>
      <c r="D628" s="21"/>
      <c r="E628" s="3"/>
      <c r="F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spans="1:34" s="2" customFormat="1" x14ac:dyDescent="0.2">
      <c r="A629" s="3"/>
      <c r="B629" s="20"/>
      <c r="C629" s="20"/>
      <c r="D629" s="21"/>
      <c r="E629" s="3"/>
      <c r="F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spans="1:34" s="2" customFormat="1" x14ac:dyDescent="0.2">
      <c r="A630" s="3"/>
      <c r="B630" s="20"/>
      <c r="C630" s="20"/>
      <c r="D630" s="21"/>
      <c r="E630" s="3"/>
      <c r="F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spans="1:34" s="2" customFormat="1" x14ac:dyDescent="0.2">
      <c r="A631" s="3"/>
      <c r="B631" s="20"/>
      <c r="C631" s="20"/>
      <c r="D631" s="21"/>
      <c r="E631" s="3"/>
      <c r="F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spans="1:34" s="2" customFormat="1" x14ac:dyDescent="0.2">
      <c r="A632" s="3"/>
      <c r="B632" s="20"/>
      <c r="C632" s="20"/>
      <c r="D632" s="21"/>
      <c r="E632" s="3"/>
      <c r="F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spans="1:34" s="2" customFormat="1" x14ac:dyDescent="0.2">
      <c r="A633" s="3"/>
      <c r="B633" s="20"/>
      <c r="C633" s="20"/>
      <c r="D633" s="21"/>
      <c r="E633" s="3"/>
      <c r="F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spans="1:34" s="2" customFormat="1" x14ac:dyDescent="0.2">
      <c r="A634" s="3"/>
      <c r="B634" s="20"/>
      <c r="C634" s="20"/>
      <c r="D634" s="21"/>
      <c r="E634" s="3"/>
      <c r="F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spans="1:34" s="2" customFormat="1" x14ac:dyDescent="0.2">
      <c r="A635" s="3"/>
      <c r="B635" s="20"/>
      <c r="C635" s="20"/>
      <c r="D635" s="21"/>
      <c r="E635" s="21"/>
      <c r="F635" s="2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spans="1:34" s="2" customFormat="1" x14ac:dyDescent="0.2">
      <c r="A636" s="3"/>
      <c r="B636" s="20"/>
      <c r="C636" s="20"/>
      <c r="D636" s="21"/>
      <c r="E636" s="21"/>
      <c r="F636" s="2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spans="1:34" s="2" customFormat="1" x14ac:dyDescent="0.2">
      <c r="A637" s="3"/>
      <c r="B637" s="20"/>
      <c r="C637" s="20"/>
      <c r="D637" s="21"/>
      <c r="E637" s="21"/>
      <c r="F637" s="2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spans="1:34" s="2" customFormat="1" x14ac:dyDescent="0.2">
      <c r="A638" s="3"/>
      <c r="B638" s="20"/>
      <c r="C638" s="20"/>
      <c r="D638" s="21"/>
      <c r="E638" s="3"/>
      <c r="F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spans="1:34" s="2" customFormat="1" x14ac:dyDescent="0.2">
      <c r="A639" s="3"/>
      <c r="B639" s="20"/>
      <c r="C639" s="20"/>
      <c r="D639" s="21"/>
      <c r="E639" s="3"/>
      <c r="F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spans="1:34" s="2" customFormat="1" x14ac:dyDescent="0.2">
      <c r="A640" s="3"/>
      <c r="B640" s="20"/>
      <c r="C640" s="20"/>
      <c r="D640" s="21"/>
      <c r="E640" s="3"/>
      <c r="F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spans="1:34" s="2" customFormat="1" x14ac:dyDescent="0.2">
      <c r="A641" s="3"/>
      <c r="B641" s="20"/>
      <c r="C641" s="20"/>
      <c r="D641" s="21"/>
      <c r="E641" s="3"/>
      <c r="F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spans="1:34" s="2" customFormat="1" x14ac:dyDescent="0.2">
      <c r="A642" s="3"/>
      <c r="B642" s="20"/>
      <c r="C642" s="20"/>
      <c r="D642" s="21"/>
      <c r="E642" s="3"/>
      <c r="F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spans="1:34" s="2" customFormat="1" x14ac:dyDescent="0.2">
      <c r="A643" s="3"/>
      <c r="B643" s="20"/>
      <c r="C643" s="20"/>
      <c r="D643" s="21"/>
      <c r="E643" s="3"/>
      <c r="F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spans="1:34" s="2" customFormat="1" x14ac:dyDescent="0.2">
      <c r="A644" s="3"/>
      <c r="B644" s="20"/>
      <c r="C644" s="20"/>
      <c r="D644" s="21"/>
      <c r="E644" s="3"/>
      <c r="F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spans="1:34" s="2" customFormat="1" x14ac:dyDescent="0.2">
      <c r="A645" s="3"/>
      <c r="B645" s="20"/>
      <c r="C645" s="20"/>
      <c r="D645" s="21"/>
      <c r="E645" s="3"/>
      <c r="F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spans="1:34" s="2" customFormat="1" x14ac:dyDescent="0.2">
      <c r="A646" s="3"/>
      <c r="B646" s="20"/>
      <c r="C646" s="20"/>
      <c r="D646" s="21"/>
      <c r="E646" s="3"/>
      <c r="F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spans="1:34" s="2" customFormat="1" x14ac:dyDescent="0.2">
      <c r="A647" s="3"/>
      <c r="B647" s="20"/>
      <c r="C647" s="20"/>
      <c r="D647" s="21"/>
      <c r="E647" s="3"/>
      <c r="F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spans="1:34" s="2" customFormat="1" x14ac:dyDescent="0.2">
      <c r="A648" s="3"/>
      <c r="B648" s="20"/>
      <c r="C648" s="20"/>
      <c r="D648" s="21"/>
      <c r="E648" s="3"/>
      <c r="F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spans="1:34" s="2" customFormat="1" x14ac:dyDescent="0.2">
      <c r="A649" s="3"/>
      <c r="B649" s="20"/>
      <c r="C649" s="20"/>
      <c r="D649" s="21"/>
      <c r="E649" s="3"/>
      <c r="F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spans="1:34" s="2" customFormat="1" x14ac:dyDescent="0.2">
      <c r="A650" s="3"/>
      <c r="B650" s="20"/>
      <c r="C650" s="20"/>
      <c r="D650" s="21"/>
      <c r="E650" s="3"/>
      <c r="F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spans="1:34" s="2" customFormat="1" x14ac:dyDescent="0.2">
      <c r="A651" s="3"/>
      <c r="B651" s="20"/>
      <c r="C651" s="20"/>
      <c r="D651" s="21"/>
      <c r="E651" s="3"/>
      <c r="F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spans="1:34" s="2" customFormat="1" x14ac:dyDescent="0.2">
      <c r="A652" s="3"/>
      <c r="B652" s="20"/>
      <c r="C652" s="20"/>
      <c r="D652" s="21"/>
      <c r="E652" s="3"/>
      <c r="F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spans="1:34" s="2" customFormat="1" x14ac:dyDescent="0.2">
      <c r="A653" s="3"/>
      <c r="B653" s="20"/>
      <c r="C653" s="20"/>
      <c r="D653" s="21"/>
      <c r="E653" s="3"/>
      <c r="F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spans="1:34" s="2" customFormat="1" x14ac:dyDescent="0.2">
      <c r="A654" s="3"/>
      <c r="B654" s="20"/>
      <c r="C654" s="20"/>
      <c r="D654" s="21"/>
      <c r="E654" s="3"/>
      <c r="F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spans="1:34" s="2" customFormat="1" x14ac:dyDescent="0.2">
      <c r="A655" s="3"/>
      <c r="B655" s="20"/>
      <c r="C655" s="20"/>
      <c r="D655" s="21"/>
      <c r="E655" s="3"/>
      <c r="F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spans="1:34" s="2" customFormat="1" x14ac:dyDescent="0.2">
      <c r="A656" s="3"/>
      <c r="B656" s="20"/>
      <c r="C656" s="20"/>
      <c r="D656" s="21"/>
      <c r="E656" s="3"/>
      <c r="F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spans="1:34" s="2" customFormat="1" x14ac:dyDescent="0.2">
      <c r="A657" s="3"/>
      <c r="B657" s="20"/>
      <c r="C657" s="20"/>
      <c r="D657" s="21"/>
      <c r="E657" s="3"/>
      <c r="F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spans="1:34" s="2" customFormat="1" x14ac:dyDescent="0.2">
      <c r="A658" s="3"/>
      <c r="B658" s="20"/>
      <c r="C658" s="20"/>
      <c r="D658" s="21"/>
      <c r="E658" s="3"/>
      <c r="F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spans="1:34" s="2" customFormat="1" x14ac:dyDescent="0.2">
      <c r="A659" s="3"/>
      <c r="B659" s="20"/>
      <c r="C659" s="20"/>
      <c r="D659" s="21"/>
      <c r="E659" s="3"/>
      <c r="F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spans="1:34" s="2" customFormat="1" x14ac:dyDescent="0.2">
      <c r="A660" s="3"/>
      <c r="B660" s="20"/>
      <c r="C660" s="20"/>
      <c r="D660" s="21"/>
      <c r="E660" s="21"/>
      <c r="F660" s="2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spans="1:34" s="2" customFormat="1" x14ac:dyDescent="0.2">
      <c r="A661" s="3"/>
      <c r="B661" s="20"/>
      <c r="C661" s="20"/>
      <c r="D661" s="21"/>
      <c r="E661" s="21"/>
      <c r="F661" s="2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spans="1:34" s="2" customFormat="1" x14ac:dyDescent="0.2">
      <c r="A662" s="3"/>
      <c r="B662" s="20"/>
      <c r="C662" s="20"/>
      <c r="D662" s="21"/>
      <c r="E662" s="3"/>
      <c r="F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spans="1:34" s="2" customFormat="1" x14ac:dyDescent="0.2">
      <c r="A663" s="3"/>
      <c r="B663" s="20"/>
      <c r="C663" s="20"/>
      <c r="D663" s="21"/>
      <c r="E663" s="3"/>
      <c r="F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spans="1:34" s="2" customFormat="1" x14ac:dyDescent="0.2">
      <c r="A664" s="3"/>
      <c r="B664" s="20"/>
      <c r="C664" s="20"/>
      <c r="D664" s="21"/>
      <c r="E664" s="3"/>
      <c r="F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spans="1:34" s="2" customFormat="1" x14ac:dyDescent="0.2">
      <c r="A665" s="3"/>
      <c r="B665" s="20"/>
      <c r="C665" s="20"/>
      <c r="D665" s="21"/>
      <c r="E665" s="3"/>
      <c r="F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spans="1:34" s="2" customFormat="1" x14ac:dyDescent="0.2">
      <c r="A666" s="3"/>
      <c r="B666" s="20"/>
      <c r="C666" s="20"/>
      <c r="D666" s="21"/>
      <c r="E666" s="3"/>
      <c r="F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spans="1:34" s="2" customFormat="1" x14ac:dyDescent="0.2">
      <c r="A667" s="3"/>
      <c r="B667" s="20"/>
      <c r="C667" s="20"/>
      <c r="D667" s="21"/>
      <c r="E667" s="3"/>
      <c r="F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spans="1:34" s="2" customFormat="1" x14ac:dyDescent="0.2">
      <c r="A668" s="3"/>
      <c r="B668" s="20"/>
      <c r="C668" s="20"/>
      <c r="D668" s="21"/>
      <c r="E668" s="3"/>
      <c r="F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spans="1:34" s="2" customFormat="1" x14ac:dyDescent="0.2">
      <c r="A669" s="3"/>
      <c r="B669" s="20"/>
      <c r="C669" s="20"/>
      <c r="D669" s="21"/>
      <c r="E669" s="3"/>
      <c r="F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spans="1:34" s="2" customFormat="1" x14ac:dyDescent="0.2">
      <c r="A670" s="3"/>
      <c r="B670" s="20"/>
      <c r="C670" s="20"/>
      <c r="D670" s="21"/>
      <c r="E670" s="3"/>
      <c r="F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spans="1:34" s="2" customFormat="1" x14ac:dyDescent="0.2">
      <c r="A671" s="3"/>
      <c r="B671" s="20"/>
      <c r="C671" s="20"/>
      <c r="D671" s="21"/>
      <c r="E671" s="3"/>
      <c r="F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spans="1:34" s="2" customFormat="1" x14ac:dyDescent="0.2">
      <c r="A672" s="3"/>
      <c r="B672" s="20"/>
      <c r="C672" s="20"/>
      <c r="D672" s="21"/>
      <c r="E672" s="3"/>
      <c r="F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spans="1:34" s="2" customFormat="1" x14ac:dyDescent="0.2">
      <c r="A673" s="3"/>
      <c r="B673" s="20"/>
      <c r="C673" s="20"/>
      <c r="D673" s="21"/>
      <c r="E673" s="3"/>
      <c r="F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spans="1:34" s="2" customFormat="1" x14ac:dyDescent="0.2">
      <c r="A674" s="3"/>
      <c r="B674" s="20"/>
      <c r="C674" s="20"/>
      <c r="D674" s="21"/>
      <c r="E674" s="3"/>
      <c r="F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spans="1:34" s="2" customFormat="1" x14ac:dyDescent="0.2">
      <c r="A675" s="3"/>
      <c r="B675" s="20"/>
      <c r="C675" s="20"/>
      <c r="D675" s="21"/>
      <c r="E675" s="3"/>
      <c r="F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spans="1:34" s="2" customFormat="1" x14ac:dyDescent="0.2">
      <c r="A676" s="3"/>
      <c r="B676" s="20"/>
      <c r="C676" s="20"/>
      <c r="D676" s="21"/>
      <c r="E676" s="3"/>
      <c r="F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spans="1:34" s="2" customFormat="1" x14ac:dyDescent="0.2">
      <c r="A677" s="3"/>
      <c r="B677" s="20"/>
      <c r="C677" s="20"/>
      <c r="D677" s="21"/>
      <c r="E677" s="3"/>
      <c r="F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spans="1:34" s="2" customFormat="1" x14ac:dyDescent="0.2">
      <c r="A678" s="3"/>
      <c r="B678" s="20"/>
      <c r="C678" s="20"/>
      <c r="D678" s="21"/>
      <c r="E678" s="3"/>
      <c r="F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spans="1:34" s="2" customFormat="1" x14ac:dyDescent="0.2">
      <c r="A679" s="3"/>
      <c r="B679" s="20"/>
      <c r="C679" s="20"/>
      <c r="D679" s="21"/>
      <c r="E679" s="3"/>
      <c r="F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spans="1:34" s="2" customFormat="1" x14ac:dyDescent="0.2">
      <c r="A680" s="3"/>
      <c r="B680" s="20"/>
      <c r="C680" s="20"/>
      <c r="D680" s="21"/>
      <c r="E680" s="3"/>
      <c r="F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spans="1:34" s="2" customFormat="1" x14ac:dyDescent="0.2">
      <c r="A681" s="3"/>
      <c r="B681" s="20"/>
      <c r="C681" s="20"/>
      <c r="D681" s="21"/>
      <c r="E681" s="3"/>
      <c r="F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spans="1:34" s="2" customFormat="1" x14ac:dyDescent="0.2">
      <c r="A682" s="3"/>
      <c r="B682" s="20"/>
      <c r="C682" s="20"/>
      <c r="D682" s="21"/>
      <c r="E682" s="3"/>
      <c r="F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spans="1:34" s="2" customFormat="1" x14ac:dyDescent="0.2">
      <c r="A683" s="3"/>
      <c r="B683" s="20"/>
      <c r="C683" s="20"/>
      <c r="D683" s="21"/>
      <c r="E683" s="3"/>
      <c r="F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spans="1:34" s="2" customFormat="1" x14ac:dyDescent="0.2">
      <c r="A684" s="3"/>
      <c r="B684" s="20"/>
      <c r="C684" s="20"/>
      <c r="D684" s="21"/>
      <c r="E684" s="3"/>
      <c r="F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spans="1:34" s="2" customFormat="1" x14ac:dyDescent="0.2">
      <c r="A685" s="3"/>
      <c r="B685" s="20"/>
      <c r="C685" s="20"/>
      <c r="D685" s="21"/>
      <c r="E685" s="21"/>
      <c r="F685" s="2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</sheetData>
  <mergeCells count="2">
    <mergeCell ref="B2:E2"/>
    <mergeCell ref="G2:H2"/>
  </mergeCells>
  <printOptions horizontalCentered="1"/>
  <pageMargins left="0.7" right="0.7" top="0.75" bottom="0.75" header="0.3" footer="0.3"/>
  <pageSetup scale="23" orientation="portrait" r:id="rId1"/>
  <headerFooter>
    <oddFooter>&amp;L&amp;F
&amp;A&amp;R&amp;D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Claim Triangles</vt:lpstr>
      <vt:lpstr>Claim Data</vt:lpstr>
      <vt:lpstr>'Claim Data'!Print_Area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2020-09-19T01:51:37Z</cp:lastPrinted>
  <dcterms:created xsi:type="dcterms:W3CDTF">2020-09-14T21:31:02Z</dcterms:created>
  <dcterms:modified xsi:type="dcterms:W3CDTF">2020-09-19T01:54:28Z</dcterms:modified>
</cp:coreProperties>
</file>