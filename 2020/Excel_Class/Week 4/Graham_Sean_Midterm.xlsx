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rgra\OneDrive\Documents\Excel Class Week 4\"/>
    </mc:Choice>
  </mc:AlternateContent>
  <xr:revisionPtr revIDLastSave="0" documentId="8_{1558E20A-86F6-455E-BB19-88ADCD494297}" xr6:coauthVersionLast="45" xr6:coauthVersionMax="45" xr10:uidLastSave="{00000000-0000-0000-0000-000000000000}"/>
  <bookViews>
    <workbookView xWindow="810" yWindow="-120" windowWidth="19800" windowHeight="11760" xr2:uid="{58CBB2EA-49ED-4C31-BD6D-CE0DA33B4F3B}"/>
  </bookViews>
  <sheets>
    <sheet name="Benefits" sheetId="1" r:id="rId1"/>
    <sheet name="EeData" sheetId="5" r:id="rId2"/>
    <sheet name="Age Distributions" sheetId="4" r:id="rId3"/>
    <sheet name="Records" sheetId="6" r:id="rId4"/>
    <sheet name="Grade_Report" sheetId="2" r:id="rId5"/>
  </sheets>
  <externalReferences>
    <externalReference r:id="rId6"/>
    <externalReference r:id="rId7"/>
    <externalReference r:id="rId8"/>
    <externalReference r:id="rId9"/>
    <externalReference r:id="rId10"/>
    <externalReference r:id="rId11"/>
  </externalReferences>
  <definedNames>
    <definedName name="AssetM">[1]Table!$J$3:$K$13</definedName>
    <definedName name="Benjamin">OFFSET('[2]Weight Watch'!$B$9,'[2]Weight Watch'!$I$3-9,2,'[2]Weight Watch'!$I$2,1)</definedName>
    <definedName name="Client">[1]X!$C$9</definedName>
    <definedName name="DateF">OFFSET('[2]Weight Watch'!$B$9,'[2]Weight Watch'!$I$3-9,0,'[2]Weight Watch'!$I$2,1)</definedName>
    <definedName name="DefaultB">[1]X!$F$5</definedName>
    <definedName name="Difference">OFFSET([3]Salman!$G$9,0,0,[3]Salman!$B$4,1)</definedName>
    <definedName name="Eric">OFFSET('[2]Weight Watch'!$B$9,'[2]Weight Watch'!$I$3-9,4,'[2]Weight Watch'!$I$2,1)</definedName>
    <definedName name="FanF">OFFSET('[2]Weight Watch'!$B$9,'[2]Weight Watch'!$I$3-9,3,'[2]Weight Watch'!$I$2,1)</definedName>
    <definedName name="Footer">[1]X!$C$10</definedName>
    <definedName name="George">OFFSET('[2]Weight Watch'!$B$9,'[2]Weight Watch'!$I$3-9,3,'[2]Weight Watch'!$I$2,1)</definedName>
    <definedName name="GradeTable">Records!$A$16:$X$27</definedName>
    <definedName name="LetterGrades">Records!$E$3:$E$12</definedName>
    <definedName name="LiF">OFFSET('[2]Weight Watch'!$B$9,'[2]Weight Watch'!$I$3-9,2,'[2]Weight Watch'!$I$2,1)</definedName>
    <definedName name="MeasDate">OFFSET('[2]Weight Watch'!$B$9,'[2]Weight Watch'!$I$3-9,0,'[2]Weight Watch'!$I$2,1)</definedName>
    <definedName name="MetMRV">[4]Table!$C$21:$D$31</definedName>
    <definedName name="Rate">OFFSET([5]Rate!$C$4,0,0,COUNT([5]Rate!$C:$C))</definedName>
    <definedName name="Version">[1]X!$A$2</definedName>
    <definedName name="WangF">OFFSET('[2]Weight Watch'!$B$9,'[2]Weight Watch'!$I$3-9,4,'[2]Weight Watch'!$I$2,1)</definedName>
    <definedName name="Year">OFFSET([5]Rate!$B$4,0,0,COUNT([5]Rate!$B:$B))</definedName>
    <definedName name="Year158">'[6]FAS 158 Input'!$H$4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0" i="4" l="1"/>
  <c r="D11" i="4" s="1"/>
  <c r="D11" i="2" l="1"/>
  <c r="D14" i="2"/>
  <c r="D13" i="2"/>
  <c r="D12" i="2"/>
  <c r="D7" i="2" l="1"/>
  <c r="D8" i="2" s="1"/>
  <c r="D9" i="2" s="1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J17" i="4" l="1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7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7" i="4"/>
  <c r="L7" i="4" s="1"/>
  <c r="B34" i="4" l="1"/>
  <c r="B33" i="4"/>
  <c r="B32" i="4"/>
  <c r="B31" i="4"/>
  <c r="B30" i="4"/>
  <c r="B29" i="4"/>
  <c r="B28" i="4"/>
  <c r="B27" i="4"/>
  <c r="B26" i="4"/>
  <c r="B25" i="4"/>
  <c r="B24" i="4"/>
  <c r="B23" i="4"/>
  <c r="B22" i="4"/>
  <c r="B21" i="4"/>
  <c r="B20" i="4"/>
  <c r="B19" i="4"/>
  <c r="B18" i="4"/>
  <c r="B17" i="4"/>
  <c r="B16" i="4"/>
  <c r="B15" i="4"/>
  <c r="B14" i="4"/>
  <c r="B13" i="4"/>
  <c r="D8" i="4"/>
  <c r="B9" i="4" s="1"/>
  <c r="B8" i="4"/>
  <c r="F7" i="4"/>
  <c r="J8" i="4" l="1"/>
  <c r="H8" i="4"/>
  <c r="L8" i="4" s="1"/>
  <c r="J16" i="4"/>
  <c r="H16" i="4"/>
  <c r="L16" i="4" s="1"/>
  <c r="F16" i="4"/>
  <c r="H14" i="4"/>
  <c r="L14" i="4" s="1"/>
  <c r="F14" i="4"/>
  <c r="J14" i="4"/>
  <c r="J15" i="4"/>
  <c r="H15" i="4"/>
  <c r="L15" i="4" s="1"/>
  <c r="F15" i="4"/>
  <c r="H13" i="4"/>
  <c r="F13" i="4"/>
  <c r="J13" i="4"/>
  <c r="D9" i="4"/>
  <c r="F8" i="4"/>
  <c r="B12" i="4" l="1"/>
  <c r="H9" i="4"/>
  <c r="L9" i="4" s="1"/>
  <c r="J9" i="4"/>
  <c r="L13" i="4"/>
  <c r="B10" i="4"/>
  <c r="F9" i="4"/>
  <c r="J12" i="4" l="1"/>
  <c r="F12" i="4"/>
  <c r="H12" i="4"/>
  <c r="L12" i="4" s="1"/>
  <c r="J10" i="4"/>
  <c r="H10" i="4"/>
  <c r="L10" i="4" s="1"/>
  <c r="B11" i="4"/>
  <c r="F11" i="4" s="1"/>
  <c r="F10" i="4"/>
  <c r="F12" i="1"/>
  <c r="D12" i="1"/>
  <c r="B12" i="1"/>
  <c r="B15" i="1" s="1"/>
  <c r="G21" i="1" l="1"/>
  <c r="G24" i="1"/>
  <c r="H11" i="4"/>
  <c r="L11" i="4" s="1"/>
  <c r="J11" i="4"/>
  <c r="J35" i="4" s="1"/>
  <c r="F21" i="1"/>
  <c r="G20" i="1"/>
  <c r="B16" i="1"/>
  <c r="F20" i="1"/>
  <c r="G25" i="1"/>
  <c r="C23" i="1"/>
  <c r="C19" i="1"/>
  <c r="D24" i="1"/>
  <c r="H19" i="1"/>
  <c r="C24" i="1"/>
  <c r="G22" i="1"/>
  <c r="E21" i="1"/>
  <c r="C20" i="1"/>
  <c r="G19" i="1"/>
  <c r="D25" i="1"/>
  <c r="H23" i="1"/>
  <c r="F22" i="1"/>
  <c r="D21" i="1"/>
  <c r="F19" i="1"/>
  <c r="C25" i="1"/>
  <c r="G23" i="1"/>
  <c r="E22" i="1"/>
  <c r="C21" i="1"/>
  <c r="E24" i="1"/>
  <c r="E20" i="1"/>
  <c r="F25" i="1"/>
  <c r="H22" i="1"/>
  <c r="D20" i="1"/>
  <c r="E25" i="1"/>
  <c r="E19" i="1"/>
  <c r="F23" i="1"/>
  <c r="D22" i="1"/>
  <c r="H20" i="1"/>
  <c r="H24" i="1"/>
  <c r="D19" i="1"/>
  <c r="E23" i="1"/>
  <c r="C22" i="1"/>
  <c r="H25" i="1"/>
  <c r="F24" i="1"/>
  <c r="D23" i="1"/>
  <c r="H21" i="1"/>
  <c r="H35" i="4" l="1"/>
  <c r="L35" i="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Sean G</author>
  </authors>
  <commentList>
    <comment ref="H4" authorId="0" shapeId="0" xr:uid="{87350B93-7A3C-4E8B-8EFB-BD4512228137}">
      <text>
        <r>
          <rPr>
            <b/>
            <sz val="9"/>
            <color indexed="81"/>
            <rFont val="Tahoma"/>
            <charset val="1"/>
          </rPr>
          <t>Salary:</t>
        </r>
        <r>
          <rPr>
            <sz val="9"/>
            <color indexed="81"/>
            <rFont val="Tahoma"/>
            <charset val="1"/>
          </rPr>
          <t xml:space="preserve">
Amount received each year</t>
        </r>
      </text>
    </comment>
    <comment ref="H5" authorId="0" shapeId="0" xr:uid="{B9137E4D-3404-4342-A026-B9B09EE57E55}">
      <text>
        <r>
          <rPr>
            <b/>
            <sz val="9"/>
            <color indexed="81"/>
            <rFont val="Tahoma"/>
            <charset val="1"/>
          </rPr>
          <t>Percentage for Each Year of Service:</t>
        </r>
        <r>
          <rPr>
            <sz val="9"/>
            <color indexed="81"/>
            <rFont val="Tahoma"/>
            <charset val="1"/>
          </rPr>
          <t xml:space="preserve">
Accrues starting from the date of participation in the plan</t>
        </r>
      </text>
    </comment>
    <comment ref="H6" authorId="0" shapeId="0" xr:uid="{81FA8EDF-B52E-48E2-B3B9-96D6C6B9FD10}">
      <text>
        <r>
          <rPr>
            <b/>
            <sz val="9"/>
            <color indexed="81"/>
            <rFont val="Tahoma"/>
            <charset val="1"/>
          </rPr>
          <t xml:space="preserve">Early Retirement Reduction Percentage:
</t>
        </r>
        <r>
          <rPr>
            <sz val="9"/>
            <color indexed="81"/>
            <rFont val="Tahoma"/>
            <family val="2"/>
          </rPr>
          <t xml:space="preserve">Reduction for each year  the retirement precedes the normal retirement age
</t>
        </r>
      </text>
    </comment>
    <comment ref="H7" authorId="0" shapeId="0" xr:uid="{811A5F52-0A96-4218-AE2A-7877E116DF80}">
      <text>
        <r>
          <rPr>
            <b/>
            <sz val="9"/>
            <color indexed="81"/>
            <rFont val="Tahoma"/>
            <charset val="1"/>
          </rPr>
          <t>Late Retirement Increase Percentage:</t>
        </r>
        <r>
          <rPr>
            <sz val="9"/>
            <color indexed="81"/>
            <rFont val="Tahoma"/>
            <charset val="1"/>
          </rPr>
          <t xml:space="preserve">
Increase for each year the retirement succeeds the normal retirement date</t>
        </r>
      </text>
    </comment>
    <comment ref="H8" authorId="0" shapeId="0" xr:uid="{039A4ED3-FD4F-43E6-B0D7-AB35979A4856}">
      <text>
        <r>
          <rPr>
            <b/>
            <sz val="9"/>
            <color indexed="81"/>
            <rFont val="Tahoma"/>
            <charset val="1"/>
          </rPr>
          <t>Normal Retirement Age:</t>
        </r>
        <r>
          <rPr>
            <sz val="9"/>
            <color indexed="81"/>
            <rFont val="Tahoma"/>
            <charset val="1"/>
          </rPr>
          <t xml:space="preserve">
The age at which benefits are guaranteed</t>
        </r>
      </text>
    </comment>
    <comment ref="H10" authorId="0" shapeId="0" xr:uid="{CEA3C192-ED47-4341-B310-57652F819A11}">
      <text>
        <r>
          <rPr>
            <b/>
            <sz val="9"/>
            <color indexed="81"/>
            <rFont val="Tahoma"/>
            <charset val="1"/>
          </rPr>
          <t>Age Requirement:</t>
        </r>
        <r>
          <rPr>
            <sz val="9"/>
            <color indexed="81"/>
            <rFont val="Tahoma"/>
            <charset val="1"/>
          </rPr>
          <t xml:space="preserve">
The minimum age at which benefits can be received</t>
        </r>
      </text>
    </comment>
    <comment ref="H11" authorId="0" shapeId="0" xr:uid="{CE179F4D-11F8-4769-90F7-8A9533B37B2C}">
      <text>
        <r>
          <rPr>
            <b/>
            <sz val="9"/>
            <color indexed="81"/>
            <rFont val="Tahoma"/>
            <charset val="1"/>
          </rPr>
          <t>Service Requirement:</t>
        </r>
        <r>
          <rPr>
            <sz val="9"/>
            <color indexed="81"/>
            <rFont val="Tahoma"/>
            <charset val="1"/>
          </rPr>
          <t xml:space="preserve">
The minimum number of service years at which benefits can be received</t>
        </r>
      </text>
    </comment>
  </commentList>
</comments>
</file>

<file path=xl/sharedStrings.xml><?xml version="1.0" encoding="utf-8"?>
<sst xmlns="http://schemas.openxmlformats.org/spreadsheetml/2006/main" count="183" uniqueCount="76">
  <si>
    <t>Input Information</t>
  </si>
  <si>
    <t>Average Salary</t>
  </si>
  <si>
    <t>Percentage for each year of service</t>
  </si>
  <si>
    <t>Early retirement reduction percentage</t>
  </si>
  <si>
    <t>Retirement Benefit at Each Retirement Age</t>
  </si>
  <si>
    <t>Years of
Service</t>
  </si>
  <si>
    <t>Retirement Age</t>
  </si>
  <si>
    <t>Late Retirement Increase Percentage</t>
  </si>
  <si>
    <t>Normal Retirement Age</t>
  </si>
  <si>
    <t>Early retirement eligibility provisions</t>
  </si>
  <si>
    <t>Age requirement for early retirement</t>
  </si>
  <si>
    <t>Service requirement for early retirement</t>
  </si>
  <si>
    <t>Student Grade Report</t>
  </si>
  <si>
    <t>Student Name</t>
  </si>
  <si>
    <t>Total Point Available</t>
  </si>
  <si>
    <t>Total Earned Points</t>
  </si>
  <si>
    <t>Achieved Percentage</t>
  </si>
  <si>
    <t>Letter Grade</t>
  </si>
  <si>
    <t>Final</t>
  </si>
  <si>
    <t>Midterm</t>
  </si>
  <si>
    <t>Quiz</t>
  </si>
  <si>
    <t>Homework</t>
  </si>
  <si>
    <t>Highlighted cells are for ages and are the only input cells</t>
  </si>
  <si>
    <t>Age Breakpoint</t>
  </si>
  <si>
    <t>Age is</t>
  </si>
  <si>
    <t>at least</t>
  </si>
  <si>
    <t>but</t>
  </si>
  <si>
    <t>less than</t>
  </si>
  <si>
    <t>Age</t>
  </si>
  <si>
    <t>Count</t>
  </si>
  <si>
    <t>Distribution by Age with Total and Average Salary</t>
  </si>
  <si>
    <t>(Actives Only)</t>
  </si>
  <si>
    <t>Total Salary</t>
  </si>
  <si>
    <t>Employee Database</t>
  </si>
  <si>
    <t>ID</t>
  </si>
  <si>
    <t>Company Code</t>
  </si>
  <si>
    <t>Current Salary</t>
  </si>
  <si>
    <t>Prior Salary</t>
  </si>
  <si>
    <t xml:space="preserve">Age </t>
  </si>
  <si>
    <t xml:space="preserve">Service </t>
  </si>
  <si>
    <t>Status Code</t>
  </si>
  <si>
    <t>Prior Status</t>
  </si>
  <si>
    <t>A</t>
  </si>
  <si>
    <t>R</t>
  </si>
  <si>
    <t>V</t>
  </si>
  <si>
    <t>T</t>
  </si>
  <si>
    <t>Total</t>
  </si>
  <si>
    <t>Grading Policy</t>
  </si>
  <si>
    <t>Grade</t>
  </si>
  <si>
    <t>Percentage</t>
  </si>
  <si>
    <t>to</t>
  </si>
  <si>
    <t>A-</t>
  </si>
  <si>
    <t>B+</t>
  </si>
  <si>
    <t>B</t>
  </si>
  <si>
    <t>B-</t>
  </si>
  <si>
    <t>C+</t>
  </si>
  <si>
    <t>C</t>
  </si>
  <si>
    <t>C-</t>
  </si>
  <si>
    <t>D</t>
  </si>
  <si>
    <t>F</t>
  </si>
  <si>
    <t>Quizzes</t>
  </si>
  <si>
    <t>Name</t>
  </si>
  <si>
    <t>Points</t>
  </si>
  <si>
    <t>Mid-Term</t>
  </si>
  <si>
    <t>Klendshoj,Roxanne L</t>
  </si>
  <si>
    <t>Doll Woolley,Jeanne M</t>
  </si>
  <si>
    <t>Bartho,Jerome F</t>
  </si>
  <si>
    <t>Benson,Scott G</t>
  </si>
  <si>
    <t>Aho,Diane M</t>
  </si>
  <si>
    <t>Larson,DeeAnn S</t>
  </si>
  <si>
    <t>Nelson,Susann K</t>
  </si>
  <si>
    <t>Asche,Tracy A</t>
  </si>
  <si>
    <t>Carlson,Robert L</t>
  </si>
  <si>
    <t>Donovan,Richard G</t>
  </si>
  <si>
    <t>Shapiro,Susan R</t>
  </si>
  <si>
    <t>Johnson,Bruce 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</si>
</sst>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43" formatCode="_(* #,##0.00_);_(* \(#,##0.00\);_(* &quot;-&quot;??_);_(@_)"/>
    <numFmt numFmtId="164" formatCode="_(* #,##0_);_(* \(#,##0\);_(* &quot;-&quot;??_);_(@_)"/>
    <numFmt numFmtId="165" formatCode="0.0%"/>
  </numFmts>
  <fonts count="2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5" tint="-0.499984740745262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1"/>
      <color theme="5" tint="-0.499984740745262"/>
      <name val="Calibri (Body)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9"/>
      <color indexed="81"/>
      <name val="Tahoma"/>
      <family val="2"/>
    </font>
    <font>
      <b/>
      <sz val="12"/>
      <color theme="1"/>
      <name val="Calibri"/>
      <family val="2"/>
      <scheme val="minor"/>
    </font>
    <font>
      <b/>
      <sz val="12"/>
      <color theme="5"/>
      <name val="Calibri"/>
      <family val="2"/>
      <scheme val="minor"/>
    </font>
    <font>
      <sz val="11"/>
      <color theme="5"/>
      <name val="Calibri"/>
      <family val="2"/>
      <scheme val="minor"/>
    </font>
    <font>
      <sz val="10"/>
      <name val="Arial"/>
      <family val="2"/>
    </font>
    <font>
      <b/>
      <sz val="14"/>
      <name val="Arial"/>
      <family val="2"/>
    </font>
    <font>
      <b/>
      <sz val="10"/>
      <color indexed="10"/>
      <name val="Arial"/>
      <family val="2"/>
    </font>
    <font>
      <sz val="11"/>
      <color theme="1"/>
      <name val="Calibri"/>
      <family val="2"/>
      <scheme val="minor"/>
    </font>
    <font>
      <b/>
      <sz val="12"/>
      <color indexed="10"/>
      <name val="Arial"/>
      <family val="2"/>
    </font>
    <font>
      <sz val="10"/>
      <color indexed="10"/>
      <name val="Arial"/>
      <family val="2"/>
    </font>
    <font>
      <b/>
      <sz val="10"/>
      <name val="Arial"/>
      <family val="2"/>
    </font>
    <font>
      <b/>
      <u/>
      <sz val="10"/>
      <name val="Arial"/>
      <family val="2"/>
    </font>
    <font>
      <u/>
      <sz val="11"/>
      <color theme="1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9" tint="0.59999389629810485"/>
        <bgColor indexed="64"/>
      </patternFill>
    </fill>
  </fills>
  <borders count="3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double">
        <color indexed="64"/>
      </bottom>
      <diagonal/>
    </border>
  </borders>
  <cellStyleXfs count="6">
    <xf numFmtId="0" fontId="0" fillId="0" borderId="0"/>
    <xf numFmtId="0" fontId="13" fillId="0" borderId="0"/>
    <xf numFmtId="43" fontId="13" fillId="0" borderId="0" applyFont="0" applyFill="0" applyBorder="0" applyAlignment="0" applyProtection="0"/>
    <xf numFmtId="0" fontId="16" fillId="0" borderId="0"/>
    <xf numFmtId="0" fontId="21" fillId="0" borderId="0" applyNumberFormat="0" applyFill="0" applyBorder="0" applyAlignment="0" applyProtection="0"/>
    <xf numFmtId="9" fontId="16" fillId="0" borderId="0" applyFont="0" applyFill="0" applyBorder="0" applyAlignment="0" applyProtection="0"/>
  </cellStyleXfs>
  <cellXfs count="143">
    <xf numFmtId="0" fontId="0" fillId="0" borderId="0" xfId="0"/>
    <xf numFmtId="0" fontId="0" fillId="0" borderId="4" xfId="0" applyBorder="1"/>
    <xf numFmtId="0" fontId="0" fillId="0" borderId="0" xfId="0" applyBorder="1"/>
    <xf numFmtId="0" fontId="0" fillId="0" borderId="7" xfId="0" applyBorder="1"/>
    <xf numFmtId="0" fontId="0" fillId="0" borderId="13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4" borderId="11" xfId="0" applyFill="1" applyBorder="1"/>
    <xf numFmtId="0" fontId="6" fillId="0" borderId="10" xfId="0" applyFont="1" applyBorder="1"/>
    <xf numFmtId="0" fontId="0" fillId="0" borderId="12" xfId="0" applyBorder="1"/>
    <xf numFmtId="0" fontId="0" fillId="0" borderId="2" xfId="0" applyBorder="1"/>
    <xf numFmtId="0" fontId="1" fillId="0" borderId="3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0" fillId="0" borderId="0" xfId="0" applyBorder="1" applyAlignment="1">
      <alignment horizontal="center"/>
    </xf>
    <xf numFmtId="3" fontId="1" fillId="4" borderId="5" xfId="0" applyNumberFormat="1" applyFont="1" applyFill="1" applyBorder="1" applyAlignment="1" applyProtection="1">
      <alignment horizontal="right"/>
      <protection locked="0"/>
    </xf>
    <xf numFmtId="10" fontId="1" fillId="4" borderId="5" xfId="0" applyNumberFormat="1" applyFont="1" applyFill="1" applyBorder="1" applyAlignment="1" applyProtection="1">
      <alignment horizontal="right"/>
      <protection locked="0"/>
    </xf>
    <xf numFmtId="10" fontId="1" fillId="4" borderId="9" xfId="0" applyNumberFormat="1" applyFont="1" applyFill="1" applyBorder="1" applyAlignment="1" applyProtection="1">
      <alignment horizontal="right"/>
      <protection locked="0"/>
    </xf>
    <xf numFmtId="0" fontId="1" fillId="0" borderId="0" xfId="0" applyFont="1" applyBorder="1" applyAlignment="1" applyProtection="1">
      <alignment horizontal="left"/>
      <protection locked="0"/>
    </xf>
    <xf numFmtId="0" fontId="0" fillId="0" borderId="0" xfId="0" applyBorder="1" applyProtection="1">
      <protection locked="0"/>
    </xf>
    <xf numFmtId="1" fontId="1" fillId="0" borderId="11" xfId="0" applyNumberFormat="1" applyFont="1" applyFill="1" applyBorder="1" applyAlignment="1" applyProtection="1">
      <alignment horizontal="right"/>
      <protection locked="0"/>
    </xf>
    <xf numFmtId="0" fontId="0" fillId="0" borderId="0" xfId="0" applyFont="1" applyBorder="1" applyAlignment="1" applyProtection="1">
      <alignment horizontal="center"/>
      <protection locked="0"/>
    </xf>
    <xf numFmtId="0" fontId="0" fillId="0" borderId="0" xfId="0" applyBorder="1" applyAlignment="1" applyProtection="1">
      <alignment horizontal="center"/>
      <protection locked="0"/>
    </xf>
    <xf numFmtId="1" fontId="1" fillId="0" borderId="0" xfId="0" applyNumberFormat="1" applyFont="1" applyFill="1" applyBorder="1" applyAlignment="1" applyProtection="1">
      <alignment horizontal="right"/>
      <protection locked="0"/>
    </xf>
    <xf numFmtId="10" fontId="1" fillId="0" borderId="0" xfId="0" applyNumberFormat="1" applyFont="1" applyFill="1" applyBorder="1" applyAlignment="1" applyProtection="1">
      <alignment horizontal="right"/>
      <protection locked="0"/>
    </xf>
    <xf numFmtId="41" fontId="1" fillId="0" borderId="6" xfId="0" applyNumberFormat="1" applyFont="1" applyBorder="1" applyProtection="1"/>
    <xf numFmtId="0" fontId="1" fillId="2" borderId="1" xfId="0" applyFont="1" applyFill="1" applyBorder="1" applyAlignment="1" applyProtection="1">
      <alignment horizontal="center"/>
    </xf>
    <xf numFmtId="0" fontId="1" fillId="0" borderId="3" xfId="0" applyFont="1" applyBorder="1" applyProtection="1"/>
    <xf numFmtId="0" fontId="0" fillId="0" borderId="4" xfId="0" applyBorder="1" applyProtection="1"/>
    <xf numFmtId="0" fontId="1" fillId="0" borderId="4" xfId="0" applyFont="1" applyBorder="1" applyAlignment="1" applyProtection="1">
      <alignment horizontal="left"/>
    </xf>
    <xf numFmtId="0" fontId="0" fillId="0" borderId="7" xfId="0" applyBorder="1" applyProtection="1"/>
    <xf numFmtId="0" fontId="1" fillId="0" borderId="10" xfId="0" applyFont="1" applyBorder="1" applyAlignment="1" applyProtection="1">
      <alignment horizontal="left"/>
    </xf>
    <xf numFmtId="0" fontId="1" fillId="0" borderId="0" xfId="0" applyFont="1" applyBorder="1" applyAlignment="1" applyProtection="1">
      <alignment horizontal="left"/>
    </xf>
    <xf numFmtId="0" fontId="0" fillId="0" borderId="0" xfId="0" applyBorder="1" applyProtection="1"/>
    <xf numFmtId="0" fontId="0" fillId="0" borderId="13" xfId="0" applyBorder="1" applyProtection="1"/>
    <xf numFmtId="1" fontId="1" fillId="8" borderId="5" xfId="0" applyNumberFormat="1" applyFont="1" applyFill="1" applyBorder="1" applyAlignment="1" applyProtection="1">
      <alignment horizontal="right"/>
      <protection locked="0"/>
    </xf>
    <xf numFmtId="1" fontId="1" fillId="8" borderId="2" xfId="0" applyNumberFormat="1" applyFont="1" applyFill="1" applyBorder="1" applyAlignment="1" applyProtection="1">
      <alignment horizontal="right"/>
      <protection locked="0"/>
    </xf>
    <xf numFmtId="0" fontId="12" fillId="0" borderId="0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7" borderId="11" xfId="0" applyFill="1" applyBorder="1" applyAlignment="1">
      <alignment horizontal="center"/>
    </xf>
    <xf numFmtId="0" fontId="0" fillId="0" borderId="3" xfId="0" applyBorder="1"/>
    <xf numFmtId="0" fontId="0" fillId="0" borderId="5" xfId="0" applyBorder="1"/>
    <xf numFmtId="0" fontId="1" fillId="0" borderId="0" xfId="0" applyFont="1" applyBorder="1" applyAlignment="1">
      <alignment horizontal="center"/>
    </xf>
    <xf numFmtId="0" fontId="0" fillId="0" borderId="0" xfId="0" applyFill="1" applyBorder="1"/>
    <xf numFmtId="0" fontId="0" fillId="0" borderId="7" xfId="0" applyFill="1" applyBorder="1"/>
    <xf numFmtId="0" fontId="1" fillId="0" borderId="7" xfId="0" applyFont="1" applyFill="1" applyBorder="1" applyAlignment="1">
      <alignment horizontal="center"/>
    </xf>
    <xf numFmtId="0" fontId="1" fillId="0" borderId="9" xfId="0" applyFont="1" applyFill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3" fillId="0" borderId="0" xfId="1"/>
    <xf numFmtId="164" fontId="0" fillId="0" borderId="0" xfId="2" applyNumberFormat="1" applyFont="1"/>
    <xf numFmtId="0" fontId="15" fillId="10" borderId="6" xfId="1" applyFont="1" applyFill="1" applyBorder="1" applyAlignment="1">
      <alignment horizontal="center"/>
    </xf>
    <xf numFmtId="0" fontId="15" fillId="10" borderId="14" xfId="1" applyFont="1" applyFill="1" applyBorder="1" applyAlignment="1">
      <alignment horizontal="center"/>
    </xf>
    <xf numFmtId="0" fontId="15" fillId="10" borderId="15" xfId="1" applyFont="1" applyFill="1" applyBorder="1" applyAlignment="1">
      <alignment horizontal="center"/>
    </xf>
    <xf numFmtId="0" fontId="13" fillId="11" borderId="16" xfId="1" applyFill="1" applyBorder="1" applyAlignment="1">
      <alignment horizontal="center"/>
    </xf>
    <xf numFmtId="164" fontId="0" fillId="11" borderId="16" xfId="2" applyNumberFormat="1" applyFont="1" applyFill="1" applyBorder="1"/>
    <xf numFmtId="41" fontId="1" fillId="0" borderId="0" xfId="0" applyNumberFormat="1" applyFont="1" applyFill="1" applyBorder="1" applyAlignment="1">
      <alignment horizontal="right"/>
    </xf>
    <xf numFmtId="0" fontId="1" fillId="0" borderId="4" xfId="0" applyFont="1" applyBorder="1" applyAlignment="1">
      <alignment horizontal="center"/>
    </xf>
    <xf numFmtId="43" fontId="1" fillId="0" borderId="9" xfId="0" applyNumberFormat="1" applyFont="1" applyFill="1" applyBorder="1" applyAlignment="1">
      <alignment horizontal="center"/>
    </xf>
    <xf numFmtId="43" fontId="1" fillId="0" borderId="11" xfId="0" applyNumberFormat="1" applyFont="1" applyFill="1" applyBorder="1" applyAlignment="1">
      <alignment horizontal="center"/>
    </xf>
    <xf numFmtId="43" fontId="1" fillId="0" borderId="5" xfId="0" applyNumberFormat="1" applyFont="1" applyFill="1" applyBorder="1" applyAlignment="1">
      <alignment horizontal="center"/>
    </xf>
    <xf numFmtId="41" fontId="1" fillId="0" borderId="7" xfId="0" applyNumberFormat="1" applyFont="1" applyFill="1" applyBorder="1" applyAlignment="1">
      <alignment horizontal="center"/>
    </xf>
    <xf numFmtId="41" fontId="1" fillId="0" borderId="0" xfId="0" applyNumberFormat="1" applyFont="1" applyFill="1" applyBorder="1" applyAlignment="1">
      <alignment horizontal="center"/>
    </xf>
    <xf numFmtId="0" fontId="1" fillId="0" borderId="3" xfId="0" applyFont="1" applyBorder="1" applyAlignment="1">
      <alignment horizontal="right"/>
    </xf>
    <xf numFmtId="41" fontId="1" fillId="0" borderId="4" xfId="0" applyNumberFormat="1" applyFont="1" applyBorder="1" applyAlignment="1">
      <alignment horizontal="center"/>
    </xf>
    <xf numFmtId="41" fontId="0" fillId="0" borderId="4" xfId="0" applyNumberFormat="1" applyFill="1" applyBorder="1"/>
    <xf numFmtId="0" fontId="16" fillId="0" borderId="0" xfId="3"/>
    <xf numFmtId="0" fontId="17" fillId="0" borderId="8" xfId="3" applyFont="1" applyBorder="1" applyAlignment="1">
      <alignment horizontal="left" vertical="top" wrapText="1"/>
    </xf>
    <xf numFmtId="0" fontId="15" fillId="0" borderId="17" xfId="3" applyFont="1" applyBorder="1" applyAlignment="1">
      <alignment horizontal="center" vertical="top" wrapText="1"/>
    </xf>
    <xf numFmtId="0" fontId="16" fillId="0" borderId="9" xfId="3" applyBorder="1"/>
    <xf numFmtId="0" fontId="15" fillId="0" borderId="10" xfId="3" applyFont="1" applyBorder="1" applyAlignment="1">
      <alignment horizontal="left" vertical="top" wrapText="1"/>
    </xf>
    <xf numFmtId="0" fontId="18" fillId="0" borderId="0" xfId="3" applyFont="1" applyAlignment="1">
      <alignment horizontal="center" vertical="top" wrapText="1"/>
    </xf>
    <xf numFmtId="10" fontId="18" fillId="0" borderId="0" xfId="3" applyNumberFormat="1" applyFont="1" applyAlignment="1">
      <alignment horizontal="right" vertical="top" wrapText="1"/>
    </xf>
    <xf numFmtId="165" fontId="18" fillId="0" borderId="0" xfId="3" applyNumberFormat="1" applyFont="1" applyAlignment="1">
      <alignment horizontal="left" vertical="top" wrapText="1"/>
    </xf>
    <xf numFmtId="0" fontId="15" fillId="0" borderId="11" xfId="3" applyFont="1" applyBorder="1" applyAlignment="1">
      <alignment horizontal="left" vertical="top" wrapText="1"/>
    </xf>
    <xf numFmtId="10" fontId="18" fillId="0" borderId="0" xfId="3" applyNumberFormat="1" applyFont="1" applyAlignment="1">
      <alignment horizontal="left" vertical="top" wrapText="1"/>
    </xf>
    <xf numFmtId="0" fontId="15" fillId="0" borderId="12" xfId="3" applyFont="1" applyBorder="1" applyAlignment="1">
      <alignment horizontal="left" vertical="top" wrapText="1"/>
    </xf>
    <xf numFmtId="0" fontId="18" fillId="0" borderId="13" xfId="3" applyFont="1" applyBorder="1" applyAlignment="1">
      <alignment horizontal="center" vertical="top" wrapText="1"/>
    </xf>
    <xf numFmtId="10" fontId="18" fillId="0" borderId="13" xfId="3" applyNumberFormat="1" applyFont="1" applyBorder="1" applyAlignment="1">
      <alignment horizontal="right" vertical="top" wrapText="1"/>
    </xf>
    <xf numFmtId="10" fontId="18" fillId="0" borderId="13" xfId="3" applyNumberFormat="1" applyFont="1" applyBorder="1" applyAlignment="1">
      <alignment horizontal="left" vertical="top" wrapText="1"/>
    </xf>
    <xf numFmtId="0" fontId="15" fillId="0" borderId="2" xfId="3" applyFont="1" applyBorder="1" applyAlignment="1">
      <alignment horizontal="left" vertical="top" wrapText="1"/>
    </xf>
    <xf numFmtId="0" fontId="19" fillId="0" borderId="0" xfId="1" applyFont="1" applyAlignment="1">
      <alignment horizontal="center"/>
    </xf>
    <xf numFmtId="0" fontId="20" fillId="0" borderId="0" xfId="1" applyFont="1"/>
    <xf numFmtId="0" fontId="20" fillId="0" borderId="0" xfId="1" applyFont="1" applyAlignment="1">
      <alignment horizontal="center"/>
    </xf>
    <xf numFmtId="0" fontId="13" fillId="10" borderId="0" xfId="1" applyFill="1"/>
    <xf numFmtId="0" fontId="21" fillId="10" borderId="0" xfId="4" applyFill="1" applyAlignment="1" applyProtection="1"/>
    <xf numFmtId="0" fontId="13" fillId="0" borderId="0" xfId="1" applyAlignment="1">
      <alignment horizontal="center"/>
    </xf>
    <xf numFmtId="0" fontId="13" fillId="10" borderId="0" xfId="1" applyFill="1" applyAlignment="1">
      <alignment horizontal="center"/>
    </xf>
    <xf numFmtId="9" fontId="0" fillId="0" borderId="11" xfId="5" applyFont="1" applyBorder="1"/>
    <xf numFmtId="0" fontId="4" fillId="0" borderId="11" xfId="0" applyFont="1" applyBorder="1" applyAlignment="1">
      <alignment horizontal="right" indent="1"/>
    </xf>
    <xf numFmtId="0" fontId="1" fillId="2" borderId="25" xfId="0" applyFont="1" applyFill="1" applyBorder="1" applyAlignment="1" applyProtection="1">
      <alignment horizontal="center"/>
    </xf>
    <xf numFmtId="0" fontId="1" fillId="2" borderId="26" xfId="0" applyFont="1" applyFill="1" applyBorder="1" applyAlignment="1" applyProtection="1">
      <alignment horizontal="center"/>
    </xf>
    <xf numFmtId="41" fontId="1" fillId="0" borderId="27" xfId="0" applyNumberFormat="1" applyFont="1" applyBorder="1" applyProtection="1"/>
    <xf numFmtId="0" fontId="1" fillId="2" borderId="28" xfId="0" applyFont="1" applyFill="1" applyBorder="1" applyAlignment="1" applyProtection="1">
      <alignment horizontal="center"/>
    </xf>
    <xf numFmtId="41" fontId="1" fillId="0" borderId="29" xfId="0" applyNumberFormat="1" applyFont="1" applyBorder="1" applyProtection="1"/>
    <xf numFmtId="41" fontId="1" fillId="0" borderId="30" xfId="0" applyNumberFormat="1" applyFont="1" applyBorder="1" applyProtection="1"/>
    <xf numFmtId="0" fontId="0" fillId="0" borderId="3" xfId="0" applyFont="1" applyBorder="1" applyAlignment="1" applyProtection="1">
      <alignment horizontal="left" indent="2"/>
    </xf>
    <xf numFmtId="0" fontId="0" fillId="0" borderId="4" xfId="0" applyFont="1" applyBorder="1" applyAlignment="1" applyProtection="1">
      <alignment horizontal="left" indent="2"/>
    </xf>
    <xf numFmtId="0" fontId="3" fillId="3" borderId="3" xfId="0" applyFont="1" applyFill="1" applyBorder="1" applyAlignment="1" applyProtection="1">
      <alignment horizontal="center"/>
    </xf>
    <xf numFmtId="0" fontId="0" fillId="3" borderId="4" xfId="0" applyFill="1" applyBorder="1" applyAlignment="1" applyProtection="1">
      <alignment horizontal="center"/>
    </xf>
    <xf numFmtId="0" fontId="0" fillId="3" borderId="5" xfId="0" applyFill="1" applyBorder="1" applyAlignment="1" applyProtection="1">
      <alignment horizontal="center"/>
    </xf>
    <xf numFmtId="0" fontId="1" fillId="0" borderId="3" xfId="0" applyFont="1" applyBorder="1" applyAlignment="1" applyProtection="1">
      <alignment horizontal="left"/>
    </xf>
    <xf numFmtId="0" fontId="1" fillId="0" borderId="4" xfId="0" applyFont="1" applyBorder="1" applyAlignment="1" applyProtection="1">
      <alignment horizontal="left"/>
    </xf>
    <xf numFmtId="0" fontId="1" fillId="2" borderId="22" xfId="0" applyFont="1" applyFill="1" applyBorder="1" applyAlignment="1" applyProtection="1">
      <alignment horizontal="center" wrapText="1"/>
    </xf>
    <xf numFmtId="0" fontId="1" fillId="2" borderId="24" xfId="0" applyFont="1" applyFill="1" applyBorder="1" applyAlignment="1" applyProtection="1">
      <alignment horizontal="center"/>
    </xf>
    <xf numFmtId="0" fontId="1" fillId="2" borderId="3" xfId="0" applyFont="1" applyFill="1" applyBorder="1" applyAlignment="1" applyProtection="1">
      <alignment horizontal="center"/>
    </xf>
    <xf numFmtId="0" fontId="1" fillId="2" borderId="4" xfId="0" applyFont="1" applyFill="1" applyBorder="1" applyAlignment="1" applyProtection="1">
      <alignment horizontal="center"/>
    </xf>
    <xf numFmtId="0" fontId="1" fillId="2" borderId="23" xfId="0" applyFont="1" applyFill="1" applyBorder="1" applyAlignment="1" applyProtection="1">
      <alignment horizontal="center"/>
    </xf>
    <xf numFmtId="0" fontId="2" fillId="5" borderId="19" xfId="0" applyFont="1" applyFill="1" applyBorder="1" applyAlignment="1" applyProtection="1">
      <alignment horizontal="center"/>
    </xf>
    <xf numFmtId="0" fontId="2" fillId="5" borderId="20" xfId="0" applyFont="1" applyFill="1" applyBorder="1" applyAlignment="1" applyProtection="1">
      <alignment horizontal="center"/>
    </xf>
    <xf numFmtId="0" fontId="2" fillId="5" borderId="21" xfId="0" applyFont="1" applyFill="1" applyBorder="1" applyAlignment="1" applyProtection="1">
      <alignment horizontal="center"/>
    </xf>
    <xf numFmtId="0" fontId="4" fillId="6" borderId="12" xfId="0" applyFont="1" applyFill="1" applyBorder="1" applyAlignment="1" applyProtection="1">
      <alignment horizontal="center" wrapText="1"/>
    </xf>
    <xf numFmtId="0" fontId="4" fillId="6" borderId="13" xfId="0" applyFont="1" applyFill="1" applyBorder="1" applyAlignment="1" applyProtection="1">
      <alignment horizontal="center"/>
    </xf>
    <xf numFmtId="0" fontId="4" fillId="6" borderId="2" xfId="0" applyFont="1" applyFill="1" applyBorder="1" applyAlignment="1" applyProtection="1">
      <alignment horizontal="center"/>
    </xf>
    <xf numFmtId="0" fontId="4" fillId="6" borderId="8" xfId="0" applyFont="1" applyFill="1" applyBorder="1" applyAlignment="1" applyProtection="1">
      <alignment horizontal="center"/>
    </xf>
    <xf numFmtId="0" fontId="4" fillId="6" borderId="7" xfId="0" applyFont="1" applyFill="1" applyBorder="1" applyAlignment="1" applyProtection="1">
      <alignment horizontal="center"/>
    </xf>
    <xf numFmtId="0" fontId="4" fillId="6" borderId="9" xfId="0" applyFont="1" applyFill="1" applyBorder="1" applyAlignment="1" applyProtection="1">
      <alignment horizontal="center"/>
    </xf>
    <xf numFmtId="0" fontId="14" fillId="0" borderId="0" xfId="1" applyFont="1" applyAlignment="1">
      <alignment horizontal="center"/>
    </xf>
    <xf numFmtId="0" fontId="0" fillId="7" borderId="3" xfId="0" applyFill="1" applyBorder="1" applyAlignment="1">
      <alignment horizontal="center"/>
    </xf>
    <xf numFmtId="0" fontId="0" fillId="7" borderId="4" xfId="0" applyFill="1" applyBorder="1" applyAlignment="1">
      <alignment horizontal="center"/>
    </xf>
    <xf numFmtId="0" fontId="0" fillId="7" borderId="5" xfId="0" applyFill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0" borderId="7" xfId="0" applyFont="1" applyBorder="1" applyAlignment="1">
      <alignment horizontal="center"/>
    </xf>
    <xf numFmtId="0" fontId="10" fillId="0" borderId="9" xfId="0" applyFont="1" applyBorder="1" applyAlignment="1">
      <alignment horizontal="center"/>
    </xf>
    <xf numFmtId="0" fontId="11" fillId="9" borderId="3" xfId="0" applyFont="1" applyFill="1" applyBorder="1" applyAlignment="1">
      <alignment horizontal="center"/>
    </xf>
    <xf numFmtId="0" fontId="11" fillId="9" borderId="4" xfId="0" applyFont="1" applyFill="1" applyBorder="1" applyAlignment="1">
      <alignment horizontal="center"/>
    </xf>
    <xf numFmtId="0" fontId="11" fillId="9" borderId="5" xfId="0" applyFont="1" applyFill="1" applyBorder="1" applyAlignment="1">
      <alignment horizontal="center"/>
    </xf>
    <xf numFmtId="0" fontId="10" fillId="5" borderId="8" xfId="0" applyFont="1" applyFill="1" applyBorder="1" applyAlignment="1">
      <alignment horizontal="center"/>
    </xf>
    <xf numFmtId="0" fontId="10" fillId="5" borderId="7" xfId="0" applyFont="1" applyFill="1" applyBorder="1" applyAlignment="1">
      <alignment horizontal="center"/>
    </xf>
    <xf numFmtId="0" fontId="10" fillId="5" borderId="9" xfId="0" applyFont="1" applyFill="1" applyBorder="1" applyAlignment="1">
      <alignment horizontal="center"/>
    </xf>
    <xf numFmtId="0" fontId="1" fillId="5" borderId="10" xfId="0" applyFont="1" applyFill="1" applyBorder="1" applyAlignment="1">
      <alignment horizontal="center"/>
    </xf>
    <xf numFmtId="0" fontId="1" fillId="5" borderId="0" xfId="0" applyFont="1" applyFill="1" applyBorder="1" applyAlignment="1">
      <alignment horizontal="center"/>
    </xf>
    <xf numFmtId="0" fontId="1" fillId="5" borderId="11" xfId="0" applyFont="1" applyFill="1" applyBorder="1" applyAlignment="1">
      <alignment horizontal="center"/>
    </xf>
    <xf numFmtId="0" fontId="17" fillId="12" borderId="3" xfId="3" applyFont="1" applyFill="1" applyBorder="1" applyAlignment="1">
      <alignment horizontal="center" vertical="top" wrapText="1"/>
    </xf>
    <xf numFmtId="0" fontId="17" fillId="12" borderId="4" xfId="3" applyFont="1" applyFill="1" applyBorder="1" applyAlignment="1">
      <alignment horizontal="center" vertical="top" wrapText="1"/>
    </xf>
    <xf numFmtId="0" fontId="17" fillId="12" borderId="5" xfId="3" applyFont="1" applyFill="1" applyBorder="1" applyAlignment="1">
      <alignment horizontal="center" vertical="top" wrapText="1"/>
    </xf>
    <xf numFmtId="0" fontId="15" fillId="0" borderId="17" xfId="3" applyFont="1" applyBorder="1" applyAlignment="1">
      <alignment horizontal="center" vertical="top" wrapText="1"/>
    </xf>
    <xf numFmtId="0" fontId="19" fillId="0" borderId="18" xfId="1" applyFont="1" applyBorder="1" applyAlignment="1">
      <alignment horizontal="center"/>
    </xf>
    <xf numFmtId="0" fontId="3" fillId="13" borderId="3" xfId="0" applyFont="1" applyFill="1" applyBorder="1" applyAlignment="1">
      <alignment horizontal="center" vertical="center"/>
    </xf>
    <xf numFmtId="0" fontId="5" fillId="13" borderId="4" xfId="0" applyFont="1" applyFill="1" applyBorder="1" applyAlignment="1">
      <alignment horizontal="center" vertical="center"/>
    </xf>
    <xf numFmtId="0" fontId="5" fillId="13" borderId="5" xfId="0" applyFont="1" applyFill="1" applyBorder="1" applyAlignment="1">
      <alignment horizontal="center" vertical="center"/>
    </xf>
  </cellXfs>
  <cellStyles count="6">
    <cellStyle name="Comma 2" xfId="2" xr:uid="{21498F37-375F-443B-B5C8-7AF98538BCCE}"/>
    <cellStyle name="Hyperlink 2" xfId="4" xr:uid="{CA6B585B-56B4-423A-80D5-EC2D8C42064E}"/>
    <cellStyle name="Normal" xfId="0" builtinId="0"/>
    <cellStyle name="Normal 2" xfId="1" xr:uid="{2C474FB3-3ED4-42C1-B268-C5F8D5C69CA5}"/>
    <cellStyle name="Normal 4" xfId="3" xr:uid="{F0DAB885-74DF-4E51-85DF-CA2250F5F54F}"/>
    <cellStyle name="Percent" xfId="5" builtinId="5"/>
  </cellStyles>
  <dxfs count="2">
    <dxf>
      <font>
        <b/>
        <i val="0"/>
        <strike val="0"/>
        <color theme="4" tint="-0.499984740745262"/>
      </font>
      <fill>
        <patternFill>
          <bgColor rgb="FFFFFF66"/>
        </patternFill>
      </fill>
    </dxf>
    <dxf>
      <font>
        <b/>
        <i val="0"/>
        <color theme="9" tint="-0.499984740745262"/>
      </font>
      <fill>
        <patternFill>
          <bgColor rgb="FFFF99CC"/>
        </patternFill>
      </fill>
    </dxf>
  </dxfs>
  <tableStyles count="0" defaultTableStyle="TableStyleMedium2" defaultPivotStyle="PivotStyleLight16"/>
  <colors>
    <mruColors>
      <color rgb="FFFF99CC"/>
      <color rgb="FFFF6699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3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externalLink" Target="externalLinks/externalLink6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5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4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Guodong\Pension\FundPPA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xm1jk7r\Documents\Guodong%20on%20C\Excel\Excel\201\4.2%20Char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view%201\H\Private%20-%20Li\Pleasure\Weight%20Control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Guodong\Pension\FASB158.xlsm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view%201\H\Maryville\Maryville%20-%20Key%20Files\ACSC%20201%20and%20301\Tests%20and%20Exams\Test%201.1-5.5%20-%20Count%20&amp;%20Annuity%20&amp;%20Statement%20&amp;%20Rate%20Chart%20&amp;%20Pivot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view\Pending\Model%20FAS%20158%20Disclosur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Y"/>
      <sheetName val="TY"/>
      <sheetName val="NY"/>
      <sheetName val="BasePY"/>
      <sheetName val="Contrib"/>
      <sheetName val="Input"/>
      <sheetName val="Liability"/>
      <sheetName val="ProVal"/>
      <sheetName val="Analysis"/>
      <sheetName val="ProValInfo"/>
      <sheetName val="ProVal0"/>
      <sheetName val="ProVal1"/>
      <sheetName val="PartD"/>
      <sheetName val="Major"/>
      <sheetName val="C"/>
      <sheetName val="DiscAC"/>
      <sheetName val="Disc C"/>
      <sheetName val="B"/>
      <sheetName val="AM"/>
      <sheetName val="Plan"/>
      <sheetName val="YC"/>
      <sheetName val="Rate"/>
      <sheetName val="Note"/>
      <sheetName val="Table"/>
      <sheetName val="Cover"/>
      <sheetName val="Data"/>
      <sheetName val="Result"/>
      <sheetName val="FT"/>
      <sheetName val="AS"/>
      <sheetName val="AV"/>
      <sheetName val="Return"/>
      <sheetName val="ROR"/>
      <sheetName val="SchSB"/>
      <sheetName val="Election"/>
      <sheetName val="AFN"/>
      <sheetName val="4010"/>
      <sheetName val="GL"/>
      <sheetName val="Stat"/>
      <sheetName val="Sum"/>
      <sheetName val="At-Risk"/>
      <sheetName val="At-Risk max"/>
      <sheetName val="Burn CB"/>
      <sheetName val="Shortfall"/>
      <sheetName val="Base"/>
      <sheetName val="ASC 960"/>
      <sheetName val="FB"/>
      <sheetName val="min"/>
      <sheetName val="max"/>
      <sheetName val="Qtrly"/>
      <sheetName val="PBGC"/>
      <sheetName val="PBGC F"/>
      <sheetName val="SB"/>
      <sheetName val="Calendar"/>
      <sheetName val="AFTAP"/>
      <sheetName val="X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>
        <row r="5">
          <cell r="I5">
            <v>40909</v>
          </cell>
        </row>
      </sheetData>
      <sheetData sheetId="19"/>
      <sheetData sheetId="20"/>
      <sheetData sheetId="21"/>
      <sheetData sheetId="22"/>
      <sheetData sheetId="23">
        <row r="3">
          <cell r="J3" t="str">
            <v>Market Value</v>
          </cell>
          <cell r="K3" t="str">
            <v>Reg 1.412(c)(2)-1(c) &amp; RP 2000-40 Sec 4.10</v>
          </cell>
        </row>
        <row r="4">
          <cell r="J4" t="str">
            <v>Average Value</v>
          </cell>
          <cell r="K4" t="str">
            <v>Reg 1.412(c)(2)-1(b)(7) &amp; RP 2000-40 Sec 4.11</v>
          </cell>
        </row>
        <row r="5">
          <cell r="J5" t="str">
            <v>Average Value</v>
          </cell>
          <cell r="K5" t="str">
            <v>Reg 1.412(c)(2)-1(b)(7) &amp; RP 2000-40 Sec 4.12, Phase-in</v>
          </cell>
        </row>
        <row r="6">
          <cell r="J6" t="str">
            <v>Expected AV1</v>
          </cell>
          <cell r="K6" t="str">
            <v>Recognize G/L as equal payments</v>
          </cell>
        </row>
        <row r="7">
          <cell r="J7" t="str">
            <v>Expected AV2</v>
          </cell>
          <cell r="K7" t="str">
            <v>Adjust AV toward MV by fixed %</v>
          </cell>
        </row>
        <row r="8">
          <cell r="J8" t="str">
            <v>Smoothed Value</v>
          </cell>
          <cell r="K8" t="str">
            <v>Rev Proc 2000-40 Sec 4.15</v>
          </cell>
        </row>
        <row r="9">
          <cell r="J9" t="str">
            <v>Smoothed Value</v>
          </cell>
          <cell r="K9" t="str">
            <v>Rev Proc 2000-40 Sec 4.16, Phase-in</v>
          </cell>
        </row>
        <row r="10">
          <cell r="J10" t="str">
            <v>Average Value</v>
          </cell>
          <cell r="K10" t="str">
            <v>Reg 1.412(c)(2)-1(b)(7) &amp; RP 2000-40 Sec 4.17, Phase-in</v>
          </cell>
        </row>
        <row r="11">
          <cell r="J11" t="str">
            <v>Undefined</v>
          </cell>
          <cell r="K11" t="str">
            <v>Undefined</v>
          </cell>
        </row>
        <row r="12">
          <cell r="J12" t="str">
            <v>Undefined</v>
          </cell>
          <cell r="K12" t="str">
            <v>Undefined</v>
          </cell>
        </row>
        <row r="13">
          <cell r="J13" t="str">
            <v>Other Method</v>
          </cell>
          <cell r="K13" t="str">
            <v>Other Method</v>
          </cell>
        </row>
      </sheetData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>
        <row r="2">
          <cell r="A2" t="str">
            <v>Version 1/1 - 1/1/2000</v>
          </cell>
        </row>
        <row r="5">
          <cell r="F5" t="str">
            <v/>
          </cell>
        </row>
        <row r="9">
          <cell r="C9" t="str">
            <v>Inc. Pension Plan</v>
          </cell>
        </row>
        <row r="10">
          <cell r="C10" t="str">
            <v>Billing Code:                           Version 1/1 - 1/1/2000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"/>
      <sheetName val="Student Records"/>
      <sheetName val="Count"/>
      <sheetName val="Progress to Goal"/>
      <sheetName val="HW Progress"/>
      <sheetName val="Weight Watch"/>
      <sheetName val="Static"/>
      <sheetName val="dynamic"/>
    </sheetNames>
    <sheetDataSet>
      <sheetData sheetId="0"/>
      <sheetData sheetId="1"/>
      <sheetData sheetId="2"/>
      <sheetData sheetId="3"/>
      <sheetData sheetId="4"/>
      <sheetData sheetId="5">
        <row r="2">
          <cell r="I2">
            <v>10</v>
          </cell>
        </row>
        <row r="3">
          <cell r="I3">
            <v>25</v>
          </cell>
        </row>
        <row r="9">
          <cell r="B9" t="str">
            <v>Date</v>
          </cell>
        </row>
      </sheetData>
      <sheetData sheetId="6"/>
      <sheetData sheetId="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iking"/>
      <sheetName val="Weight"/>
      <sheetName val="Salman"/>
      <sheetName val="Stairs"/>
      <sheetName val="Golf"/>
      <sheetName val="Misc"/>
      <sheetName val="Golf Courses"/>
      <sheetName val="Ping Pang"/>
      <sheetName val="Hiking Trails"/>
      <sheetName val="Health Info"/>
      <sheetName val="Weight &amp; more"/>
      <sheetName val="Activities before 2014"/>
      <sheetName val="Activity"/>
      <sheetName val="JGP"/>
      <sheetName val="Swim"/>
      <sheetName val="Record Sheet"/>
      <sheetName val="Record Time"/>
      <sheetName val="Event"/>
      <sheetName val="Trails"/>
    </sheetNames>
    <sheetDataSet>
      <sheetData sheetId="0" refreshError="1"/>
      <sheetData sheetId="1">
        <row r="1">
          <cell r="J1">
            <v>0</v>
          </cell>
        </row>
      </sheetData>
      <sheetData sheetId="2">
        <row r="4">
          <cell r="B4">
            <v>160</v>
          </cell>
        </row>
        <row r="9">
          <cell r="G9">
            <v>34.5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"/>
      <sheetName val="Update"/>
      <sheetName val="LY"/>
      <sheetName val="TY"/>
      <sheetName val="NY"/>
      <sheetName val="Input"/>
      <sheetName val="ProVal"/>
      <sheetName val="ProValEst"/>
      <sheetName val="Analysis"/>
      <sheetName val="PartD"/>
      <sheetName val="Liability"/>
      <sheetName val="ProValInfo"/>
      <sheetName val="Contrib"/>
      <sheetName val="Table"/>
      <sheetName val="Base"/>
      <sheetName val="B"/>
      <sheetName val="Major"/>
      <sheetName val="Plan"/>
      <sheetName val="Sum"/>
      <sheetName val="AS"/>
      <sheetName val="MRV"/>
      <sheetName val="Int"/>
      <sheetName val="PSC"/>
      <sheetName val="GL"/>
      <sheetName val="NPBC"/>
      <sheetName val="FAS158"/>
      <sheetName val="FAS158 - before"/>
      <sheetName val="PJ"/>
      <sheetName val="AML"/>
      <sheetName val="Recon"/>
      <sheetName val="AS PJ"/>
      <sheetName val="Recon Sum"/>
      <sheetName val="X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>
        <row r="21">
          <cell r="C21" t="str">
            <v>Market Value</v>
          </cell>
          <cell r="D21" t="str">
            <v>Reg 1.412(c)(2)-1(c) &amp; RP 2000-40 Sec 4.10</v>
          </cell>
        </row>
        <row r="22">
          <cell r="C22" t="str">
            <v>Average Value</v>
          </cell>
          <cell r="D22" t="str">
            <v>Reg 1.412(c)(2)-1(b)(7) &amp; RP 2000-40 Sec 4.11</v>
          </cell>
        </row>
        <row r="23">
          <cell r="C23" t="str">
            <v>Average Value</v>
          </cell>
          <cell r="D23" t="str">
            <v>Reg 1.412(c)(2)-1(b)(7) &amp; RP 2000-40 Sec 4.12, Phase-in</v>
          </cell>
        </row>
        <row r="24">
          <cell r="C24" t="str">
            <v>Expected AV1</v>
          </cell>
          <cell r="D24" t="str">
            <v>Recognize G/L as equal payments</v>
          </cell>
        </row>
        <row r="25">
          <cell r="C25" t="str">
            <v>Expected AV2</v>
          </cell>
          <cell r="D25" t="str">
            <v>Adjust AV toward MV by fixed %</v>
          </cell>
        </row>
        <row r="26">
          <cell r="C26" t="str">
            <v>Smoothed Value</v>
          </cell>
          <cell r="D26" t="str">
            <v>Rev Proc 2000-40 Sec 4.15</v>
          </cell>
        </row>
        <row r="27">
          <cell r="C27" t="str">
            <v>Smoothed Value</v>
          </cell>
          <cell r="D27" t="str">
            <v>Rev Proc 2000-40 Sec 4.16, Phase-in</v>
          </cell>
        </row>
        <row r="28">
          <cell r="C28" t="str">
            <v>Average Value</v>
          </cell>
          <cell r="D28" t="str">
            <v>Reg 1.412(c)(2)-1(b)(7) &amp; RP 2000-40 Sec 4.17, Phase-in</v>
          </cell>
        </row>
        <row r="29">
          <cell r="C29" t="str">
            <v>Smoothed Value</v>
          </cell>
          <cell r="D29" t="str">
            <v>Smoothed Value w/ PY expected return</v>
          </cell>
        </row>
        <row r="30">
          <cell r="C30" t="str">
            <v>Undefined</v>
          </cell>
          <cell r="D30" t="str">
            <v>Undefined</v>
          </cell>
        </row>
        <row r="31">
          <cell r="C31" t="str">
            <v>Other Method</v>
          </cell>
          <cell r="D31" t="str">
            <v>Other Method</v>
          </cell>
        </row>
      </sheetData>
      <sheetData sheetId="14" refreshError="1"/>
      <sheetData sheetId="15" refreshError="1"/>
      <sheetData sheetId="16" refreshError="1"/>
      <sheetData sheetId="17">
        <row r="35">
          <cell r="F35">
            <v>0</v>
          </cell>
        </row>
      </sheetData>
      <sheetData sheetId="18">
        <row r="7">
          <cell r="E7">
            <v>41275</v>
          </cell>
        </row>
      </sheetData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rd"/>
      <sheetName val="Qx"/>
      <sheetName val="Filter DB"/>
      <sheetName val="Pivot Table"/>
      <sheetName val="Age Dist"/>
      <sheetName val="Annuity"/>
      <sheetName val="Rate"/>
      <sheetName val="Statement"/>
      <sheetName val="Progrss Graph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2">
          <cell r="B2" t="str">
            <v>Interest Rate</v>
          </cell>
        </row>
        <row r="3">
          <cell r="B3" t="str">
            <v>Year</v>
          </cell>
          <cell r="C3" t="str">
            <v>Rate</v>
          </cell>
        </row>
        <row r="4">
          <cell r="B4">
            <v>2008</v>
          </cell>
          <cell r="C4">
            <v>0.04</v>
          </cell>
        </row>
        <row r="5">
          <cell r="B5">
            <v>2009</v>
          </cell>
          <cell r="C5">
            <v>7.4999999999999997E-2</v>
          </cell>
        </row>
        <row r="6">
          <cell r="B6">
            <v>2010</v>
          </cell>
          <cell r="C6">
            <v>6.5000000000000002E-2</v>
          </cell>
        </row>
        <row r="7">
          <cell r="B7">
            <v>2011</v>
          </cell>
          <cell r="C7">
            <v>7.2499999999999995E-2</v>
          </cell>
        </row>
        <row r="8">
          <cell r="B8">
            <v>2012</v>
          </cell>
          <cell r="C8">
            <v>6.5000000000000002E-2</v>
          </cell>
        </row>
        <row r="9">
          <cell r="B9">
            <v>2013</v>
          </cell>
          <cell r="C9">
            <v>0.04</v>
          </cell>
        </row>
        <row r="10">
          <cell r="B10">
            <v>2014</v>
          </cell>
        </row>
        <row r="11">
          <cell r="B11">
            <v>2015</v>
          </cell>
        </row>
        <row r="12">
          <cell r="B12">
            <v>2016</v>
          </cell>
        </row>
        <row r="13">
          <cell r="B13">
            <v>2017</v>
          </cell>
        </row>
        <row r="14">
          <cell r="B14">
            <v>2018</v>
          </cell>
        </row>
        <row r="15">
          <cell r="B15">
            <v>2019</v>
          </cell>
        </row>
        <row r="16">
          <cell r="B16">
            <v>2020</v>
          </cell>
        </row>
        <row r="17">
          <cell r="B17">
            <v>2021</v>
          </cell>
        </row>
        <row r="18">
          <cell r="B18">
            <v>2022</v>
          </cell>
        </row>
        <row r="19">
          <cell r="B19">
            <v>2023</v>
          </cell>
        </row>
        <row r="20">
          <cell r="B20">
            <v>2024</v>
          </cell>
        </row>
        <row r="21">
          <cell r="B21">
            <v>2025</v>
          </cell>
        </row>
        <row r="22">
          <cell r="B22">
            <v>2026</v>
          </cell>
        </row>
        <row r="23">
          <cell r="B23">
            <v>2027</v>
          </cell>
        </row>
        <row r="24">
          <cell r="B24">
            <v>2028</v>
          </cell>
        </row>
        <row r="26">
          <cell r="B26" t="str">
            <v>Current Year Info</v>
          </cell>
        </row>
        <row r="27">
          <cell r="B27" t="str">
            <v>Contract Year</v>
          </cell>
          <cell r="C27" t="str">
            <v>Rate</v>
          </cell>
        </row>
        <row r="28">
          <cell r="B28">
            <v>2013</v>
          </cell>
          <cell r="C28">
            <v>0.04</v>
          </cell>
        </row>
      </sheetData>
      <sheetData sheetId="7" refreshError="1"/>
      <sheetData sheetId="8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o"/>
      <sheetName val="FAS 158 Input"/>
      <sheetName val="Print Public for Profit"/>
      <sheetName val="Print Nonprofit"/>
      <sheetName val="Print Nonpublic"/>
    </sheetNames>
    <sheetDataSet>
      <sheetData sheetId="0"/>
      <sheetData sheetId="1">
        <row r="4">
          <cell r="H4">
            <v>2006</v>
          </cell>
        </row>
      </sheetData>
      <sheetData sheetId="2">
        <row r="5">
          <cell r="C5">
            <v>2005</v>
          </cell>
        </row>
      </sheetData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31D6CB-88BA-4CD9-8A99-D4BE933A9DE8}">
  <sheetPr>
    <pageSetUpPr fitToPage="1"/>
  </sheetPr>
  <dimension ref="B1:H26"/>
  <sheetViews>
    <sheetView showGridLines="0" tabSelected="1" zoomScale="83" workbookViewId="0">
      <selection activeCell="C20" sqref="C20"/>
    </sheetView>
  </sheetViews>
  <sheetFormatPr defaultColWidth="8.85546875" defaultRowHeight="15"/>
  <cols>
    <col min="1" max="1" width="4.7109375" customWidth="1"/>
    <col min="2" max="2" width="8.85546875" customWidth="1"/>
    <col min="3" max="8" width="11.42578125" customWidth="1"/>
  </cols>
  <sheetData>
    <row r="1" spans="2:8" ht="12.75" customHeight="1"/>
    <row r="2" spans="2:8" ht="15.75" thickBot="1"/>
    <row r="3" spans="2:8" ht="21" customHeight="1" thickBot="1">
      <c r="B3" s="100" t="s">
        <v>0</v>
      </c>
      <c r="C3" s="101"/>
      <c r="D3" s="101"/>
      <c r="E3" s="101"/>
      <c r="F3" s="101"/>
      <c r="G3" s="101"/>
      <c r="H3" s="102"/>
    </row>
    <row r="4" spans="2:8" ht="15.75" thickBot="1">
      <c r="B4" s="29" t="s">
        <v>1</v>
      </c>
      <c r="C4" s="30"/>
      <c r="D4" s="30"/>
      <c r="E4" s="30"/>
      <c r="F4" s="30"/>
      <c r="G4" s="30"/>
      <c r="H4" s="17">
        <v>60000</v>
      </c>
    </row>
    <row r="5" spans="2:8" ht="15.75" thickBot="1">
      <c r="B5" s="103" t="s">
        <v>2</v>
      </c>
      <c r="C5" s="104"/>
      <c r="D5" s="104"/>
      <c r="E5" s="31"/>
      <c r="F5" s="30"/>
      <c r="G5" s="30"/>
      <c r="H5" s="18">
        <v>0.03</v>
      </c>
    </row>
    <row r="6" spans="2:8" ht="15.75" thickBot="1">
      <c r="B6" s="103" t="s">
        <v>3</v>
      </c>
      <c r="C6" s="104"/>
      <c r="D6" s="104"/>
      <c r="E6" s="104"/>
      <c r="F6" s="30"/>
      <c r="G6" s="30"/>
      <c r="H6" s="18">
        <v>0.04</v>
      </c>
    </row>
    <row r="7" spans="2:8" ht="15.75" thickBot="1">
      <c r="B7" s="103" t="s">
        <v>7</v>
      </c>
      <c r="C7" s="104"/>
      <c r="D7" s="104"/>
      <c r="E7" s="104"/>
      <c r="F7" s="32"/>
      <c r="G7" s="32"/>
      <c r="H7" s="19">
        <v>0.05</v>
      </c>
    </row>
    <row r="8" spans="2:8" ht="15.75" thickBot="1">
      <c r="B8" s="103" t="s">
        <v>8</v>
      </c>
      <c r="C8" s="104"/>
      <c r="D8" s="104"/>
      <c r="E8" s="31"/>
      <c r="F8" s="30"/>
      <c r="G8" s="30"/>
      <c r="H8" s="37"/>
    </row>
    <row r="9" spans="2:8" ht="15.75" thickBot="1">
      <c r="B9" s="33" t="s">
        <v>9</v>
      </c>
      <c r="C9" s="34"/>
      <c r="D9" s="34"/>
      <c r="E9" s="34"/>
      <c r="F9" s="35"/>
      <c r="G9" s="35"/>
      <c r="H9" s="22"/>
    </row>
    <row r="10" spans="2:8" ht="15.75" thickBot="1">
      <c r="B10" s="98" t="s">
        <v>10</v>
      </c>
      <c r="C10" s="99"/>
      <c r="D10" s="99"/>
      <c r="E10" s="99"/>
      <c r="F10" s="30"/>
      <c r="G10" s="30"/>
      <c r="H10" s="37"/>
    </row>
    <row r="11" spans="2:8" ht="15.75" thickBot="1">
      <c r="B11" s="98" t="s">
        <v>11</v>
      </c>
      <c r="C11" s="99"/>
      <c r="D11" s="99"/>
      <c r="E11" s="99"/>
      <c r="F11" s="36"/>
      <c r="G11" s="36"/>
      <c r="H11" s="38"/>
    </row>
    <row r="12" spans="2:8" hidden="1">
      <c r="B12" s="23">
        <f>IF(ISBLANK(H8),65,H8)</f>
        <v>65</v>
      </c>
      <c r="C12" s="23"/>
      <c r="D12" s="23">
        <f>IF(ISBLANK(H10),55,H10)</f>
        <v>55</v>
      </c>
      <c r="E12" s="23"/>
      <c r="F12" s="24">
        <f>IF(ISBLANK(H11),10,H11)</f>
        <v>10</v>
      </c>
      <c r="G12" s="21"/>
      <c r="H12" s="25"/>
    </row>
    <row r="13" spans="2:8" ht="15" customHeight="1" thickBot="1">
      <c r="B13" s="20"/>
      <c r="C13" s="20"/>
      <c r="D13" s="20"/>
      <c r="E13" s="20"/>
      <c r="F13" s="21"/>
      <c r="G13" s="21"/>
      <c r="H13" s="26"/>
    </row>
    <row r="14" spans="2:8" ht="20.25" thickTop="1" thickBot="1">
      <c r="B14" s="110" t="s">
        <v>4</v>
      </c>
      <c r="C14" s="111"/>
      <c r="D14" s="111"/>
      <c r="E14" s="111"/>
      <c r="F14" s="111"/>
      <c r="G14" s="111"/>
      <c r="H14" s="112"/>
    </row>
    <row r="15" spans="2:8">
      <c r="B15" s="116" t="str">
        <f>"Normal Retirement Age: "&amp;B12</f>
        <v>Normal Retirement Age: 65</v>
      </c>
      <c r="C15" s="117"/>
      <c r="D15" s="117"/>
      <c r="E15" s="117"/>
      <c r="F15" s="117"/>
      <c r="G15" s="117"/>
      <c r="H15" s="118"/>
    </row>
    <row r="16" spans="2:8" ht="15" customHeight="1" thickBot="1">
      <c r="B16" s="113" t="str">
        <f>"Early Retirement Requirements: Age " &amp; D12 &amp; " with " &amp; F12 &amp; " years of Service"</f>
        <v>Early Retirement Requirements: Age 55 with 10 years of Service</v>
      </c>
      <c r="C16" s="114"/>
      <c r="D16" s="114"/>
      <c r="E16" s="114"/>
      <c r="F16" s="114"/>
      <c r="G16" s="114"/>
      <c r="H16" s="115"/>
    </row>
    <row r="17" spans="2:8" ht="15.75" thickBot="1">
      <c r="B17" s="105" t="s">
        <v>5</v>
      </c>
      <c r="C17" s="107" t="s">
        <v>6</v>
      </c>
      <c r="D17" s="108"/>
      <c r="E17" s="108"/>
      <c r="F17" s="108"/>
      <c r="G17" s="108"/>
      <c r="H17" s="109"/>
    </row>
    <row r="18" spans="2:8" ht="15.75" thickBot="1">
      <c r="B18" s="106"/>
      <c r="C18" s="28">
        <v>70</v>
      </c>
      <c r="D18" s="28">
        <v>65</v>
      </c>
      <c r="E18" s="28">
        <v>62</v>
      </c>
      <c r="F18" s="28">
        <v>60</v>
      </c>
      <c r="G18" s="28">
        <v>55</v>
      </c>
      <c r="H18" s="92">
        <v>50</v>
      </c>
    </row>
    <row r="19" spans="2:8" ht="15.75" thickBot="1">
      <c r="B19" s="93">
        <v>5</v>
      </c>
      <c r="C19" s="27">
        <f>IF(AND(OR($B19&gt;=$F$12,C$18&gt;=$B$12),NOT(C$18&lt;$D$12)),$H$4*$H$5*$B19 * IF(C$18&gt;=$B$12, (1+$H$7*(C$18-$B$12)),(1-$H$6*($B$12-C$18))),0)</f>
        <v>11250</v>
      </c>
      <c r="D19" s="27">
        <f t="shared" ref="D19:H25" si="0">IF(AND(OR($B19&gt;=$F$12,D$18&gt;=$B$12),NOT(D$18&lt;$D$12)),$H$4*$H$5*$B19 * IF(D$18&gt;=$B$12, (1+$H$7*(D$18-$B$12)),(1-$H$6*($B$12-D$18))),0)</f>
        <v>9000</v>
      </c>
      <c r="E19" s="27">
        <f t="shared" si="0"/>
        <v>0</v>
      </c>
      <c r="F19" s="27">
        <f t="shared" si="0"/>
        <v>0</v>
      </c>
      <c r="G19" s="27">
        <f t="shared" si="0"/>
        <v>0</v>
      </c>
      <c r="H19" s="94">
        <f t="shared" si="0"/>
        <v>0</v>
      </c>
    </row>
    <row r="20" spans="2:8" ht="15.75" thickBot="1">
      <c r="B20" s="93">
        <v>10</v>
      </c>
      <c r="C20" s="27">
        <f t="shared" ref="C20:C25" si="1">IF(AND(OR($B20&gt;=$F$12,C$18&gt;=$B$12),NOT(C$18&lt;$D$12)),$H$4*$H$5*$B20 * IF(C$18&gt;=$B$12, (1+$H$7*(C$18-$B$12)),(1-$H$6*($B$12-C$18))),0)</f>
        <v>22500</v>
      </c>
      <c r="D20" s="27">
        <f t="shared" si="0"/>
        <v>18000</v>
      </c>
      <c r="E20" s="27">
        <f t="shared" si="0"/>
        <v>15840</v>
      </c>
      <c r="F20" s="27">
        <f t="shared" si="0"/>
        <v>14400</v>
      </c>
      <c r="G20" s="27">
        <f t="shared" si="0"/>
        <v>10800</v>
      </c>
      <c r="H20" s="94">
        <f t="shared" si="0"/>
        <v>0</v>
      </c>
    </row>
    <row r="21" spans="2:8" ht="15.75" thickBot="1">
      <c r="B21" s="93">
        <v>15</v>
      </c>
      <c r="C21" s="27">
        <f t="shared" si="1"/>
        <v>33750</v>
      </c>
      <c r="D21" s="27">
        <f t="shared" si="0"/>
        <v>27000</v>
      </c>
      <c r="E21" s="27">
        <f t="shared" si="0"/>
        <v>23760</v>
      </c>
      <c r="F21" s="27">
        <f t="shared" si="0"/>
        <v>21600</v>
      </c>
      <c r="G21" s="27">
        <f t="shared" si="0"/>
        <v>16200</v>
      </c>
      <c r="H21" s="94">
        <f t="shared" si="0"/>
        <v>0</v>
      </c>
    </row>
    <row r="22" spans="2:8" ht="15.75" thickBot="1">
      <c r="B22" s="93">
        <v>20</v>
      </c>
      <c r="C22" s="27">
        <f t="shared" si="1"/>
        <v>45000</v>
      </c>
      <c r="D22" s="27">
        <f t="shared" si="0"/>
        <v>36000</v>
      </c>
      <c r="E22" s="27">
        <f t="shared" si="0"/>
        <v>31680</v>
      </c>
      <c r="F22" s="27">
        <f t="shared" si="0"/>
        <v>28800</v>
      </c>
      <c r="G22" s="27">
        <f t="shared" si="0"/>
        <v>21600</v>
      </c>
      <c r="H22" s="94">
        <f t="shared" si="0"/>
        <v>0</v>
      </c>
    </row>
    <row r="23" spans="2:8" ht="15.75" thickBot="1">
      <c r="B23" s="93">
        <v>25</v>
      </c>
      <c r="C23" s="27">
        <f t="shared" si="1"/>
        <v>56250</v>
      </c>
      <c r="D23" s="27">
        <f t="shared" si="0"/>
        <v>45000</v>
      </c>
      <c r="E23" s="27">
        <f t="shared" si="0"/>
        <v>39600</v>
      </c>
      <c r="F23" s="27">
        <f t="shared" si="0"/>
        <v>36000</v>
      </c>
      <c r="G23" s="27">
        <f t="shared" si="0"/>
        <v>27000</v>
      </c>
      <c r="H23" s="94">
        <f t="shared" si="0"/>
        <v>0</v>
      </c>
    </row>
    <row r="24" spans="2:8" ht="15.75" thickBot="1">
      <c r="B24" s="93">
        <v>30</v>
      </c>
      <c r="C24" s="27">
        <f t="shared" si="1"/>
        <v>67500</v>
      </c>
      <c r="D24" s="27">
        <f t="shared" si="0"/>
        <v>54000</v>
      </c>
      <c r="E24" s="27">
        <f t="shared" si="0"/>
        <v>47520</v>
      </c>
      <c r="F24" s="27">
        <f t="shared" si="0"/>
        <v>43200</v>
      </c>
      <c r="G24" s="27">
        <f>IF(AND(OR($B24&gt;=$F$12,G$18&gt;=$B$12),NOT(G$18&lt;$D$12)),$H$4*$H$5*$B24 * IF(G$18&gt;=$B$12, (1+$H$7*(G$18-$B$12)),(1-$H$6*($B$12-G$18))),0)</f>
        <v>32400</v>
      </c>
      <c r="H24" s="94">
        <f t="shared" si="0"/>
        <v>0</v>
      </c>
    </row>
    <row r="25" spans="2:8" ht="15.75" thickBot="1">
      <c r="B25" s="95">
        <v>35</v>
      </c>
      <c r="C25" s="96">
        <f t="shared" si="1"/>
        <v>78750</v>
      </c>
      <c r="D25" s="96">
        <f t="shared" si="0"/>
        <v>63000</v>
      </c>
      <c r="E25" s="96">
        <f t="shared" si="0"/>
        <v>55440</v>
      </c>
      <c r="F25" s="96">
        <f t="shared" si="0"/>
        <v>50400</v>
      </c>
      <c r="G25" s="96">
        <f t="shared" si="0"/>
        <v>37800</v>
      </c>
      <c r="H25" s="97">
        <f t="shared" si="0"/>
        <v>0</v>
      </c>
    </row>
    <row r="26" spans="2:8" ht="15.75" thickTop="1"/>
  </sheetData>
  <sheetProtection selectLockedCells="1"/>
  <mergeCells count="12">
    <mergeCell ref="B11:E11"/>
    <mergeCell ref="B3:H3"/>
    <mergeCell ref="B5:D5"/>
    <mergeCell ref="B17:B18"/>
    <mergeCell ref="C17:H17"/>
    <mergeCell ref="B14:H14"/>
    <mergeCell ref="B16:H16"/>
    <mergeCell ref="B15:H15"/>
    <mergeCell ref="B10:E10"/>
    <mergeCell ref="B8:D8"/>
    <mergeCell ref="B7:E7"/>
    <mergeCell ref="B6:E6"/>
  </mergeCells>
  <conditionalFormatting sqref="C19:H25">
    <cfRule type="expression" dxfId="1" priority="1">
      <formula>C19/$H$4&gt;=80%</formula>
    </cfRule>
    <cfRule type="expression" dxfId="0" priority="2">
      <formula>AND(C19/$H$4&gt;40%,C19/$H$4&lt;80%)</formula>
    </cfRule>
  </conditionalFormatting>
  <dataValidations xWindow="294" yWindow="364" count="3">
    <dataValidation type="whole" allowBlank="1" showInputMessage="1" showErrorMessage="1" prompt="Should be a whole number between 40 and 70. The default is 65." sqref="H8" xr:uid="{FD8DE627-F5EF-4AE1-89EC-D29413B5AA28}">
      <formula1>40</formula1>
      <formula2>70</formula2>
    </dataValidation>
    <dataValidation type="whole" allowBlank="1" showInputMessage="1" showErrorMessage="1" prompt="Should be a whole number between 30 and 65. The default is 55." sqref="H10" xr:uid="{C20CBD98-86D3-480E-8654-BCB594C85940}">
      <formula1>30</formula1>
      <formula2>65</formula2>
    </dataValidation>
    <dataValidation type="whole" operator="greaterThanOrEqual" allowBlank="1" showInputMessage="1" showErrorMessage="1" prompt="Should be a positive whole number." sqref="H11" xr:uid="{2C268565-A492-4ED1-8FEC-3A5B554097BA}">
      <formula1>0</formula1>
    </dataValidation>
  </dataValidations>
  <printOptions horizontalCentered="1"/>
  <pageMargins left="0.7" right="0.7" top="0.75" bottom="0.75" header="0.3" footer="0.3"/>
  <pageSetup orientation="landscape" horizontalDpi="300" verticalDpi="300" r:id="rId1"/>
  <headerFooter>
    <oddFooter>&amp;L&amp;F
&amp;A&amp;R&amp;D
&amp;T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2538C-F3A5-49D9-8F6A-50594CBF677E}">
  <sheetPr>
    <pageSetUpPr fitToPage="1"/>
  </sheetPr>
  <dimension ref="A1:H54"/>
  <sheetViews>
    <sheetView topLeftCell="A5" workbookViewId="0">
      <pane ySplit="1" topLeftCell="A15" activePane="bottomLeft" state="frozen"/>
      <selection activeCell="A5" sqref="A5"/>
      <selection pane="bottomLeft" activeCell="A5" sqref="A5"/>
    </sheetView>
  </sheetViews>
  <sheetFormatPr defaultColWidth="8.85546875" defaultRowHeight="12.75"/>
  <cols>
    <col min="1" max="1" width="9.7109375" style="51" customWidth="1"/>
    <col min="2" max="2" width="14.42578125" style="51" bestFit="1" customWidth="1"/>
    <col min="3" max="3" width="13.85546875" style="51" bestFit="1" customWidth="1"/>
    <col min="4" max="4" width="13" style="51" customWidth="1"/>
    <col min="5" max="5" width="10.28515625" style="51" customWidth="1"/>
    <col min="6" max="6" width="10.5703125" style="51" customWidth="1"/>
    <col min="7" max="7" width="11.7109375" style="51" bestFit="1" customWidth="1"/>
    <col min="8" max="8" width="11.5703125" style="51" bestFit="1" customWidth="1"/>
    <col min="9" max="16384" width="8.85546875" style="51"/>
  </cols>
  <sheetData>
    <row r="1" spans="1:8" ht="18">
      <c r="A1" s="119" t="s">
        <v>33</v>
      </c>
      <c r="B1" s="119"/>
      <c r="C1" s="119"/>
      <c r="D1" s="119"/>
      <c r="E1" s="119"/>
      <c r="F1" s="119"/>
      <c r="G1" s="119"/>
      <c r="H1" s="119"/>
    </row>
    <row r="4" spans="1:8" ht="15.75" thickBot="1">
      <c r="C4" s="52"/>
      <c r="D4" s="52"/>
      <c r="E4" s="52"/>
      <c r="F4" s="52"/>
    </row>
    <row r="5" spans="1:8">
      <c r="A5" s="53" t="s">
        <v>34</v>
      </c>
      <c r="B5" s="54" t="s">
        <v>35</v>
      </c>
      <c r="C5" s="55" t="s">
        <v>36</v>
      </c>
      <c r="D5" s="55" t="s">
        <v>37</v>
      </c>
      <c r="E5" s="55" t="s">
        <v>38</v>
      </c>
      <c r="F5" s="55" t="s">
        <v>39</v>
      </c>
      <c r="G5" s="55" t="s">
        <v>40</v>
      </c>
      <c r="H5" s="55" t="s">
        <v>41</v>
      </c>
    </row>
    <row r="6" spans="1:8" ht="15">
      <c r="A6" s="56">
        <v>375757</v>
      </c>
      <c r="B6" s="56">
        <v>2</v>
      </c>
      <c r="C6" s="57">
        <v>96000</v>
      </c>
      <c r="D6" s="57">
        <v>91428.57142857142</v>
      </c>
      <c r="E6" s="56">
        <v>55</v>
      </c>
      <c r="F6" s="56">
        <v>7</v>
      </c>
      <c r="G6" s="56" t="s">
        <v>42</v>
      </c>
      <c r="H6" s="56" t="s">
        <v>42</v>
      </c>
    </row>
    <row r="7" spans="1:8" ht="15">
      <c r="A7" s="56">
        <v>384691</v>
      </c>
      <c r="B7" s="56">
        <v>1</v>
      </c>
      <c r="C7" s="57">
        <v>89000</v>
      </c>
      <c r="D7" s="57">
        <v>84761.904761904763</v>
      </c>
      <c r="E7" s="56">
        <v>52</v>
      </c>
      <c r="F7" s="56">
        <v>5</v>
      </c>
      <c r="G7" s="56" t="s">
        <v>42</v>
      </c>
      <c r="H7" s="56" t="s">
        <v>42</v>
      </c>
    </row>
    <row r="8" spans="1:8" ht="15">
      <c r="A8" s="56">
        <v>396332</v>
      </c>
      <c r="B8" s="56">
        <v>3</v>
      </c>
      <c r="C8" s="57">
        <v>85000</v>
      </c>
      <c r="D8" s="57"/>
      <c r="E8" s="56">
        <v>48</v>
      </c>
      <c r="F8" s="56">
        <v>1</v>
      </c>
      <c r="G8" s="56" t="s">
        <v>42</v>
      </c>
      <c r="H8" s="56"/>
    </row>
    <row r="9" spans="1:8" ht="15">
      <c r="A9" s="56">
        <v>401073</v>
      </c>
      <c r="B9" s="56">
        <v>1</v>
      </c>
      <c r="C9" s="57"/>
      <c r="D9" s="57">
        <v>80000</v>
      </c>
      <c r="E9" s="56">
        <v>66</v>
      </c>
      <c r="F9" s="56"/>
      <c r="G9" s="56" t="s">
        <v>43</v>
      </c>
      <c r="H9" s="56" t="s">
        <v>43</v>
      </c>
    </row>
    <row r="10" spans="1:8" ht="15">
      <c r="A10" s="56">
        <v>409118</v>
      </c>
      <c r="B10" s="56">
        <v>1</v>
      </c>
      <c r="C10" s="57">
        <v>83000</v>
      </c>
      <c r="D10" s="57">
        <v>71000</v>
      </c>
      <c r="E10" s="56">
        <v>28</v>
      </c>
      <c r="F10" s="56">
        <v>11</v>
      </c>
      <c r="G10" s="56" t="s">
        <v>42</v>
      </c>
      <c r="H10" s="56" t="s">
        <v>42</v>
      </c>
    </row>
    <row r="11" spans="1:8" ht="15">
      <c r="A11" s="56">
        <v>411380</v>
      </c>
      <c r="B11" s="56">
        <v>1</v>
      </c>
      <c r="C11" s="57">
        <v>86000</v>
      </c>
      <c r="D11" s="57">
        <v>74000</v>
      </c>
      <c r="E11" s="56">
        <v>57</v>
      </c>
      <c r="F11" s="56">
        <v>27</v>
      </c>
      <c r="G11" s="56" t="s">
        <v>42</v>
      </c>
      <c r="H11" s="56" t="s">
        <v>42</v>
      </c>
    </row>
    <row r="12" spans="1:8" ht="15">
      <c r="A12" s="56">
        <v>412092</v>
      </c>
      <c r="B12" s="56">
        <v>1</v>
      </c>
      <c r="C12" s="57">
        <v>87000</v>
      </c>
      <c r="D12" s="57"/>
      <c r="E12" s="56">
        <v>32</v>
      </c>
      <c r="F12" s="56">
        <v>2</v>
      </c>
      <c r="G12" s="56" t="s">
        <v>42</v>
      </c>
      <c r="H12" s="56"/>
    </row>
    <row r="13" spans="1:8" ht="15">
      <c r="A13" s="56">
        <v>413369</v>
      </c>
      <c r="B13" s="56">
        <v>1</v>
      </c>
      <c r="C13" s="57">
        <v>86000</v>
      </c>
      <c r="D13" s="57"/>
      <c r="E13" s="56">
        <v>44</v>
      </c>
      <c r="F13" s="56">
        <v>14</v>
      </c>
      <c r="G13" s="56" t="s">
        <v>42</v>
      </c>
      <c r="H13" s="56"/>
    </row>
    <row r="14" spans="1:8" ht="15">
      <c r="A14" s="56">
        <v>415179</v>
      </c>
      <c r="B14" s="56">
        <v>1</v>
      </c>
      <c r="C14" s="57">
        <v>75000</v>
      </c>
      <c r="D14" s="57">
        <v>63000</v>
      </c>
      <c r="E14" s="56">
        <v>32</v>
      </c>
      <c r="F14" s="56">
        <v>2</v>
      </c>
      <c r="G14" s="56" t="s">
        <v>42</v>
      </c>
      <c r="H14" s="56" t="s">
        <v>42</v>
      </c>
    </row>
    <row r="15" spans="1:8" ht="15">
      <c r="A15" s="56">
        <v>422576</v>
      </c>
      <c r="B15" s="56">
        <v>1</v>
      </c>
      <c r="C15" s="57">
        <v>86000</v>
      </c>
      <c r="D15" s="57">
        <v>80000</v>
      </c>
      <c r="E15" s="56">
        <v>55</v>
      </c>
      <c r="F15" s="56"/>
      <c r="G15" s="56" t="s">
        <v>43</v>
      </c>
      <c r="H15" s="56" t="s">
        <v>42</v>
      </c>
    </row>
    <row r="16" spans="1:8" ht="15">
      <c r="A16" s="56">
        <v>424060</v>
      </c>
      <c r="B16" s="56">
        <v>3</v>
      </c>
      <c r="C16" s="57">
        <v>250000</v>
      </c>
      <c r="D16" s="57">
        <v>230000</v>
      </c>
      <c r="E16" s="56">
        <v>51</v>
      </c>
      <c r="F16" s="56">
        <v>10</v>
      </c>
      <c r="G16" s="56" t="s">
        <v>42</v>
      </c>
      <c r="H16" s="56" t="s">
        <v>42</v>
      </c>
    </row>
    <row r="17" spans="1:8" ht="15">
      <c r="A17" s="56">
        <v>431411</v>
      </c>
      <c r="B17" s="56">
        <v>3</v>
      </c>
      <c r="C17" s="57">
        <v>91000</v>
      </c>
      <c r="D17" s="57">
        <v>86666.666666666657</v>
      </c>
      <c r="E17" s="56">
        <v>49</v>
      </c>
      <c r="F17" s="56">
        <v>6</v>
      </c>
      <c r="G17" s="56" t="s">
        <v>42</v>
      </c>
      <c r="H17" s="56" t="s">
        <v>42</v>
      </c>
    </row>
    <row r="18" spans="1:8" ht="15">
      <c r="A18" s="56">
        <v>436028</v>
      </c>
      <c r="B18" s="56">
        <v>1</v>
      </c>
      <c r="C18" s="57">
        <v>86000</v>
      </c>
      <c r="D18" s="57">
        <v>74000</v>
      </c>
      <c r="E18" s="56">
        <v>23</v>
      </c>
      <c r="F18" s="56">
        <v>3</v>
      </c>
      <c r="G18" s="56" t="s">
        <v>42</v>
      </c>
      <c r="H18" s="56" t="s">
        <v>42</v>
      </c>
    </row>
    <row r="19" spans="1:8" ht="15">
      <c r="A19" s="56">
        <v>437293</v>
      </c>
      <c r="B19" s="56">
        <v>3</v>
      </c>
      <c r="C19" s="57">
        <v>86000</v>
      </c>
      <c r="D19" s="57">
        <v>80000</v>
      </c>
      <c r="E19" s="56">
        <v>51</v>
      </c>
      <c r="F19" s="56"/>
      <c r="G19" s="56" t="s">
        <v>44</v>
      </c>
      <c r="H19" s="56" t="s">
        <v>42</v>
      </c>
    </row>
    <row r="20" spans="1:8" ht="15">
      <c r="A20" s="56">
        <v>438052</v>
      </c>
      <c r="B20" s="56">
        <v>1</v>
      </c>
      <c r="C20" s="57">
        <v>86000</v>
      </c>
      <c r="D20" s="57">
        <v>74000</v>
      </c>
      <c r="E20" s="56">
        <v>32</v>
      </c>
      <c r="F20" s="56">
        <v>9</v>
      </c>
      <c r="G20" s="56" t="s">
        <v>42</v>
      </c>
      <c r="H20" s="56" t="s">
        <v>42</v>
      </c>
    </row>
    <row r="21" spans="1:8" ht="15">
      <c r="A21" s="56">
        <v>438638</v>
      </c>
      <c r="B21" s="56">
        <v>2</v>
      </c>
      <c r="C21" s="57">
        <v>87000</v>
      </c>
      <c r="D21" s="57">
        <v>82857.142857142855</v>
      </c>
      <c r="E21" s="56">
        <v>47</v>
      </c>
      <c r="F21" s="56">
        <v>12</v>
      </c>
      <c r="G21" s="56" t="s">
        <v>42</v>
      </c>
      <c r="H21" s="56" t="s">
        <v>42</v>
      </c>
    </row>
    <row r="22" spans="1:8" ht="15">
      <c r="A22" s="56">
        <v>449418</v>
      </c>
      <c r="B22" s="56">
        <v>1</v>
      </c>
      <c r="C22" s="57">
        <v>76000</v>
      </c>
      <c r="D22" s="57">
        <v>64000</v>
      </c>
      <c r="E22" s="56">
        <v>45</v>
      </c>
      <c r="F22" s="56">
        <v>15</v>
      </c>
      <c r="G22" s="56" t="s">
        <v>42</v>
      </c>
      <c r="H22" s="56" t="s">
        <v>42</v>
      </c>
    </row>
    <row r="23" spans="1:8" ht="15">
      <c r="A23" s="56">
        <v>449944</v>
      </c>
      <c r="B23" s="56">
        <v>1</v>
      </c>
      <c r="C23" s="57">
        <v>86000</v>
      </c>
      <c r="D23" s="57">
        <v>80000</v>
      </c>
      <c r="E23" s="56">
        <v>45</v>
      </c>
      <c r="F23" s="56"/>
      <c r="G23" s="56" t="s">
        <v>44</v>
      </c>
      <c r="H23" s="56" t="s">
        <v>42</v>
      </c>
    </row>
    <row r="24" spans="1:8" ht="15">
      <c r="A24" s="56">
        <v>452656</v>
      </c>
      <c r="B24" s="56">
        <v>2</v>
      </c>
      <c r="C24" s="57">
        <v>93000</v>
      </c>
      <c r="D24" s="57">
        <v>88571.428571428565</v>
      </c>
      <c r="E24" s="56">
        <v>46</v>
      </c>
      <c r="F24" s="56">
        <v>18</v>
      </c>
      <c r="G24" s="56" t="s">
        <v>42</v>
      </c>
      <c r="H24" s="56" t="s">
        <v>42</v>
      </c>
    </row>
    <row r="25" spans="1:8" ht="15">
      <c r="A25" s="56">
        <v>463271</v>
      </c>
      <c r="B25" s="56">
        <v>1</v>
      </c>
      <c r="C25" s="57">
        <v>54000</v>
      </c>
      <c r="D25" s="57">
        <v>42000</v>
      </c>
      <c r="E25" s="56">
        <v>32</v>
      </c>
      <c r="F25" s="56">
        <v>8</v>
      </c>
      <c r="G25" s="56" t="s">
        <v>42</v>
      </c>
      <c r="H25" s="56" t="s">
        <v>42</v>
      </c>
    </row>
    <row r="26" spans="1:8" ht="15">
      <c r="A26" s="56">
        <v>463938</v>
      </c>
      <c r="B26" s="56">
        <v>1</v>
      </c>
      <c r="C26" s="57">
        <v>96000</v>
      </c>
      <c r="D26" s="57">
        <v>84000</v>
      </c>
      <c r="E26" s="56">
        <v>32</v>
      </c>
      <c r="F26" s="56">
        <v>2</v>
      </c>
      <c r="G26" s="56" t="s">
        <v>42</v>
      </c>
      <c r="H26" s="56" t="s">
        <v>42</v>
      </c>
    </row>
    <row r="27" spans="1:8" ht="15">
      <c r="A27" s="56">
        <v>479102</v>
      </c>
      <c r="B27" s="56">
        <v>3</v>
      </c>
      <c r="C27" s="57">
        <v>85000</v>
      </c>
      <c r="D27" s="57"/>
      <c r="E27" s="56">
        <v>48</v>
      </c>
      <c r="F27" s="56">
        <v>1</v>
      </c>
      <c r="G27" s="56" t="s">
        <v>42</v>
      </c>
      <c r="H27" s="56"/>
    </row>
    <row r="28" spans="1:8" ht="15">
      <c r="A28" s="56">
        <v>481800</v>
      </c>
      <c r="B28" s="56">
        <v>2</v>
      </c>
      <c r="C28" s="57"/>
      <c r="D28" s="57">
        <v>80000</v>
      </c>
      <c r="E28" s="56">
        <v>64</v>
      </c>
      <c r="F28" s="56"/>
      <c r="G28" s="56" t="s">
        <v>43</v>
      </c>
      <c r="H28" s="56" t="s">
        <v>43</v>
      </c>
    </row>
    <row r="29" spans="1:8" ht="15">
      <c r="A29" s="56">
        <v>482078</v>
      </c>
      <c r="B29" s="56">
        <v>1</v>
      </c>
      <c r="C29" s="57">
        <v>110000</v>
      </c>
      <c r="D29" s="57">
        <v>98000</v>
      </c>
      <c r="E29" s="56">
        <v>32</v>
      </c>
      <c r="F29" s="56">
        <v>8</v>
      </c>
      <c r="G29" s="56" t="s">
        <v>42</v>
      </c>
      <c r="H29" s="56" t="s">
        <v>42</v>
      </c>
    </row>
    <row r="30" spans="1:8" ht="15">
      <c r="A30" s="56">
        <v>486583</v>
      </c>
      <c r="B30" s="56">
        <v>1</v>
      </c>
      <c r="C30" s="57">
        <v>86000</v>
      </c>
      <c r="D30" s="57">
        <v>80000</v>
      </c>
      <c r="E30" s="56">
        <v>32</v>
      </c>
      <c r="F30" s="56"/>
      <c r="G30" s="56" t="s">
        <v>45</v>
      </c>
      <c r="H30" s="56" t="s">
        <v>42</v>
      </c>
    </row>
    <row r="31" spans="1:8" ht="15">
      <c r="A31" s="56">
        <v>492053</v>
      </c>
      <c r="B31" s="56">
        <v>1</v>
      </c>
      <c r="C31" s="57">
        <v>86000</v>
      </c>
      <c r="D31" s="57">
        <v>74000</v>
      </c>
      <c r="E31" s="56">
        <v>32</v>
      </c>
      <c r="F31" s="56">
        <v>2</v>
      </c>
      <c r="G31" s="56" t="s">
        <v>42</v>
      </c>
      <c r="H31" s="56" t="s">
        <v>42</v>
      </c>
    </row>
    <row r="32" spans="1:8" ht="15">
      <c r="A32" s="56">
        <v>492133</v>
      </c>
      <c r="B32" s="56">
        <v>1</v>
      </c>
      <c r="C32" s="57">
        <v>100000</v>
      </c>
      <c r="D32" s="57">
        <v>88000</v>
      </c>
      <c r="E32" s="56">
        <v>32</v>
      </c>
      <c r="F32" s="56">
        <v>10</v>
      </c>
      <c r="G32" s="56" t="s">
        <v>42</v>
      </c>
      <c r="H32" s="56" t="s">
        <v>42</v>
      </c>
    </row>
    <row r="33" spans="1:8" ht="15">
      <c r="A33" s="56">
        <v>492176</v>
      </c>
      <c r="B33" s="56">
        <v>1</v>
      </c>
      <c r="C33" s="57">
        <v>86000</v>
      </c>
      <c r="D33" s="57">
        <v>80000</v>
      </c>
      <c r="E33" s="56">
        <v>34</v>
      </c>
      <c r="F33" s="56"/>
      <c r="G33" s="56" t="s">
        <v>45</v>
      </c>
      <c r="H33" s="56" t="s">
        <v>42</v>
      </c>
    </row>
    <row r="34" spans="1:8" ht="15">
      <c r="A34" s="56">
        <v>496907</v>
      </c>
      <c r="B34" s="56">
        <v>2</v>
      </c>
      <c r="C34" s="57"/>
      <c r="D34" s="57">
        <v>80000</v>
      </c>
      <c r="E34" s="56">
        <v>59</v>
      </c>
      <c r="F34" s="56"/>
      <c r="G34" s="56" t="s">
        <v>43</v>
      </c>
      <c r="H34" s="56" t="s">
        <v>44</v>
      </c>
    </row>
    <row r="35" spans="1:8" ht="15">
      <c r="A35" s="56">
        <v>507242</v>
      </c>
      <c r="B35" s="56">
        <v>1</v>
      </c>
      <c r="C35" s="57">
        <v>92000</v>
      </c>
      <c r="D35" s="57">
        <v>40000</v>
      </c>
      <c r="E35" s="56">
        <v>44</v>
      </c>
      <c r="F35" s="56">
        <v>7</v>
      </c>
      <c r="G35" s="56" t="s">
        <v>42</v>
      </c>
      <c r="H35" s="56" t="s">
        <v>42</v>
      </c>
    </row>
    <row r="36" spans="1:8" ht="15">
      <c r="A36" s="56">
        <v>513820</v>
      </c>
      <c r="B36" s="56">
        <v>1</v>
      </c>
      <c r="C36" s="57"/>
      <c r="D36" s="57">
        <v>80000</v>
      </c>
      <c r="E36" s="56">
        <v>62</v>
      </c>
      <c r="F36" s="56"/>
      <c r="G36" s="56" t="s">
        <v>43</v>
      </c>
      <c r="H36" s="56" t="s">
        <v>44</v>
      </c>
    </row>
    <row r="37" spans="1:8" ht="15">
      <c r="A37" s="56">
        <v>514774</v>
      </c>
      <c r="B37" s="56">
        <v>3</v>
      </c>
      <c r="C37" s="57"/>
      <c r="D37" s="57">
        <v>80000</v>
      </c>
      <c r="E37" s="56">
        <v>44</v>
      </c>
      <c r="F37" s="56"/>
      <c r="G37" s="56" t="s">
        <v>44</v>
      </c>
      <c r="H37" s="56" t="s">
        <v>44</v>
      </c>
    </row>
    <row r="38" spans="1:8" ht="15">
      <c r="A38" s="56">
        <v>520201</v>
      </c>
      <c r="B38" s="56">
        <v>2</v>
      </c>
      <c r="C38" s="57"/>
      <c r="D38" s="57">
        <v>80000</v>
      </c>
      <c r="E38" s="56">
        <v>36</v>
      </c>
      <c r="F38" s="56"/>
      <c r="G38" s="56" t="s">
        <v>44</v>
      </c>
      <c r="H38" s="56" t="s">
        <v>44</v>
      </c>
    </row>
    <row r="39" spans="1:8" ht="15">
      <c r="A39" s="56">
        <v>520938</v>
      </c>
      <c r="B39" s="56">
        <v>1</v>
      </c>
      <c r="C39" s="57">
        <v>23000</v>
      </c>
      <c r="D39" s="57">
        <v>11000</v>
      </c>
      <c r="E39" s="56">
        <v>36</v>
      </c>
      <c r="F39" s="56">
        <v>10</v>
      </c>
      <c r="G39" s="56" t="s">
        <v>42</v>
      </c>
      <c r="H39" s="56" t="s">
        <v>42</v>
      </c>
    </row>
    <row r="40" spans="1:8" ht="15">
      <c r="A40" s="56">
        <v>521501</v>
      </c>
      <c r="B40" s="56">
        <v>1</v>
      </c>
      <c r="C40" s="57">
        <v>79000</v>
      </c>
      <c r="D40" s="57">
        <v>67000</v>
      </c>
      <c r="E40" s="56">
        <v>26</v>
      </c>
      <c r="F40" s="56">
        <v>8</v>
      </c>
      <c r="G40" s="56" t="s">
        <v>42</v>
      </c>
      <c r="H40" s="56" t="s">
        <v>42</v>
      </c>
    </row>
    <row r="41" spans="1:8" ht="15">
      <c r="A41" s="56">
        <v>526149</v>
      </c>
      <c r="B41" s="56">
        <v>3</v>
      </c>
      <c r="C41" s="57">
        <v>97000</v>
      </c>
      <c r="D41" s="57">
        <v>92380.952380952382</v>
      </c>
      <c r="E41" s="56">
        <v>55</v>
      </c>
      <c r="F41" s="56">
        <v>9</v>
      </c>
      <c r="G41" s="56" t="s">
        <v>42</v>
      </c>
      <c r="H41" s="56" t="s">
        <v>42</v>
      </c>
    </row>
    <row r="42" spans="1:8" ht="15">
      <c r="A42" s="56">
        <v>539134</v>
      </c>
      <c r="B42" s="56">
        <v>1</v>
      </c>
      <c r="C42" s="57">
        <v>94000</v>
      </c>
      <c r="D42" s="57">
        <v>82000</v>
      </c>
      <c r="E42" s="56">
        <v>32</v>
      </c>
      <c r="F42" s="56">
        <v>10</v>
      </c>
      <c r="G42" s="56" t="s">
        <v>42</v>
      </c>
      <c r="H42" s="56" t="s">
        <v>42</v>
      </c>
    </row>
    <row r="43" spans="1:8" ht="15">
      <c r="A43" s="56">
        <v>540346</v>
      </c>
      <c r="B43" s="56">
        <v>1</v>
      </c>
      <c r="C43" s="57">
        <v>95000</v>
      </c>
      <c r="D43" s="57">
        <v>90476.190476190473</v>
      </c>
      <c r="E43" s="56">
        <v>49</v>
      </c>
      <c r="F43" s="56">
        <v>10</v>
      </c>
      <c r="G43" s="56" t="s">
        <v>42</v>
      </c>
      <c r="H43" s="56" t="s">
        <v>42</v>
      </c>
    </row>
    <row r="44" spans="1:8" ht="15">
      <c r="A44" s="56">
        <v>547503</v>
      </c>
      <c r="B44" s="56">
        <v>2</v>
      </c>
      <c r="C44" s="57">
        <v>90000</v>
      </c>
      <c r="D44" s="57">
        <v>85714.28571428571</v>
      </c>
      <c r="E44" s="56">
        <v>49</v>
      </c>
      <c r="F44" s="56">
        <v>15</v>
      </c>
      <c r="G44" s="56" t="s">
        <v>42</v>
      </c>
      <c r="H44" s="56" t="s">
        <v>42</v>
      </c>
    </row>
    <row r="45" spans="1:8" ht="15">
      <c r="A45" s="56">
        <v>552468</v>
      </c>
      <c r="B45" s="56">
        <v>1</v>
      </c>
      <c r="C45" s="57">
        <v>86000</v>
      </c>
      <c r="D45" s="57">
        <v>74000</v>
      </c>
      <c r="E45" s="56">
        <v>67</v>
      </c>
      <c r="F45" s="56">
        <v>37</v>
      </c>
      <c r="G45" s="56" t="s">
        <v>42</v>
      </c>
      <c r="H45" s="56" t="s">
        <v>42</v>
      </c>
    </row>
    <row r="46" spans="1:8" ht="15">
      <c r="A46" s="56">
        <v>555539</v>
      </c>
      <c r="B46" s="56">
        <v>2</v>
      </c>
      <c r="C46" s="57">
        <v>86000</v>
      </c>
      <c r="D46" s="57">
        <v>80000</v>
      </c>
      <c r="E46" s="56">
        <v>58</v>
      </c>
      <c r="F46" s="56"/>
      <c r="G46" s="56" t="s">
        <v>43</v>
      </c>
      <c r="H46" s="56" t="s">
        <v>42</v>
      </c>
    </row>
    <row r="47" spans="1:8" ht="15">
      <c r="A47" s="56">
        <v>561821</v>
      </c>
      <c r="B47" s="56">
        <v>1</v>
      </c>
      <c r="C47" s="57">
        <v>86000</v>
      </c>
      <c r="D47" s="57">
        <v>81904.761904761908</v>
      </c>
      <c r="E47" s="56">
        <v>47</v>
      </c>
      <c r="F47" s="56">
        <v>10</v>
      </c>
      <c r="G47" s="56" t="s">
        <v>42</v>
      </c>
      <c r="H47" s="56" t="s">
        <v>42</v>
      </c>
    </row>
    <row r="48" spans="1:8" ht="15">
      <c r="A48" s="56">
        <v>564037</v>
      </c>
      <c r="B48" s="56">
        <v>1</v>
      </c>
      <c r="C48" s="57">
        <v>200000</v>
      </c>
      <c r="D48" s="57">
        <v>188000</v>
      </c>
      <c r="E48" s="56">
        <v>32</v>
      </c>
      <c r="F48" s="56">
        <v>8</v>
      </c>
      <c r="G48" s="56" t="s">
        <v>42</v>
      </c>
      <c r="H48" s="56" t="s">
        <v>42</v>
      </c>
    </row>
    <row r="49" spans="1:8" ht="15">
      <c r="A49" s="56">
        <v>564894</v>
      </c>
      <c r="B49" s="56">
        <v>3</v>
      </c>
      <c r="C49" s="57">
        <v>320000</v>
      </c>
      <c r="D49" s="57">
        <v>320000</v>
      </c>
      <c r="E49" s="56">
        <v>51</v>
      </c>
      <c r="F49" s="56">
        <v>20</v>
      </c>
      <c r="G49" s="56" t="s">
        <v>42</v>
      </c>
      <c r="H49" s="56" t="s">
        <v>42</v>
      </c>
    </row>
    <row r="50" spans="1:8" ht="15">
      <c r="A50" s="56">
        <v>568218</v>
      </c>
      <c r="B50" s="56">
        <v>1</v>
      </c>
      <c r="C50" s="57">
        <v>86000</v>
      </c>
      <c r="D50" s="57">
        <v>80000</v>
      </c>
      <c r="E50" s="56">
        <v>42</v>
      </c>
      <c r="F50" s="56">
        <v>22</v>
      </c>
      <c r="G50" s="56" t="s">
        <v>42</v>
      </c>
      <c r="H50" s="56" t="s">
        <v>42</v>
      </c>
    </row>
    <row r="51" spans="1:8" ht="15">
      <c r="A51" s="56">
        <v>568859</v>
      </c>
      <c r="B51" s="56">
        <v>1</v>
      </c>
      <c r="C51" s="57">
        <v>98000</v>
      </c>
      <c r="D51" s="57">
        <v>93333.333333333328</v>
      </c>
      <c r="E51" s="56">
        <v>47</v>
      </c>
      <c r="F51" s="56">
        <v>11</v>
      </c>
      <c r="G51" s="56" t="s">
        <v>42</v>
      </c>
      <c r="H51" s="56" t="s">
        <v>42</v>
      </c>
    </row>
    <row r="52" spans="1:8" ht="15">
      <c r="A52" s="56">
        <v>574304</v>
      </c>
      <c r="B52" s="56">
        <v>3</v>
      </c>
      <c r="C52" s="57">
        <v>88000</v>
      </c>
      <c r="D52" s="57">
        <v>83809.523809523802</v>
      </c>
      <c r="E52" s="56">
        <v>52</v>
      </c>
      <c r="F52" s="56">
        <v>14</v>
      </c>
      <c r="G52" s="56" t="s">
        <v>42</v>
      </c>
      <c r="H52" s="56" t="s">
        <v>42</v>
      </c>
    </row>
    <row r="53" spans="1:8" ht="15">
      <c r="A53" s="56">
        <v>574720</v>
      </c>
      <c r="B53" s="56">
        <v>2</v>
      </c>
      <c r="C53" s="57">
        <v>99000</v>
      </c>
      <c r="D53" s="57">
        <v>94285.714285714275</v>
      </c>
      <c r="E53" s="56">
        <v>52</v>
      </c>
      <c r="F53" s="56">
        <v>21</v>
      </c>
      <c r="G53" s="56" t="s">
        <v>42</v>
      </c>
      <c r="H53" s="56" t="s">
        <v>42</v>
      </c>
    </row>
    <row r="54" spans="1:8" ht="15">
      <c r="A54" s="56">
        <v>582664</v>
      </c>
      <c r="B54" s="56">
        <v>2</v>
      </c>
      <c r="C54" s="57">
        <v>84000</v>
      </c>
      <c r="D54" s="57">
        <v>80000</v>
      </c>
      <c r="E54" s="56">
        <v>52</v>
      </c>
      <c r="F54" s="56">
        <v>8</v>
      </c>
      <c r="G54" s="56" t="s">
        <v>42</v>
      </c>
      <c r="H54" s="56" t="s">
        <v>42</v>
      </c>
    </row>
  </sheetData>
  <mergeCells count="1">
    <mergeCell ref="A1:H1"/>
  </mergeCells>
  <printOptions horizontalCentered="1" verticalCentered="1"/>
  <pageMargins left="0.75" right="0.75" top="1" bottom="1" header="0.5" footer="0.5"/>
  <pageSetup scale="84" orientation="portrait" horizontalDpi="300" verticalDpi="300" r:id="rId1"/>
  <headerFooter alignWithMargins="0">
    <oddFooter>&amp;L&amp;F
&amp;A&amp;R&amp;D
&amp;T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B8FE41-6714-4892-A36B-2096B75F5C95}">
  <sheetPr>
    <pageSetUpPr fitToPage="1"/>
  </sheetPr>
  <dimension ref="B1:L35"/>
  <sheetViews>
    <sheetView showGridLines="0" workbookViewId="0"/>
  </sheetViews>
  <sheetFormatPr defaultRowHeight="15"/>
  <cols>
    <col min="1" max="1" width="2.140625" customWidth="1"/>
    <col min="3" max="3" width="4.28515625" customWidth="1"/>
    <col min="5" max="5" width="5.7109375" customWidth="1"/>
    <col min="6" max="6" width="14.28515625" customWidth="1"/>
    <col min="7" max="7" width="1.42578125" customWidth="1"/>
    <col min="8" max="8" width="14.28515625" customWidth="1"/>
    <col min="9" max="9" width="1.28515625" customWidth="1"/>
    <col min="10" max="10" width="14.28515625" customWidth="1"/>
    <col min="11" max="11" width="1.42578125" customWidth="1"/>
    <col min="12" max="12" width="14.28515625" customWidth="1"/>
    <col min="13" max="13" width="1.42578125" customWidth="1"/>
  </cols>
  <sheetData>
    <row r="1" spans="2:12" ht="15.75" thickBot="1"/>
    <row r="2" spans="2:12" ht="15.75" thickBot="1">
      <c r="B2" s="120" t="s">
        <v>22</v>
      </c>
      <c r="C2" s="121"/>
      <c r="D2" s="121"/>
      <c r="E2" s="121"/>
      <c r="F2" s="121"/>
      <c r="G2" s="121"/>
      <c r="H2" s="121"/>
      <c r="I2" s="121"/>
      <c r="J2" s="121"/>
      <c r="K2" s="121"/>
      <c r="L2" s="122"/>
    </row>
    <row r="3" spans="2:12" ht="15.75" thickBot="1"/>
    <row r="4" spans="2:12" ht="16.5" thickBot="1">
      <c r="B4" s="123" t="s">
        <v>23</v>
      </c>
      <c r="C4" s="124"/>
      <c r="D4" s="125"/>
      <c r="F4" s="129" t="s">
        <v>30</v>
      </c>
      <c r="G4" s="130"/>
      <c r="H4" s="130"/>
      <c r="I4" s="130"/>
      <c r="J4" s="130"/>
      <c r="K4" s="130"/>
      <c r="L4" s="131"/>
    </row>
    <row r="5" spans="2:12" ht="16.5" thickBot="1">
      <c r="B5" s="126" t="s">
        <v>24</v>
      </c>
      <c r="C5" s="127"/>
      <c r="D5" s="128"/>
      <c r="F5" s="132" t="s">
        <v>31</v>
      </c>
      <c r="G5" s="133"/>
      <c r="H5" s="133"/>
      <c r="I5" s="133"/>
      <c r="J5" s="133"/>
      <c r="K5" s="133"/>
      <c r="L5" s="134"/>
    </row>
    <row r="6" spans="2:12" ht="15.75" thickBot="1">
      <c r="B6" s="13" t="s">
        <v>25</v>
      </c>
      <c r="C6" s="39" t="s">
        <v>26</v>
      </c>
      <c r="D6" s="40" t="s">
        <v>27</v>
      </c>
      <c r="F6" s="14" t="s">
        <v>28</v>
      </c>
      <c r="G6" s="15"/>
      <c r="H6" s="15" t="s">
        <v>29</v>
      </c>
      <c r="I6" s="15"/>
      <c r="J6" s="48" t="s">
        <v>32</v>
      </c>
      <c r="K6" s="48"/>
      <c r="L6" s="49" t="s">
        <v>1</v>
      </c>
    </row>
    <row r="7" spans="2:12">
      <c r="B7" s="41">
        <v>0</v>
      </c>
      <c r="C7" s="16"/>
      <c r="D7" s="42">
        <v>20</v>
      </c>
      <c r="F7" s="14" t="str">
        <f t="shared" ref="F7:F34" si="0">IF(B7="","",IF(B7=0,"&lt;"&amp;D7,IF(D7="",B7&amp;" &lt;=",B7&amp;" - "&amp;D7)))</f>
        <v>&lt;20</v>
      </c>
      <c r="G7" s="3"/>
      <c r="H7" s="15">
        <f>IF(B7="","",COUNTIFS(EeData!$G:$G,"A",EeData!$E:$E,"&gt;="&amp;$B7,EeData!$E:$E,"&lt;"&amp; IF($D7="",200, $D7)))</f>
        <v>0</v>
      </c>
      <c r="I7" s="3"/>
      <c r="J7" s="63">
        <f>IF(B7="","",SUMIFS(EeData!$C:$C,EeData!$G:$G,"A",EeData!$E:$E,"&gt;="&amp;$B7,EeData!$E:$E,"&lt;"&amp;IF($D7="",200,$D7)))</f>
        <v>0</v>
      </c>
      <c r="K7" s="47"/>
      <c r="L7" s="60">
        <f>IF(B7="","",IF($H7=0,0,$J7/$H7))</f>
        <v>0</v>
      </c>
    </row>
    <row r="8" spans="2:12">
      <c r="B8" s="41">
        <f>IF(D7="","",D7)</f>
        <v>20</v>
      </c>
      <c r="C8" s="16"/>
      <c r="D8" s="42">
        <f>D7 + 10</f>
        <v>30</v>
      </c>
      <c r="F8" s="50" t="str">
        <f t="shared" si="0"/>
        <v>20 - 30</v>
      </c>
      <c r="G8" s="2"/>
      <c r="H8" s="45">
        <f>IF(B8="","",COUNTIFS(EeData!$G:$G,"A",EeData!$E:$E,"&gt;="&amp;$B8,EeData!$E:$E,"&lt;"&amp; IF($D8="",200, $D8)))</f>
        <v>3</v>
      </c>
      <c r="I8" s="2"/>
      <c r="J8" s="64">
        <f>IF(B8="","",SUMIFS(EeData!$C:$C,EeData!$G:$G,"A",EeData!$E:$E,"&gt;="&amp;$B8,EeData!$E:$E,"&lt;"&amp;IF($D8="",200,$D8)))</f>
        <v>248000</v>
      </c>
      <c r="K8" s="46"/>
      <c r="L8" s="61">
        <f t="shared" ref="L8:L34" si="1">IF(B8="","",IF($H8=0,0,$J8/$H8))</f>
        <v>82666.666666666672</v>
      </c>
    </row>
    <row r="9" spans="2:12">
      <c r="B9" s="41">
        <f t="shared" ref="B9:B34" si="2">IF(D8="","",D8)</f>
        <v>30</v>
      </c>
      <c r="C9" s="16"/>
      <c r="D9" s="42">
        <f t="shared" ref="D9:D11" si="3">D8 + 10</f>
        <v>40</v>
      </c>
      <c r="F9" s="50" t="str">
        <f t="shared" si="0"/>
        <v>30 - 40</v>
      </c>
      <c r="G9" s="2"/>
      <c r="H9" s="45">
        <f>IF(B9="","",COUNTIFS(EeData!$G:$G,"A",EeData!$E:$E,"&gt;="&amp;$B9,EeData!$E:$E,"&lt;"&amp; IF($D9="",200, $D9)))</f>
        <v>11</v>
      </c>
      <c r="I9" s="2"/>
      <c r="J9" s="64">
        <f>IF(B9="","",SUMIFS(EeData!$C:$C,EeData!$G:$G,"A",EeData!$E:$E,"&gt;="&amp;$B9,EeData!$E:$E,"&lt;"&amp;IF($D9="",200,$D9)))</f>
        <v>1011000</v>
      </c>
      <c r="K9" s="46"/>
      <c r="L9" s="61">
        <f t="shared" si="1"/>
        <v>91909.090909090912</v>
      </c>
    </row>
    <row r="10" spans="2:12">
      <c r="B10" s="41">
        <f t="shared" si="2"/>
        <v>40</v>
      </c>
      <c r="C10" s="16"/>
      <c r="D10" s="42">
        <f t="shared" si="3"/>
        <v>50</v>
      </c>
      <c r="F10" s="50" t="str">
        <f t="shared" si="0"/>
        <v>40 - 50</v>
      </c>
      <c r="G10" s="2"/>
      <c r="H10" s="45">
        <f>IF(B10="","",COUNTIFS(EeData!$G:$G,"A",EeData!$E:$E,"&gt;="&amp;$B10,EeData!$E:$E,"&lt;"&amp; IF($D10="",200, $D10)))</f>
        <v>13</v>
      </c>
      <c r="I10" s="2"/>
      <c r="J10" s="64">
        <f>IF(B10="","",SUMIFS(EeData!$C:$C,EeData!$G:$G,"A",EeData!$E:$E,"&gt;="&amp;$B10,EeData!$E:$E,"&lt;"&amp;IF($D10="",200,$D10)))</f>
        <v>1150000</v>
      </c>
      <c r="K10" s="46"/>
      <c r="L10" s="61">
        <f t="shared" si="1"/>
        <v>88461.538461538468</v>
      </c>
    </row>
    <row r="11" spans="2:12">
      <c r="B11" s="41">
        <f t="shared" si="2"/>
        <v>50</v>
      </c>
      <c r="C11" s="16"/>
      <c r="D11" s="42">
        <f t="shared" si="3"/>
        <v>60</v>
      </c>
      <c r="F11" s="50" t="str">
        <f t="shared" si="0"/>
        <v>50 - 60</v>
      </c>
      <c r="G11" s="2"/>
      <c r="H11" s="45">
        <f>IF(B11="","",COUNTIFS(EeData!$G:$G,"A",EeData!$E:$E,"&gt;="&amp;$B11,EeData!$E:$E,"&lt;"&amp; IF($D11="",200, $D11)))</f>
        <v>9</v>
      </c>
      <c r="I11" s="2"/>
      <c r="J11" s="64">
        <f>IF(B11="","",SUMIFS(EeData!$C:$C,EeData!$G:$G,"A",EeData!$E:$E,"&gt;="&amp;$B11,EeData!$E:$E,"&lt;"&amp;IF($D11="",200,$D11)))</f>
        <v>1209000</v>
      </c>
      <c r="K11" s="46"/>
      <c r="L11" s="61">
        <f t="shared" si="1"/>
        <v>134333.33333333334</v>
      </c>
    </row>
    <row r="12" spans="2:12">
      <c r="B12" s="41">
        <f t="shared" si="2"/>
        <v>60</v>
      </c>
      <c r="C12" s="16"/>
      <c r="D12" s="42"/>
      <c r="F12" s="50" t="str">
        <f t="shared" si="0"/>
        <v>60 &lt;=</v>
      </c>
      <c r="G12" s="2"/>
      <c r="H12" s="45">
        <f>IF(B12="","",COUNTIFS(EeData!$G:$G,"A",EeData!$E:$E,"&gt;="&amp;$B12,EeData!$E:$E,"&lt;"&amp; IF($D12="",200, $D12)))</f>
        <v>1</v>
      </c>
      <c r="I12" s="2"/>
      <c r="J12" s="64">
        <f>IF(B12="","",SUMIFS(EeData!$C:$C,EeData!$G:$G,"A",EeData!$E:$E,"&gt;="&amp;$B12,EeData!$E:$E,"&lt;"&amp;IF($D12="",200,$D12)))</f>
        <v>86000</v>
      </c>
      <c r="K12" s="46"/>
      <c r="L12" s="61">
        <f t="shared" si="1"/>
        <v>86000</v>
      </c>
    </row>
    <row r="13" spans="2:12">
      <c r="B13" s="41" t="str">
        <f t="shared" si="2"/>
        <v/>
      </c>
      <c r="C13" s="16"/>
      <c r="D13" s="42"/>
      <c r="F13" s="50" t="str">
        <f t="shared" si="0"/>
        <v/>
      </c>
      <c r="G13" s="2"/>
      <c r="H13" s="45" t="str">
        <f>IF(B13="","",COUNTIFS(EeData!$G:$G,"A",EeData!$E:$E,"&gt;="&amp;$B13,EeData!$E:$E,"&lt;"&amp; IF($D13="",200, $D13)))</f>
        <v/>
      </c>
      <c r="I13" s="2"/>
      <c r="J13" s="58" t="str">
        <f>IF(B13="","",SUMIFS(EeData!$C:$C,EeData!$G:$G,"A",EeData!$E:$E,"&gt;="&amp;$B13,EeData!$E:$E,"&lt;"&amp;IF($D13="",200,$D13)))</f>
        <v/>
      </c>
      <c r="K13" s="46"/>
      <c r="L13" s="61" t="str">
        <f t="shared" si="1"/>
        <v/>
      </c>
    </row>
    <row r="14" spans="2:12">
      <c r="B14" s="41" t="str">
        <f t="shared" si="2"/>
        <v/>
      </c>
      <c r="C14" s="16"/>
      <c r="D14" s="42"/>
      <c r="F14" s="50" t="str">
        <f t="shared" si="0"/>
        <v/>
      </c>
      <c r="G14" s="2"/>
      <c r="H14" s="45" t="str">
        <f>IF(B14="","",COUNTIFS(EeData!$G:$G,"A",EeData!$E:$E,"&gt;="&amp;$B14,EeData!$E:$E,"&lt;"&amp; IF($D14="",200, $D14)))</f>
        <v/>
      </c>
      <c r="I14" s="2"/>
      <c r="J14" s="58" t="str">
        <f>IF(B14="","",SUMIFS(EeData!$C:$C,EeData!$G:$G,"A",EeData!$E:$E,"&gt;="&amp;$B14,EeData!$E:$E,"&lt;"&amp;IF($D14="",200,$D14)))</f>
        <v/>
      </c>
      <c r="K14" s="46"/>
      <c r="L14" s="61" t="str">
        <f t="shared" si="1"/>
        <v/>
      </c>
    </row>
    <row r="15" spans="2:12">
      <c r="B15" s="41" t="str">
        <f t="shared" si="2"/>
        <v/>
      </c>
      <c r="C15" s="16"/>
      <c r="D15" s="42"/>
      <c r="F15" s="50" t="str">
        <f t="shared" si="0"/>
        <v/>
      </c>
      <c r="G15" s="2"/>
      <c r="H15" s="45" t="str">
        <f>IF(B15="","",COUNTIFS(EeData!$G:$G,"A",EeData!$E:$E,"&gt;="&amp;$B15,EeData!$E:$E,"&lt;"&amp; IF($D15="",200, $D15)))</f>
        <v/>
      </c>
      <c r="I15" s="2"/>
      <c r="J15" s="58" t="str">
        <f>IF(B15="","",SUMIFS(EeData!$C:$C,EeData!$G:$G,"A",EeData!$E:$E,"&gt;="&amp;$B15,EeData!$E:$E,"&lt;"&amp;IF($D15="",200,$D15)))</f>
        <v/>
      </c>
      <c r="K15" s="46"/>
      <c r="L15" s="61" t="str">
        <f t="shared" si="1"/>
        <v/>
      </c>
    </row>
    <row r="16" spans="2:12">
      <c r="B16" s="41" t="str">
        <f t="shared" si="2"/>
        <v/>
      </c>
      <c r="C16" s="16"/>
      <c r="D16" s="42"/>
      <c r="F16" s="50" t="str">
        <f t="shared" si="0"/>
        <v/>
      </c>
      <c r="G16" s="2"/>
      <c r="H16" s="45" t="str">
        <f>IF(B16="","",COUNTIFS(EeData!$G:$G,"A",EeData!$E:$E,"&gt;="&amp;$B16,EeData!$E:$E,"&lt;"&amp; IF($D16="",200, $D16)))</f>
        <v/>
      </c>
      <c r="I16" s="2"/>
      <c r="J16" s="58" t="str">
        <f>IF(B16="","",SUMIFS(EeData!$C:$C,EeData!$G:$G,"A",EeData!$E:$E,"&gt;="&amp;$B16,EeData!$E:$E,"&lt;"&amp;IF($D16="",200,$D16)))</f>
        <v/>
      </c>
      <c r="K16" s="46"/>
      <c r="L16" s="61" t="str">
        <f t="shared" si="1"/>
        <v/>
      </c>
    </row>
    <row r="17" spans="2:12">
      <c r="B17" s="41" t="str">
        <f t="shared" si="2"/>
        <v/>
      </c>
      <c r="C17" s="16"/>
      <c r="D17" s="42"/>
      <c r="F17" s="50" t="str">
        <f t="shared" si="0"/>
        <v/>
      </c>
      <c r="G17" s="2"/>
      <c r="H17" s="45" t="str">
        <f>IF(B17="","",COUNTIFS(EeData!$G:$G,"A",EeData!$E:$E,"&gt;="&amp;$B17,EeData!$E:$E,"&lt;"&amp; IF($D17="",200, $D17)))</f>
        <v/>
      </c>
      <c r="I17" s="2"/>
      <c r="J17" s="58" t="str">
        <f>IF(B17="","",SUMIFS(EeData!$C:$C,EeData!$G:$G,"A",EeData!$E:$E,"&gt;="&amp;$B17,EeData!$E:$E,"&lt;"&amp;IF($D17="",200,$D17)))</f>
        <v/>
      </c>
      <c r="K17" s="46"/>
      <c r="L17" s="61" t="str">
        <f t="shared" si="1"/>
        <v/>
      </c>
    </row>
    <row r="18" spans="2:12" hidden="1">
      <c r="B18" s="41" t="str">
        <f t="shared" si="2"/>
        <v/>
      </c>
      <c r="C18" s="16"/>
      <c r="D18" s="42"/>
      <c r="F18" s="50" t="str">
        <f t="shared" si="0"/>
        <v/>
      </c>
      <c r="G18" s="2"/>
      <c r="H18" s="45" t="str">
        <f>IF(B18="","",COUNTIFS(EeData!$G:$G,"A",EeData!$E:$E,"&gt;="&amp;$B18,EeData!$E:$E,"&lt;"&amp; IF($D18="",200, $D18)))</f>
        <v/>
      </c>
      <c r="I18" s="2"/>
      <c r="J18" s="58" t="str">
        <f>IF(B18="","",SUMIFS(EeData!$C:$C,EeData!$G:$G,"A",EeData!$E:$E,"&gt;="&amp;$B18,EeData!$E:$E,"&lt;"&amp;IF($D18="",200,$D18)))</f>
        <v/>
      </c>
      <c r="K18" s="46"/>
      <c r="L18" s="61" t="str">
        <f t="shared" si="1"/>
        <v/>
      </c>
    </row>
    <row r="19" spans="2:12" hidden="1">
      <c r="B19" s="41" t="str">
        <f t="shared" si="2"/>
        <v/>
      </c>
      <c r="C19" s="16"/>
      <c r="D19" s="42"/>
      <c r="F19" s="50" t="str">
        <f t="shared" si="0"/>
        <v/>
      </c>
      <c r="G19" s="2"/>
      <c r="H19" s="45" t="str">
        <f>IF(B19="","",COUNTIFS(EeData!$G:$G,"A",EeData!$E:$E,"&gt;="&amp;$B19,EeData!$E:$E,"&lt;"&amp; IF($D19="",200, $D19)))</f>
        <v/>
      </c>
      <c r="I19" s="2"/>
      <c r="J19" s="58" t="str">
        <f>IF(B19="","",SUMIFS(EeData!$C:$C,EeData!$G:$G,"A",EeData!$E:$E,"&gt;="&amp;$B19,EeData!$E:$E,"&lt;"&amp;IF($D19="",200,$D19)))</f>
        <v/>
      </c>
      <c r="K19" s="46"/>
      <c r="L19" s="61" t="str">
        <f t="shared" si="1"/>
        <v/>
      </c>
    </row>
    <row r="20" spans="2:12" hidden="1">
      <c r="B20" s="41" t="str">
        <f t="shared" si="2"/>
        <v/>
      </c>
      <c r="C20" s="16"/>
      <c r="D20" s="42"/>
      <c r="F20" s="50" t="str">
        <f t="shared" si="0"/>
        <v/>
      </c>
      <c r="G20" s="2"/>
      <c r="H20" s="45" t="str">
        <f>IF(B20="","",COUNTIFS(EeData!$G:$G,"A",EeData!$E:$E,"&gt;="&amp;$B20,EeData!$E:$E,"&lt;"&amp; IF($D20="",200, $D20)))</f>
        <v/>
      </c>
      <c r="I20" s="2"/>
      <c r="J20" s="58" t="str">
        <f>IF(B20="","",SUMIFS(EeData!$C:$C,EeData!$G:$G,"A",EeData!$E:$E,"&gt;="&amp;$B20,EeData!$E:$E,"&lt;"&amp;IF($D20="",200,$D20)))</f>
        <v/>
      </c>
      <c r="K20" s="46"/>
      <c r="L20" s="61" t="str">
        <f t="shared" si="1"/>
        <v/>
      </c>
    </row>
    <row r="21" spans="2:12" hidden="1">
      <c r="B21" s="41" t="str">
        <f t="shared" si="2"/>
        <v/>
      </c>
      <c r="C21" s="16"/>
      <c r="D21" s="42"/>
      <c r="F21" s="50" t="str">
        <f t="shared" si="0"/>
        <v/>
      </c>
      <c r="G21" s="2"/>
      <c r="H21" s="45" t="str">
        <f>IF(B21="","",COUNTIFS(EeData!$G:$G,"A",EeData!$E:$E,"&gt;="&amp;$B21,EeData!$E:$E,"&lt;"&amp; IF($D21="",200, $D21)))</f>
        <v/>
      </c>
      <c r="I21" s="2"/>
      <c r="J21" s="58" t="str">
        <f>IF(B21="","",SUMIFS(EeData!$C:$C,EeData!$G:$G,"A",EeData!$E:$E,"&gt;="&amp;$B21,EeData!$E:$E,"&lt;"&amp;IF($D21="",200,$D21)))</f>
        <v/>
      </c>
      <c r="K21" s="46"/>
      <c r="L21" s="61" t="str">
        <f t="shared" si="1"/>
        <v/>
      </c>
    </row>
    <row r="22" spans="2:12" hidden="1">
      <c r="B22" s="41" t="str">
        <f t="shared" si="2"/>
        <v/>
      </c>
      <c r="C22" s="16"/>
      <c r="D22" s="42"/>
      <c r="F22" s="50" t="str">
        <f t="shared" si="0"/>
        <v/>
      </c>
      <c r="G22" s="2"/>
      <c r="H22" s="45" t="str">
        <f>IF(B22="","",COUNTIFS(EeData!$G:$G,"A",EeData!$E:$E,"&gt;="&amp;$B22,EeData!$E:$E,"&lt;"&amp; IF($D22="",200, $D22)))</f>
        <v/>
      </c>
      <c r="I22" s="2"/>
      <c r="J22" s="58" t="str">
        <f>IF(B22="","",SUMIFS(EeData!$C:$C,EeData!$G:$G,"A",EeData!$E:$E,"&gt;="&amp;$B22,EeData!$E:$E,"&lt;"&amp;IF($D22="",200,$D22)))</f>
        <v/>
      </c>
      <c r="K22" s="46"/>
      <c r="L22" s="61" t="str">
        <f t="shared" si="1"/>
        <v/>
      </c>
    </row>
    <row r="23" spans="2:12" hidden="1">
      <c r="B23" s="41" t="str">
        <f t="shared" si="2"/>
        <v/>
      </c>
      <c r="C23" s="16"/>
      <c r="D23" s="42"/>
      <c r="F23" s="50" t="str">
        <f t="shared" si="0"/>
        <v/>
      </c>
      <c r="G23" s="2"/>
      <c r="H23" s="45" t="str">
        <f>IF(B23="","",COUNTIFS(EeData!$G:$G,"A",EeData!$E:$E,"&gt;="&amp;$B23,EeData!$E:$E,"&lt;"&amp; IF($D23="",200, $D23)))</f>
        <v/>
      </c>
      <c r="I23" s="2"/>
      <c r="J23" s="58" t="str">
        <f>IF(B23="","",SUMIFS(EeData!$C:$C,EeData!$G:$G,"A",EeData!$E:$E,"&gt;="&amp;$B23,EeData!$E:$E,"&lt;"&amp;IF($D23="",200,$D23)))</f>
        <v/>
      </c>
      <c r="K23" s="46"/>
      <c r="L23" s="61" t="str">
        <f t="shared" si="1"/>
        <v/>
      </c>
    </row>
    <row r="24" spans="2:12" hidden="1">
      <c r="B24" s="41" t="str">
        <f t="shared" si="2"/>
        <v/>
      </c>
      <c r="C24" s="16"/>
      <c r="D24" s="42"/>
      <c r="F24" s="50" t="str">
        <f t="shared" si="0"/>
        <v/>
      </c>
      <c r="G24" s="2"/>
      <c r="H24" s="45" t="str">
        <f>IF(B24="","",COUNTIFS(EeData!$G:$G,"A",EeData!$E:$E,"&gt;="&amp;$B24,EeData!$E:$E,"&lt;"&amp; IF($D24="",200, $D24)))</f>
        <v/>
      </c>
      <c r="I24" s="2"/>
      <c r="J24" s="58" t="str">
        <f>IF(B24="","",SUMIFS(EeData!$C:$C,EeData!$G:$G,"A",EeData!$E:$E,"&gt;="&amp;$B24,EeData!$E:$E,"&lt;"&amp;IF($D24="",200,$D24)))</f>
        <v/>
      </c>
      <c r="K24" s="46"/>
      <c r="L24" s="61" t="str">
        <f t="shared" si="1"/>
        <v/>
      </c>
    </row>
    <row r="25" spans="2:12" ht="15" hidden="1" customHeight="1">
      <c r="B25" s="41" t="str">
        <f t="shared" si="2"/>
        <v/>
      </c>
      <c r="C25" s="16"/>
      <c r="D25" s="42"/>
      <c r="F25" s="50" t="str">
        <f t="shared" si="0"/>
        <v/>
      </c>
      <c r="G25" s="2"/>
      <c r="H25" s="45" t="str">
        <f>IF(B25="","",COUNTIFS(EeData!$G:$G,"A",EeData!$E:$E,"&gt;="&amp;$B25,EeData!$E:$E,"&lt;"&amp; IF($D25="",200, $D25)))</f>
        <v/>
      </c>
      <c r="I25" s="2"/>
      <c r="J25" s="58" t="str">
        <f>IF(B25="","",SUMIFS(EeData!$C:$C,EeData!$G:$G,"A",EeData!$E:$E,"&gt;="&amp;$B25,EeData!$E:$E,"&lt;"&amp;IF($D25="",200,$D25)))</f>
        <v/>
      </c>
      <c r="K25" s="46"/>
      <c r="L25" s="61" t="str">
        <f t="shared" si="1"/>
        <v/>
      </c>
    </row>
    <row r="26" spans="2:12" ht="15" hidden="1" customHeight="1">
      <c r="B26" s="41" t="str">
        <f t="shared" si="2"/>
        <v/>
      </c>
      <c r="C26" s="16"/>
      <c r="D26" s="42"/>
      <c r="F26" s="50" t="str">
        <f t="shared" si="0"/>
        <v/>
      </c>
      <c r="G26" s="2"/>
      <c r="H26" s="45" t="str">
        <f>IF(B26="","",COUNTIFS(EeData!$G:$G,"A",EeData!$E:$E,"&gt;="&amp;$B26,EeData!$E:$E,"&lt;"&amp; IF($D26="",200, $D26)))</f>
        <v/>
      </c>
      <c r="I26" s="2"/>
      <c r="J26" s="58" t="str">
        <f>IF(B26="","",SUMIFS(EeData!$C:$C,EeData!$G:$G,"A",EeData!$E:$E,"&gt;="&amp;$B26,EeData!$E:$E,"&lt;"&amp;IF($D26="",200,$D26)))</f>
        <v/>
      </c>
      <c r="K26" s="46"/>
      <c r="L26" s="61" t="str">
        <f t="shared" si="1"/>
        <v/>
      </c>
    </row>
    <row r="27" spans="2:12" ht="15" hidden="1" customHeight="1">
      <c r="B27" s="41" t="str">
        <f t="shared" si="2"/>
        <v/>
      </c>
      <c r="C27" s="16"/>
      <c r="D27" s="42"/>
      <c r="F27" s="50" t="str">
        <f t="shared" si="0"/>
        <v/>
      </c>
      <c r="G27" s="2"/>
      <c r="H27" s="45" t="str">
        <f>IF(B27="","",COUNTIFS(EeData!$G:$G,"A",EeData!$E:$E,"&gt;="&amp;$B27,EeData!$E:$E,"&lt;"&amp; IF($D27="",200, $D27)))</f>
        <v/>
      </c>
      <c r="I27" s="2"/>
      <c r="J27" s="58" t="str">
        <f>IF(B27="","",SUMIFS(EeData!$C:$C,EeData!$G:$G,"A",EeData!$E:$E,"&gt;="&amp;$B27,EeData!$E:$E,"&lt;"&amp;IF($D27="",200,$D27)))</f>
        <v/>
      </c>
      <c r="K27" s="46"/>
      <c r="L27" s="61" t="str">
        <f t="shared" si="1"/>
        <v/>
      </c>
    </row>
    <row r="28" spans="2:12" ht="15" hidden="1" customHeight="1">
      <c r="B28" s="41" t="str">
        <f t="shared" si="2"/>
        <v/>
      </c>
      <c r="C28" s="16"/>
      <c r="D28" s="42"/>
      <c r="F28" s="50" t="str">
        <f t="shared" si="0"/>
        <v/>
      </c>
      <c r="G28" s="2"/>
      <c r="H28" s="45" t="str">
        <f>IF(B28="","",COUNTIFS(EeData!$G:$G,"A",EeData!$E:$E,"&gt;="&amp;$B28,EeData!$E:$E,"&lt;"&amp; IF($D28="",200, $D28)))</f>
        <v/>
      </c>
      <c r="I28" s="2"/>
      <c r="J28" s="58" t="str">
        <f>IF(B28="","",SUMIFS(EeData!$C:$C,EeData!$G:$G,"A",EeData!$E:$E,"&gt;="&amp;$B28,EeData!$E:$E,"&lt;"&amp;IF($D28="",200,$D28)))</f>
        <v/>
      </c>
      <c r="K28" s="46"/>
      <c r="L28" s="61" t="str">
        <f t="shared" si="1"/>
        <v/>
      </c>
    </row>
    <row r="29" spans="2:12" ht="15" hidden="1" customHeight="1">
      <c r="B29" s="41" t="str">
        <f t="shared" si="2"/>
        <v/>
      </c>
      <c r="C29" s="16"/>
      <c r="D29" s="42"/>
      <c r="F29" s="50" t="str">
        <f t="shared" si="0"/>
        <v/>
      </c>
      <c r="G29" s="2"/>
      <c r="H29" s="45" t="str">
        <f>IF(B29="","",COUNTIFS(EeData!$G:$G,"A",EeData!$E:$E,"&gt;="&amp;$B29,EeData!$E:$E,"&lt;"&amp; IF($D29="",200, $D29)))</f>
        <v/>
      </c>
      <c r="I29" s="2"/>
      <c r="J29" s="58" t="str">
        <f>IF(B29="","",SUMIFS(EeData!$C:$C,EeData!$G:$G,"A",EeData!$E:$E,"&gt;="&amp;$B29,EeData!$E:$E,"&lt;"&amp;IF($D29="",200,$D29)))</f>
        <v/>
      </c>
      <c r="K29" s="46"/>
      <c r="L29" s="61" t="str">
        <f t="shared" si="1"/>
        <v/>
      </c>
    </row>
    <row r="30" spans="2:12">
      <c r="B30" s="41" t="str">
        <f t="shared" si="2"/>
        <v/>
      </c>
      <c r="C30" s="16"/>
      <c r="D30" s="42"/>
      <c r="F30" s="50" t="str">
        <f t="shared" si="0"/>
        <v/>
      </c>
      <c r="G30" s="2"/>
      <c r="H30" s="45" t="str">
        <f>IF(B30="","",COUNTIFS(EeData!$G:$G,"A",EeData!$E:$E,"&gt;="&amp;$B30,EeData!$E:$E,"&lt;"&amp; IF($D30="",200, $D30)))</f>
        <v/>
      </c>
      <c r="I30" s="2"/>
      <c r="J30" s="58" t="str">
        <f>IF(B30="","",SUMIFS(EeData!$C:$C,EeData!$G:$G,"A",EeData!$E:$E,"&gt;="&amp;$B30,EeData!$E:$E,"&lt;"&amp;IF($D30="",200,$D30)))</f>
        <v/>
      </c>
      <c r="K30" s="46"/>
      <c r="L30" s="61" t="str">
        <f t="shared" si="1"/>
        <v/>
      </c>
    </row>
    <row r="31" spans="2:12">
      <c r="B31" s="7" t="str">
        <f t="shared" si="2"/>
        <v/>
      </c>
      <c r="C31" s="2"/>
      <c r="D31" s="42"/>
      <c r="F31" s="50" t="str">
        <f t="shared" si="0"/>
        <v/>
      </c>
      <c r="G31" s="2"/>
      <c r="H31" s="45" t="str">
        <f>IF(B31="","",COUNTIFS(EeData!$G:$G,"A",EeData!$E:$E,"&gt;="&amp;$B31,EeData!$E:$E,"&lt;"&amp; IF($D31="",200, $D31)))</f>
        <v/>
      </c>
      <c r="I31" s="2"/>
      <c r="J31" s="58" t="str">
        <f>IF(B31="","",SUMIFS(EeData!$C:$C,EeData!$G:$G,"A",EeData!$E:$E,"&gt;="&amp;$B31,EeData!$E:$E,"&lt;"&amp;IF($D31="",200,$D31)))</f>
        <v/>
      </c>
      <c r="K31" s="46"/>
      <c r="L31" s="61" t="str">
        <f t="shared" si="1"/>
        <v/>
      </c>
    </row>
    <row r="32" spans="2:12">
      <c r="B32" s="7" t="str">
        <f t="shared" si="2"/>
        <v/>
      </c>
      <c r="C32" s="2"/>
      <c r="D32" s="42"/>
      <c r="F32" s="50" t="str">
        <f t="shared" si="0"/>
        <v/>
      </c>
      <c r="G32" s="2"/>
      <c r="H32" s="45" t="str">
        <f>IF(B32="","",COUNTIFS(EeData!$G:$G,"A",EeData!$E:$E,"&gt;="&amp;$B32,EeData!$E:$E,"&lt;"&amp; IF($D32="",200, $D32)))</f>
        <v/>
      </c>
      <c r="I32" s="2"/>
      <c r="J32" s="58" t="str">
        <f>IF(B32="","",SUMIFS(EeData!$C:$C,EeData!$G:$G,"A",EeData!$E:$E,"&gt;="&amp;$B32,EeData!$E:$E,"&lt;"&amp;IF($D32="",200,$D32)))</f>
        <v/>
      </c>
      <c r="K32" s="46"/>
      <c r="L32" s="61" t="str">
        <f t="shared" si="1"/>
        <v/>
      </c>
    </row>
    <row r="33" spans="2:12">
      <c r="B33" s="7" t="str">
        <f t="shared" si="2"/>
        <v/>
      </c>
      <c r="C33" s="2"/>
      <c r="D33" s="42"/>
      <c r="F33" s="50" t="str">
        <f t="shared" si="0"/>
        <v/>
      </c>
      <c r="G33" s="2"/>
      <c r="H33" s="45" t="str">
        <f>IF(B33="","",COUNTIFS(EeData!$G:$G,"A",EeData!$E:$E,"&gt;="&amp;$B33,EeData!$E:$E,"&lt;"&amp; IF($D33="",200, $D33)))</f>
        <v/>
      </c>
      <c r="I33" s="2"/>
      <c r="J33" s="58" t="str">
        <f>IF(B33="","",SUMIFS(EeData!$C:$C,EeData!$G:$G,"A",EeData!$E:$E,"&gt;="&amp;$B33,EeData!$E:$E,"&lt;"&amp;IF($D33="",200,$D33)))</f>
        <v/>
      </c>
      <c r="K33" s="46"/>
      <c r="L33" s="61" t="str">
        <f t="shared" si="1"/>
        <v/>
      </c>
    </row>
    <row r="34" spans="2:12" ht="15.75" thickBot="1">
      <c r="B34" s="7" t="str">
        <f t="shared" si="2"/>
        <v/>
      </c>
      <c r="C34" s="2"/>
      <c r="D34" s="8"/>
      <c r="F34" s="50" t="str">
        <f t="shared" si="0"/>
        <v/>
      </c>
      <c r="G34" s="2"/>
      <c r="H34" s="45" t="str">
        <f>IF(B34="","",COUNTIFS(EeData!$G:$G,"A",EeData!$E:$E,"&gt;="&amp;$B34,EeData!$E:$E,"&lt;"&amp; IF($D34="",200, $D34)))</f>
        <v/>
      </c>
      <c r="I34" s="2"/>
      <c r="J34" s="58" t="str">
        <f>IF(B34="","",SUMIFS(EeData!$C:$C,EeData!$G:$G,"A",EeData!$E:$E,"&gt;="&amp;$B34,EeData!$E:$E,"&lt;"&amp;IF($D34="",200,$D34)))</f>
        <v/>
      </c>
      <c r="K34" s="46"/>
      <c r="L34" s="61" t="str">
        <f t="shared" si="1"/>
        <v/>
      </c>
    </row>
    <row r="35" spans="2:12" ht="15.75" thickBot="1">
      <c r="B35" s="43"/>
      <c r="C35" s="1"/>
      <c r="D35" s="44"/>
      <c r="F35" s="65" t="s">
        <v>46</v>
      </c>
      <c r="G35" s="1"/>
      <c r="H35" s="59">
        <f>SUM(H7:H34)</f>
        <v>37</v>
      </c>
      <c r="I35" s="1"/>
      <c r="J35" s="66">
        <f>SUM(J7:J34)</f>
        <v>3704000</v>
      </c>
      <c r="K35" s="67"/>
      <c r="L35" s="62">
        <f>$J$35/$H$35</f>
        <v>100108.10810810811</v>
      </c>
    </row>
  </sheetData>
  <mergeCells count="5">
    <mergeCell ref="B2:L2"/>
    <mergeCell ref="B4:D4"/>
    <mergeCell ref="B5:D5"/>
    <mergeCell ref="F4:L4"/>
    <mergeCell ref="F5:L5"/>
  </mergeCells>
  <printOptions horizontalCentered="1"/>
  <pageMargins left="0.7" right="0.7" top="0.75" bottom="0.75" header="0.3" footer="0.3"/>
  <pageSetup orientation="landscape" horizontalDpi="300" verticalDpi="300" r:id="rId1"/>
  <headerFooter>
    <oddFooter>&amp;L&amp;F
&amp;A&amp;R&amp;D
&amp;T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6ECD8A-13D0-420D-9F7C-2F52308B1F25}">
  <sheetPr>
    <pageSetUpPr fitToPage="1"/>
  </sheetPr>
  <dimension ref="A1:X27"/>
  <sheetViews>
    <sheetView workbookViewId="0">
      <selection sqref="A1:F1"/>
    </sheetView>
  </sheetViews>
  <sheetFormatPr defaultColWidth="8.85546875" defaultRowHeight="15"/>
  <cols>
    <col min="1" max="5" width="8.85546875" style="68"/>
    <col min="6" max="6" width="1.7109375" style="68" customWidth="1"/>
    <col min="7" max="16384" width="8.85546875" style="68"/>
  </cols>
  <sheetData>
    <row r="1" spans="1:24" ht="16.5" thickBot="1">
      <c r="A1" s="135" t="s">
        <v>47</v>
      </c>
      <c r="B1" s="136"/>
      <c r="C1" s="136"/>
      <c r="D1" s="136"/>
      <c r="E1" s="136"/>
      <c r="F1" s="137"/>
    </row>
    <row r="2" spans="1:24" ht="16.5" thickBot="1">
      <c r="A2" s="69"/>
      <c r="B2" s="70" t="s">
        <v>48</v>
      </c>
      <c r="C2" s="138" t="s">
        <v>49</v>
      </c>
      <c r="D2" s="138"/>
      <c r="E2" s="138"/>
      <c r="F2" s="71"/>
    </row>
    <row r="3" spans="1:24" ht="15.75" thickTop="1">
      <c r="A3" s="72"/>
      <c r="B3" s="73" t="s">
        <v>42</v>
      </c>
      <c r="C3" s="74">
        <v>0.95</v>
      </c>
      <c r="D3" s="73" t="s">
        <v>50</v>
      </c>
      <c r="E3" s="75">
        <v>1</v>
      </c>
      <c r="F3" s="76"/>
    </row>
    <row r="4" spans="1:24">
      <c r="A4" s="72"/>
      <c r="B4" s="73" t="s">
        <v>51</v>
      </c>
      <c r="C4" s="74">
        <v>0.92</v>
      </c>
      <c r="D4" s="73" t="s">
        <v>50</v>
      </c>
      <c r="E4" s="77">
        <v>0.94989999999999997</v>
      </c>
      <c r="F4" s="76"/>
    </row>
    <row r="5" spans="1:24">
      <c r="A5" s="72"/>
      <c r="B5" s="73" t="s">
        <v>52</v>
      </c>
      <c r="C5" s="74">
        <v>0.9</v>
      </c>
      <c r="D5" s="73" t="s">
        <v>50</v>
      </c>
      <c r="E5" s="77">
        <v>0.91990000000000005</v>
      </c>
      <c r="F5" s="76"/>
    </row>
    <row r="6" spans="1:24">
      <c r="A6" s="72"/>
      <c r="B6" s="73" t="s">
        <v>53</v>
      </c>
      <c r="C6" s="74">
        <v>0.85</v>
      </c>
      <c r="D6" s="73" t="s">
        <v>50</v>
      </c>
      <c r="E6" s="77">
        <v>0.89990000000000003</v>
      </c>
      <c r="F6" s="76"/>
    </row>
    <row r="7" spans="1:24">
      <c r="A7" s="72"/>
      <c r="B7" s="73" t="s">
        <v>54</v>
      </c>
      <c r="C7" s="74">
        <v>0.82</v>
      </c>
      <c r="D7" s="73" t="s">
        <v>50</v>
      </c>
      <c r="E7" s="77">
        <v>0.84989999999999999</v>
      </c>
      <c r="F7" s="76"/>
    </row>
    <row r="8" spans="1:24">
      <c r="A8" s="72"/>
      <c r="B8" s="73" t="s">
        <v>55</v>
      </c>
      <c r="C8" s="74">
        <v>0.8</v>
      </c>
      <c r="D8" s="73" t="s">
        <v>50</v>
      </c>
      <c r="E8" s="77">
        <v>0.81989999999999996</v>
      </c>
      <c r="F8" s="76"/>
    </row>
    <row r="9" spans="1:24">
      <c r="A9" s="72"/>
      <c r="B9" s="73" t="s">
        <v>56</v>
      </c>
      <c r="C9" s="74">
        <v>0.77</v>
      </c>
      <c r="D9" s="73" t="s">
        <v>50</v>
      </c>
      <c r="E9" s="77">
        <v>0.79990000000000006</v>
      </c>
      <c r="F9" s="76"/>
    </row>
    <row r="10" spans="1:24">
      <c r="A10" s="72"/>
      <c r="B10" s="73" t="s">
        <v>57</v>
      </c>
      <c r="C10" s="74">
        <v>0.75</v>
      </c>
      <c r="D10" s="73" t="s">
        <v>50</v>
      </c>
      <c r="E10" s="77">
        <v>0.76990000000000003</v>
      </c>
      <c r="F10" s="76"/>
    </row>
    <row r="11" spans="1:24">
      <c r="A11" s="72"/>
      <c r="B11" s="73" t="s">
        <v>58</v>
      </c>
      <c r="C11" s="74">
        <v>0.65</v>
      </c>
      <c r="D11" s="73" t="s">
        <v>50</v>
      </c>
      <c r="E11" s="77">
        <v>0.74990000000000001</v>
      </c>
      <c r="F11" s="76"/>
    </row>
    <row r="12" spans="1:24" ht="15.75" thickBot="1">
      <c r="A12" s="78"/>
      <c r="B12" s="79" t="s">
        <v>59</v>
      </c>
      <c r="C12" s="80">
        <v>0</v>
      </c>
      <c r="D12" s="79" t="s">
        <v>50</v>
      </c>
      <c r="E12" s="81">
        <v>0.64990000000000003</v>
      </c>
      <c r="F12" s="82"/>
    </row>
    <row r="14" spans="1:24">
      <c r="A14" s="51"/>
      <c r="B14" s="51"/>
      <c r="C14" s="83" t="s">
        <v>46</v>
      </c>
      <c r="D14" s="51"/>
      <c r="E14" s="51"/>
      <c r="F14" s="83"/>
      <c r="G14" s="139" t="s">
        <v>60</v>
      </c>
      <c r="H14" s="139"/>
      <c r="I14" s="139"/>
      <c r="J14" s="139"/>
      <c r="K14" s="139"/>
      <c r="L14" s="139"/>
      <c r="M14" s="139" t="s">
        <v>21</v>
      </c>
      <c r="N14" s="139"/>
      <c r="O14" s="139"/>
      <c r="P14" s="139"/>
      <c r="Q14" s="139"/>
      <c r="R14" s="139"/>
      <c r="S14" s="139"/>
      <c r="T14" s="139"/>
      <c r="U14" s="139"/>
      <c r="V14" s="139"/>
      <c r="W14" s="139"/>
      <c r="X14" s="139"/>
    </row>
    <row r="15" spans="1:24">
      <c r="A15" s="84" t="s">
        <v>61</v>
      </c>
      <c r="B15" s="84"/>
      <c r="C15" s="85" t="s">
        <v>62</v>
      </c>
      <c r="D15" s="85" t="s">
        <v>18</v>
      </c>
      <c r="E15" s="85" t="s">
        <v>63</v>
      </c>
      <c r="F15" s="85"/>
      <c r="G15" s="85">
        <v>1</v>
      </c>
      <c r="H15" s="85">
        <v>2</v>
      </c>
      <c r="I15" s="85">
        <v>3</v>
      </c>
      <c r="J15" s="85">
        <v>4</v>
      </c>
      <c r="K15" s="85">
        <v>5</v>
      </c>
      <c r="L15" s="85" t="s">
        <v>46</v>
      </c>
      <c r="M15" s="85">
        <v>1</v>
      </c>
      <c r="N15" s="85">
        <v>2</v>
      </c>
      <c r="O15" s="85">
        <v>3</v>
      </c>
      <c r="P15" s="85">
        <v>4</v>
      </c>
      <c r="Q15" s="85">
        <v>5</v>
      </c>
      <c r="R15" s="85">
        <v>6</v>
      </c>
      <c r="S15" s="85">
        <v>7</v>
      </c>
      <c r="T15" s="85">
        <v>8</v>
      </c>
      <c r="U15" s="85">
        <v>9</v>
      </c>
      <c r="V15" s="85">
        <v>10</v>
      </c>
      <c r="W15" s="85">
        <v>11</v>
      </c>
      <c r="X15" s="85" t="s">
        <v>46</v>
      </c>
    </row>
    <row r="16" spans="1:24">
      <c r="A16" s="86" t="s">
        <v>64</v>
      </c>
      <c r="B16" s="87"/>
      <c r="C16" s="88">
        <v>488</v>
      </c>
      <c r="D16" s="89">
        <v>195</v>
      </c>
      <c r="E16" s="89">
        <v>98</v>
      </c>
      <c r="F16" s="88"/>
      <c r="G16" s="89">
        <v>24</v>
      </c>
      <c r="H16" s="89">
        <v>23</v>
      </c>
      <c r="I16" s="89">
        <v>18</v>
      </c>
      <c r="J16" s="89">
        <v>23</v>
      </c>
      <c r="K16" s="89">
        <v>21</v>
      </c>
      <c r="L16" s="88">
        <v>109</v>
      </c>
      <c r="M16" s="89">
        <v>10</v>
      </c>
      <c r="N16" s="89">
        <v>9</v>
      </c>
      <c r="O16" s="89">
        <v>7</v>
      </c>
      <c r="P16" s="89">
        <v>8</v>
      </c>
      <c r="Q16" s="89">
        <v>6</v>
      </c>
      <c r="R16" s="89">
        <v>8</v>
      </c>
      <c r="S16" s="89">
        <v>7</v>
      </c>
      <c r="T16" s="89">
        <v>6</v>
      </c>
      <c r="U16" s="89">
        <v>8</v>
      </c>
      <c r="V16" s="89">
        <v>10</v>
      </c>
      <c r="W16" s="89">
        <v>7</v>
      </c>
      <c r="X16" s="88">
        <v>86</v>
      </c>
    </row>
    <row r="17" spans="1:24">
      <c r="A17" s="86" t="s">
        <v>65</v>
      </c>
      <c r="B17" s="87"/>
      <c r="C17" s="88">
        <v>439</v>
      </c>
      <c r="D17" s="89">
        <v>190</v>
      </c>
      <c r="E17" s="89">
        <v>96</v>
      </c>
      <c r="F17" s="88"/>
      <c r="G17" s="89">
        <v>23</v>
      </c>
      <c r="H17" s="89">
        <v>22</v>
      </c>
      <c r="I17" s="89">
        <v>17</v>
      </c>
      <c r="J17" s="89">
        <v>22</v>
      </c>
      <c r="K17" s="89">
        <v>20</v>
      </c>
      <c r="L17" s="88">
        <v>104</v>
      </c>
      <c r="M17" s="89">
        <v>9</v>
      </c>
      <c r="N17" s="89">
        <v>8</v>
      </c>
      <c r="O17" s="89">
        <v>0</v>
      </c>
      <c r="P17" s="89">
        <v>7</v>
      </c>
      <c r="Q17" s="89">
        <v>0</v>
      </c>
      <c r="R17" s="89">
        <v>2</v>
      </c>
      <c r="S17" s="89">
        <v>5</v>
      </c>
      <c r="T17" s="89">
        <v>4</v>
      </c>
      <c r="U17" s="89">
        <v>6</v>
      </c>
      <c r="V17" s="89">
        <v>8</v>
      </c>
      <c r="W17" s="89"/>
      <c r="X17" s="88">
        <v>49</v>
      </c>
    </row>
    <row r="18" spans="1:24">
      <c r="A18" s="86" t="s">
        <v>66</v>
      </c>
      <c r="B18" s="87"/>
      <c r="C18" s="88">
        <v>458</v>
      </c>
      <c r="D18" s="89">
        <v>185</v>
      </c>
      <c r="E18" s="89">
        <v>94</v>
      </c>
      <c r="F18" s="88"/>
      <c r="G18" s="89">
        <v>22</v>
      </c>
      <c r="H18" s="89">
        <v>25</v>
      </c>
      <c r="I18" s="89">
        <v>25</v>
      </c>
      <c r="J18" s="89">
        <v>25</v>
      </c>
      <c r="K18" s="89">
        <v>25</v>
      </c>
      <c r="L18" s="88">
        <v>122</v>
      </c>
      <c r="M18" s="89">
        <v>8</v>
      </c>
      <c r="N18" s="89">
        <v>7</v>
      </c>
      <c r="O18" s="89">
        <v>9</v>
      </c>
      <c r="P18" s="89">
        <v>7</v>
      </c>
      <c r="Q18" s="89">
        <v>10</v>
      </c>
      <c r="R18" s="89">
        <v>7</v>
      </c>
      <c r="S18" s="89">
        <v>3</v>
      </c>
      <c r="T18" s="89">
        <v>2</v>
      </c>
      <c r="U18" s="89">
        <v>4</v>
      </c>
      <c r="V18" s="89"/>
      <c r="W18" s="89"/>
      <c r="X18" s="88">
        <v>57</v>
      </c>
    </row>
    <row r="19" spans="1:24">
      <c r="A19" s="86" t="s">
        <v>67</v>
      </c>
      <c r="B19" s="87"/>
      <c r="C19" s="88">
        <v>430</v>
      </c>
      <c r="D19" s="89">
        <v>180</v>
      </c>
      <c r="E19" s="89">
        <v>92</v>
      </c>
      <c r="F19" s="88"/>
      <c r="G19" s="89">
        <v>21</v>
      </c>
      <c r="H19" s="89">
        <v>20</v>
      </c>
      <c r="I19" s="89">
        <v>25</v>
      </c>
      <c r="J19" s="89">
        <v>20</v>
      </c>
      <c r="K19" s="89">
        <v>22</v>
      </c>
      <c r="L19" s="88">
        <v>108</v>
      </c>
      <c r="M19" s="89">
        <v>7</v>
      </c>
      <c r="N19" s="89">
        <v>6</v>
      </c>
      <c r="O19" s="89">
        <v>8</v>
      </c>
      <c r="P19" s="89">
        <v>10</v>
      </c>
      <c r="Q19" s="89">
        <v>7</v>
      </c>
      <c r="R19" s="89">
        <v>9</v>
      </c>
      <c r="S19" s="89">
        <v>2</v>
      </c>
      <c r="T19" s="89">
        <v>1</v>
      </c>
      <c r="U19" s="89"/>
      <c r="V19" s="89"/>
      <c r="W19" s="89"/>
      <c r="X19" s="88">
        <v>50</v>
      </c>
    </row>
    <row r="20" spans="1:24">
      <c r="A20" s="86" t="s">
        <v>68</v>
      </c>
      <c r="B20" s="87"/>
      <c r="C20" s="88">
        <v>458</v>
      </c>
      <c r="D20" s="89">
        <v>198</v>
      </c>
      <c r="E20" s="89">
        <v>90</v>
      </c>
      <c r="F20" s="88"/>
      <c r="G20" s="89">
        <v>25</v>
      </c>
      <c r="H20" s="89">
        <v>25</v>
      </c>
      <c r="I20" s="89">
        <v>25</v>
      </c>
      <c r="J20" s="89">
        <v>25</v>
      </c>
      <c r="K20" s="89">
        <v>21</v>
      </c>
      <c r="L20" s="88">
        <v>121</v>
      </c>
      <c r="M20" s="89">
        <v>6</v>
      </c>
      <c r="N20" s="89">
        <v>5</v>
      </c>
      <c r="O20" s="89">
        <v>7</v>
      </c>
      <c r="P20" s="89">
        <v>9</v>
      </c>
      <c r="Q20" s="89">
        <v>6</v>
      </c>
      <c r="R20" s="89">
        <v>8</v>
      </c>
      <c r="S20" s="89">
        <v>8</v>
      </c>
      <c r="T20" s="89"/>
      <c r="U20" s="89"/>
      <c r="V20" s="89"/>
      <c r="W20" s="89"/>
      <c r="X20" s="88">
        <v>49</v>
      </c>
    </row>
    <row r="21" spans="1:24">
      <c r="A21" s="86" t="s">
        <v>69</v>
      </c>
      <c r="B21" s="87"/>
      <c r="C21" s="88">
        <v>391</v>
      </c>
      <c r="D21" s="89">
        <v>170</v>
      </c>
      <c r="E21" s="89">
        <v>88</v>
      </c>
      <c r="F21" s="88"/>
      <c r="G21" s="89">
        <v>19</v>
      </c>
      <c r="H21" s="89">
        <v>18</v>
      </c>
      <c r="I21" s="89">
        <v>23</v>
      </c>
      <c r="J21" s="89">
        <v>18</v>
      </c>
      <c r="K21" s="89">
        <v>20</v>
      </c>
      <c r="L21" s="88">
        <v>98</v>
      </c>
      <c r="M21" s="89">
        <v>5</v>
      </c>
      <c r="N21" s="89">
        <v>4</v>
      </c>
      <c r="O21" s="89">
        <v>6</v>
      </c>
      <c r="P21" s="89">
        <v>8</v>
      </c>
      <c r="Q21" s="89">
        <v>5</v>
      </c>
      <c r="R21" s="89">
        <v>7</v>
      </c>
      <c r="S21" s="89"/>
      <c r="T21" s="89"/>
      <c r="U21" s="89"/>
      <c r="V21" s="89"/>
      <c r="W21" s="89"/>
      <c r="X21" s="88">
        <v>35</v>
      </c>
    </row>
    <row r="22" spans="1:24">
      <c r="A22" s="86" t="s">
        <v>70</v>
      </c>
      <c r="B22" s="87"/>
      <c r="C22" s="88">
        <v>420</v>
      </c>
      <c r="D22" s="89">
        <v>200</v>
      </c>
      <c r="E22" s="89">
        <v>86</v>
      </c>
      <c r="F22" s="88"/>
      <c r="G22" s="89">
        <v>18</v>
      </c>
      <c r="H22" s="89">
        <v>17</v>
      </c>
      <c r="I22" s="89">
        <v>22</v>
      </c>
      <c r="J22" s="89">
        <v>17</v>
      </c>
      <c r="K22" s="89">
        <v>19</v>
      </c>
      <c r="L22" s="88">
        <v>93</v>
      </c>
      <c r="M22" s="89">
        <v>10</v>
      </c>
      <c r="N22" s="89">
        <v>6</v>
      </c>
      <c r="O22" s="89">
        <v>8</v>
      </c>
      <c r="P22" s="89">
        <v>10</v>
      </c>
      <c r="Q22" s="89">
        <v>7</v>
      </c>
      <c r="R22" s="89"/>
      <c r="S22" s="89"/>
      <c r="T22" s="89"/>
      <c r="U22" s="89"/>
      <c r="V22" s="89"/>
      <c r="W22" s="89"/>
      <c r="X22" s="88">
        <v>41</v>
      </c>
    </row>
    <row r="23" spans="1:24">
      <c r="A23" s="86" t="s">
        <v>71</v>
      </c>
      <c r="B23" s="87"/>
      <c r="C23" s="88">
        <v>319</v>
      </c>
      <c r="D23" s="89">
        <v>160</v>
      </c>
      <c r="E23" s="89">
        <v>84</v>
      </c>
      <c r="F23" s="88"/>
      <c r="G23" s="89">
        <v>17</v>
      </c>
      <c r="H23" s="89">
        <v>16</v>
      </c>
      <c r="I23" s="89">
        <v>25</v>
      </c>
      <c r="J23" s="89"/>
      <c r="K23" s="89">
        <v>2</v>
      </c>
      <c r="L23" s="88">
        <v>60</v>
      </c>
      <c r="M23" s="89">
        <v>3</v>
      </c>
      <c r="N23" s="89">
        <v>2</v>
      </c>
      <c r="O23" s="89">
        <v>4</v>
      </c>
      <c r="P23" s="89">
        <v>6</v>
      </c>
      <c r="Q23" s="89"/>
      <c r="R23" s="89"/>
      <c r="S23" s="89"/>
      <c r="T23" s="89"/>
      <c r="U23" s="89"/>
      <c r="V23" s="89"/>
      <c r="W23" s="89"/>
      <c r="X23" s="88">
        <v>15</v>
      </c>
    </row>
    <row r="24" spans="1:24">
      <c r="A24" s="86" t="s">
        <v>72</v>
      </c>
      <c r="B24" s="87"/>
      <c r="C24" s="88">
        <v>416</v>
      </c>
      <c r="D24" s="89">
        <v>200</v>
      </c>
      <c r="E24" s="89">
        <v>100</v>
      </c>
      <c r="F24" s="88"/>
      <c r="G24" s="89">
        <v>16</v>
      </c>
      <c r="H24" s="89">
        <v>15</v>
      </c>
      <c r="I24" s="89">
        <v>20</v>
      </c>
      <c r="J24" s="89">
        <v>25</v>
      </c>
      <c r="K24" s="89">
        <v>23</v>
      </c>
      <c r="L24" s="88">
        <v>99</v>
      </c>
      <c r="M24" s="89">
        <v>10</v>
      </c>
      <c r="N24" s="89">
        <v>2</v>
      </c>
      <c r="O24" s="89">
        <v>5</v>
      </c>
      <c r="P24" s="89"/>
      <c r="Q24" s="89"/>
      <c r="R24" s="89"/>
      <c r="S24" s="89"/>
      <c r="T24" s="89"/>
      <c r="U24" s="89"/>
      <c r="V24" s="89"/>
      <c r="W24" s="89"/>
      <c r="X24" s="88">
        <v>17</v>
      </c>
    </row>
    <row r="25" spans="1:24">
      <c r="A25" s="86" t="s">
        <v>73</v>
      </c>
      <c r="B25" s="87"/>
      <c r="C25" s="88">
        <v>305</v>
      </c>
      <c r="D25" s="89">
        <v>180</v>
      </c>
      <c r="E25" s="89">
        <v>90</v>
      </c>
      <c r="F25" s="88"/>
      <c r="G25" s="89">
        <v>15</v>
      </c>
      <c r="H25" s="89"/>
      <c r="I25" s="89"/>
      <c r="J25" s="89"/>
      <c r="K25" s="89"/>
      <c r="L25" s="88">
        <v>15</v>
      </c>
      <c r="M25" s="89">
        <v>10</v>
      </c>
      <c r="N25" s="89">
        <v>10</v>
      </c>
      <c r="O25" s="89"/>
      <c r="P25" s="89"/>
      <c r="Q25" s="89"/>
      <c r="R25" s="89"/>
      <c r="S25" s="89"/>
      <c r="T25" s="89"/>
      <c r="U25" s="89"/>
      <c r="V25" s="89"/>
      <c r="W25" s="89"/>
      <c r="X25" s="88">
        <v>20</v>
      </c>
    </row>
    <row r="26" spans="1:24">
      <c r="A26" s="86" t="s">
        <v>74</v>
      </c>
      <c r="B26" s="87"/>
      <c r="C26" s="88">
        <v>234</v>
      </c>
      <c r="D26" s="89">
        <v>145</v>
      </c>
      <c r="E26" s="89">
        <v>78</v>
      </c>
      <c r="F26" s="88"/>
      <c r="G26" s="89"/>
      <c r="H26" s="89"/>
      <c r="I26" s="89"/>
      <c r="J26" s="89"/>
      <c r="K26" s="89">
        <v>2</v>
      </c>
      <c r="L26" s="88">
        <v>2</v>
      </c>
      <c r="M26" s="89">
        <v>9</v>
      </c>
      <c r="N26" s="89"/>
      <c r="O26" s="89"/>
      <c r="P26" s="89"/>
      <c r="Q26" s="89"/>
      <c r="R26" s="89"/>
      <c r="S26" s="89"/>
      <c r="T26" s="89"/>
      <c r="U26" s="89"/>
      <c r="V26" s="89"/>
      <c r="W26" s="89"/>
      <c r="X26" s="88">
        <v>9</v>
      </c>
    </row>
    <row r="27" spans="1:24">
      <c r="A27" s="86" t="s">
        <v>75</v>
      </c>
      <c r="B27" s="87"/>
      <c r="C27" s="88">
        <v>447</v>
      </c>
      <c r="D27" s="89">
        <v>200</v>
      </c>
      <c r="E27" s="89">
        <v>100</v>
      </c>
      <c r="F27" s="88"/>
      <c r="G27" s="89">
        <v>13</v>
      </c>
      <c r="H27" s="89">
        <v>12</v>
      </c>
      <c r="I27" s="89">
        <v>17</v>
      </c>
      <c r="J27" s="89">
        <v>22</v>
      </c>
      <c r="K27" s="89">
        <v>20</v>
      </c>
      <c r="L27" s="88">
        <v>84</v>
      </c>
      <c r="M27" s="89">
        <v>5</v>
      </c>
      <c r="N27" s="89">
        <v>4</v>
      </c>
      <c r="O27" s="89">
        <v>6</v>
      </c>
      <c r="P27" s="89">
        <v>8</v>
      </c>
      <c r="Q27" s="89">
        <v>5</v>
      </c>
      <c r="R27" s="89">
        <v>7</v>
      </c>
      <c r="S27" s="89">
        <v>5</v>
      </c>
      <c r="T27" s="89">
        <v>4</v>
      </c>
      <c r="U27" s="89">
        <v>6</v>
      </c>
      <c r="V27" s="89">
        <v>8</v>
      </c>
      <c r="W27" s="89">
        <v>5</v>
      </c>
      <c r="X27" s="88">
        <v>63</v>
      </c>
    </row>
  </sheetData>
  <mergeCells count="4">
    <mergeCell ref="A1:F1"/>
    <mergeCell ref="C2:E2"/>
    <mergeCell ref="G14:L14"/>
    <mergeCell ref="M14:X14"/>
  </mergeCells>
  <printOptions horizontalCentered="1"/>
  <pageMargins left="0.7" right="0.7" top="0.75" bottom="0.75" header="0.3" footer="0.3"/>
  <pageSetup scale="60" orientation="landscape" horizontalDpi="300" verticalDpi="300" r:id="rId1"/>
  <headerFooter>
    <oddFooter>&amp;L&amp;F
&amp;A&amp;R&amp;D
&amp;T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5A1C4B-6594-8945-A58E-EEAEB98B494B}">
  <sheetPr>
    <pageSetUpPr fitToPage="1"/>
  </sheetPr>
  <dimension ref="B1:D14"/>
  <sheetViews>
    <sheetView showGridLines="0" zoomScale="114" workbookViewId="0">
      <selection activeCell="D4" sqref="D4"/>
    </sheetView>
  </sheetViews>
  <sheetFormatPr defaultColWidth="11.42578125" defaultRowHeight="15"/>
  <cols>
    <col min="1" max="1" width="2.7109375" customWidth="1"/>
    <col min="2" max="2" width="16.7109375" customWidth="1"/>
    <col min="3" max="3" width="9" customWidth="1"/>
    <col min="4" max="4" width="21.42578125" customWidth="1"/>
  </cols>
  <sheetData>
    <row r="1" spans="2:4" ht="15.75" thickBot="1"/>
    <row r="2" spans="2:4" ht="21.75" customHeight="1" thickBot="1">
      <c r="B2" s="140" t="s">
        <v>12</v>
      </c>
      <c r="C2" s="141"/>
      <c r="D2" s="142"/>
    </row>
    <row r="3" spans="2:4">
      <c r="B3" s="5"/>
      <c r="C3" s="3"/>
      <c r="D3" s="6"/>
    </row>
    <row r="4" spans="2:4">
      <c r="B4" s="7" t="s">
        <v>13</v>
      </c>
      <c r="C4" s="2"/>
      <c r="D4" s="9" t="s">
        <v>65</v>
      </c>
    </row>
    <row r="5" spans="2:4">
      <c r="B5" s="7"/>
      <c r="C5" s="2"/>
      <c r="D5" s="8"/>
    </row>
    <row r="6" spans="2:4">
      <c r="B6" s="7" t="s">
        <v>14</v>
      </c>
      <c r="C6" s="2"/>
      <c r="D6" s="9">
        <v>500</v>
      </c>
    </row>
    <row r="7" spans="2:4">
      <c r="B7" s="7" t="s">
        <v>15</v>
      </c>
      <c r="C7" s="2"/>
      <c r="D7" s="8">
        <f>SUM(D11:D14)</f>
        <v>439</v>
      </c>
    </row>
    <row r="8" spans="2:4">
      <c r="B8" s="7" t="s">
        <v>16</v>
      </c>
      <c r="C8" s="2"/>
      <c r="D8" s="90">
        <f>D7/D6</f>
        <v>0.878</v>
      </c>
    </row>
    <row r="9" spans="2:4">
      <c r="B9" s="10" t="s">
        <v>17</v>
      </c>
      <c r="C9" s="2"/>
      <c r="D9" s="91" t="str">
        <f>INDEX(Records!B3:B12,MATCH(D8,LetterGrades,-1))</f>
        <v>B</v>
      </c>
    </row>
    <row r="10" spans="2:4">
      <c r="B10" s="7"/>
      <c r="C10" s="2"/>
      <c r="D10" s="8"/>
    </row>
    <row r="11" spans="2:4">
      <c r="B11" s="7" t="s">
        <v>18</v>
      </c>
      <c r="C11" s="2"/>
      <c r="D11" s="8">
        <f>VLOOKUP($D$4,GradeTable,4,FALSE)</f>
        <v>190</v>
      </c>
    </row>
    <row r="12" spans="2:4">
      <c r="B12" s="7" t="s">
        <v>19</v>
      </c>
      <c r="C12" s="2"/>
      <c r="D12" s="8">
        <f>VLOOKUP($D$4,GradeTable,5,FALSE)</f>
        <v>96</v>
      </c>
    </row>
    <row r="13" spans="2:4">
      <c r="B13" s="7" t="s">
        <v>20</v>
      </c>
      <c r="C13" s="2"/>
      <c r="D13" s="8">
        <f>VLOOKUP($D$4,GradeTable,12,FALSE)</f>
        <v>104</v>
      </c>
    </row>
    <row r="14" spans="2:4" ht="15.75" thickBot="1">
      <c r="B14" s="11" t="s">
        <v>21</v>
      </c>
      <c r="C14" s="4"/>
      <c r="D14" s="12">
        <f>VLOOKUP($D$4,GradeTable,24,FALSE)</f>
        <v>49</v>
      </c>
    </row>
  </sheetData>
  <dataConsolidate/>
  <mergeCells count="1">
    <mergeCell ref="B2:D2"/>
  </mergeCells>
  <printOptions horizontalCentered="1"/>
  <pageMargins left="0.7" right="0.7" top="0.75" bottom="0.75" header="0.3" footer="0.3"/>
  <pageSetup orientation="portrait" horizontalDpi="300" verticalDpi="300" r:id="rId1"/>
  <headerFooter>
    <oddFooter>&amp;L&amp;F
&amp;A&amp;R&amp;D
&amp;T</oddFoot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2454BD4-A7BF-41DB-9F66-D6D110A9B387}">
          <x14:formula1>
            <xm:f>Records!$A$16:$A$27</xm:f>
          </x14:formula1>
          <xm:sqref>D4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Benefits</vt:lpstr>
      <vt:lpstr>EeData</vt:lpstr>
      <vt:lpstr>Age Distributions</vt:lpstr>
      <vt:lpstr>Records</vt:lpstr>
      <vt:lpstr>Grade_Report</vt:lpstr>
      <vt:lpstr>GradeTable</vt:lpstr>
      <vt:lpstr>LetterGrades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Sean G</dc:creator>
  <cp:lastModifiedBy>Sean G</cp:lastModifiedBy>
  <cp:lastPrinted>2020-09-18T23:04:06Z</cp:lastPrinted>
  <dcterms:created xsi:type="dcterms:W3CDTF">2020-08-27T19:00:52Z</dcterms:created>
  <dcterms:modified xsi:type="dcterms:W3CDTF">2020-09-18T23:33:42Z</dcterms:modified>
</cp:coreProperties>
</file>