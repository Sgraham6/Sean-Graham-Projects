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5\"/>
    </mc:Choice>
  </mc:AlternateContent>
  <xr:revisionPtr revIDLastSave="0" documentId="13_ncr:1_{EA433C3F-15D4-4FC8-A16C-DB27E5AC2956}" xr6:coauthVersionLast="45" xr6:coauthVersionMax="45" xr10:uidLastSave="{00000000-0000-0000-0000-000000000000}"/>
  <bookViews>
    <workbookView xWindow="810" yWindow="-120" windowWidth="19800" windowHeight="11760" xr2:uid="{22DE8E6D-1371-4482-BC68-1192ACFD9B3E}"/>
  </bookViews>
  <sheets>
    <sheet name="Employee Database" sheetId="2" r:id="rId1"/>
    <sheet name="Listings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'Employee Database'!$A$5:$O$58</definedName>
    <definedName name="_xlnm._FilterDatabase" localSheetId="1" hidden="1">Listings!$A$5:$O$16</definedName>
    <definedName name="AssetM">[1]Table!$J$3:$K$13</definedName>
    <definedName name="Benjamin">OFFSET('[2]Weight Watch'!$B$9,'[2]Weight Watch'!$I$3-9,2,'[2]Weight Watch'!$I$2,1)</definedName>
    <definedName name="Client">[1]X!$C$9</definedName>
    <definedName name="_xlnm.Criteria" localSheetId="1">Listings!$F$1:$G$3</definedName>
    <definedName name="DateF">OFFSET('[2]Weight Watch'!$B$9,'[2]Weight Watch'!$I$3-9,0,'[2]Weight Watch'!$I$2,1)</definedName>
    <definedName name="DefaultB">[1]X!$F$5</definedName>
    <definedName name="Difference">OFFSET([3]Salman!$G$9,0,0,[3]Salman!$B$4,1)</definedName>
    <definedName name="Eric">OFFSET('[2]Weight Watch'!$B$9,'[2]Weight Watch'!$I$3-9,4,'[2]Weight Watch'!$I$2,1)</definedName>
    <definedName name="FanF">OFFSET('[2]Weight Watch'!$B$9,'[2]Weight Watch'!$I$3-9,3,'[2]Weight Watch'!$I$2,1)</definedName>
    <definedName name="Footer">[1]X!$C$10</definedName>
    <definedName name="George">OFFSET('[2]Weight Watch'!$B$9,'[2]Weight Watch'!$I$3-9,3,'[2]Weight Watch'!$I$2,1)</definedName>
    <definedName name="LiF">OFFSET('[2]Weight Watch'!$B$9,'[2]Weight Watch'!$I$3-9,2,'[2]Weight Watch'!$I$2,1)</definedName>
    <definedName name="MeasDate">OFFSET('[2]Weight Watch'!$B$9,'[2]Weight Watch'!$I$3-9,0,'[2]Weight Watch'!$I$2,1)</definedName>
    <definedName name="MetMRV">[4]Table!$C$21:$D$31</definedName>
    <definedName name="Rate">OFFSET([5]Rate!$C$4,0,0,COUNT([5]Rate!$C:$C))</definedName>
    <definedName name="Version">[1]X!$A$2</definedName>
    <definedName name="WangF">OFFSET('[2]Weight Watch'!$B$9,'[2]Weight Watch'!$I$3-9,4,'[2]Weight Watch'!$I$2,1)</definedName>
    <definedName name="Year">OFFSET([5]Rate!$B$4,0,0,COUNT([5]Rate!$B:$B))</definedName>
    <definedName name="Year158">'[6]FAS 158 Input'!$H$4</definedName>
  </definedNames>
  <calcPr calcId="191029" iterate="1" iterateCount="1000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7" i="3" l="1"/>
  <c r="O8" i="3"/>
  <c r="O9" i="3"/>
  <c r="O10" i="3"/>
  <c r="O11" i="3"/>
  <c r="O12" i="3"/>
  <c r="O13" i="3"/>
  <c r="O14" i="3"/>
  <c r="O15" i="3"/>
  <c r="O16" i="3"/>
  <c r="O6" i="3"/>
  <c r="N7" i="3"/>
  <c r="N8" i="3"/>
  <c r="N9" i="3"/>
  <c r="N10" i="3"/>
  <c r="N11" i="3"/>
  <c r="N12" i="3"/>
  <c r="N13" i="3"/>
  <c r="N14" i="3"/>
  <c r="N15" i="3"/>
  <c r="N16" i="3"/>
  <c r="N6" i="3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6" i="2"/>
  <c r="M10" i="3" l="1"/>
  <c r="L10" i="3"/>
  <c r="M12" i="3"/>
  <c r="L12" i="3"/>
  <c r="M16" i="3"/>
  <c r="L16" i="3"/>
  <c r="M15" i="3"/>
  <c r="L15" i="3"/>
  <c r="M13" i="3"/>
  <c r="L13" i="3"/>
  <c r="M11" i="3"/>
  <c r="L11" i="3"/>
  <c r="M14" i="3"/>
  <c r="L14" i="3"/>
  <c r="M7" i="3"/>
  <c r="L7" i="3"/>
  <c r="M6" i="3"/>
  <c r="L6" i="3"/>
  <c r="M8" i="3"/>
  <c r="L8" i="3"/>
  <c r="M9" i="3"/>
  <c r="L9" i="3"/>
  <c r="L7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O53" i="2" s="1"/>
  <c r="M54" i="2"/>
  <c r="O54" i="2" s="1"/>
  <c r="M55" i="2"/>
  <c r="O55" i="2" s="1"/>
  <c r="M56" i="2"/>
  <c r="O56" i="2" s="1"/>
  <c r="M57" i="2"/>
  <c r="O57" i="2" s="1"/>
  <c r="M58" i="2"/>
  <c r="O58" i="2" s="1"/>
  <c r="M6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6" i="2"/>
  <c r="J2" i="2" l="1"/>
  <c r="J3" i="2" s="1"/>
  <c r="O52" i="2"/>
</calcChain>
</file>

<file path=xl/sharedStrings.xml><?xml version="1.0" encoding="utf-8"?>
<sst xmlns="http://schemas.openxmlformats.org/spreadsheetml/2006/main" count="225" uniqueCount="74">
  <si>
    <t>R</t>
  </si>
  <si>
    <t>Lee, Gordon</t>
  </si>
  <si>
    <t>Clinton, Bills</t>
  </si>
  <si>
    <t>V</t>
  </si>
  <si>
    <t>Jordon, Hillary</t>
  </si>
  <si>
    <t>A</t>
  </si>
  <si>
    <t>Jobs, Benjamin</t>
  </si>
  <si>
    <t>Larson, George</t>
  </si>
  <si>
    <t>Larson, Chris</t>
  </si>
  <si>
    <t>Wang, Eric</t>
  </si>
  <si>
    <t>Benson, Jessika</t>
  </si>
  <si>
    <t>Bartho, George</t>
  </si>
  <si>
    <t>Klendshoj, Saleh</t>
  </si>
  <si>
    <t>Aho, Blake</t>
  </si>
  <si>
    <t>Larson, Brian</t>
  </si>
  <si>
    <t>Doll Woolley, Yazeed</t>
  </si>
  <si>
    <t>Souers, Celina</t>
  </si>
  <si>
    <t>Larson, Luke</t>
  </si>
  <si>
    <t>Nelson, Jumaan</t>
  </si>
  <si>
    <t>Johnson, Aaron</t>
  </si>
  <si>
    <t>Lam, Jacqueline E</t>
  </si>
  <si>
    <t>Shapiro, Amanda</t>
  </si>
  <si>
    <t>Jackson, Dawn E</t>
  </si>
  <si>
    <t>Hohl, David L</t>
  </si>
  <si>
    <t>Carlson, Austin</t>
  </si>
  <si>
    <t>Donovan, Alina</t>
  </si>
  <si>
    <t>Jumaan, Casey A</t>
  </si>
  <si>
    <t>Hitpas, Bruce D</t>
  </si>
  <si>
    <t>Asche, Alexis</t>
  </si>
  <si>
    <t>Kampwerth, Rebecca M</t>
  </si>
  <si>
    <t>Guy, Robert L</t>
  </si>
  <si>
    <t>Harada, Richard G</t>
  </si>
  <si>
    <t>Harvestine, Susan R</t>
  </si>
  <si>
    <t>Gall, Susann K</t>
  </si>
  <si>
    <t>Duvall, DeeAnn S</t>
  </si>
  <si>
    <t>Carlson, Jeremy</t>
  </si>
  <si>
    <t>Gist, Tracy A</t>
  </si>
  <si>
    <t>Chen, Jerome F</t>
  </si>
  <si>
    <t>Asche, Ryan</t>
  </si>
  <si>
    <t>Baker, Eric</t>
  </si>
  <si>
    <t>Dehn, Diane M</t>
  </si>
  <si>
    <t>Aljebreen, Patric</t>
  </si>
  <si>
    <t>Cress, Scott G</t>
  </si>
  <si>
    <t>Bossler, Bill</t>
  </si>
  <si>
    <t>Nelson, Yuyang</t>
  </si>
  <si>
    <t>2/30/1960</t>
  </si>
  <si>
    <t>Brinkley, Roxanne L</t>
  </si>
  <si>
    <t>Brinkley, Jeanne M</t>
  </si>
  <si>
    <t>Richman, Michelle</t>
  </si>
  <si>
    <t>Olson, Nicholas</t>
  </si>
  <si>
    <t>Butina, Natalie</t>
  </si>
  <si>
    <t>Al Jaloud, Steve</t>
  </si>
  <si>
    <t>Tiedens, Bret</t>
  </si>
  <si>
    <t>Donovan, Adrienne</t>
  </si>
  <si>
    <t>Salary Increase</t>
  </si>
  <si>
    <t>Average Salary</t>
  </si>
  <si>
    <t xml:space="preserve">Service </t>
  </si>
  <si>
    <t xml:space="preserve">Age </t>
  </si>
  <si>
    <t>1/1/2014 Status</t>
  </si>
  <si>
    <t>1/1/2015 Status</t>
  </si>
  <si>
    <t>Retirement Benefit</t>
  </si>
  <si>
    <t>Retirement Date</t>
  </si>
  <si>
    <t>2012 Salary</t>
  </si>
  <si>
    <t>2013 Salary</t>
  </si>
  <si>
    <t>2014 Salary</t>
  </si>
  <si>
    <t>Date of Hire</t>
  </si>
  <si>
    <t>Date of Birth</t>
  </si>
  <si>
    <t>Name</t>
  </si>
  <si>
    <t>ID</t>
  </si>
  <si>
    <t>Employee Data Provided for the 2015 valuation</t>
  </si>
  <si>
    <t>valuation date</t>
  </si>
  <si>
    <t>List 1: Records with an invalid date of hire or date of birth</t>
  </si>
  <si>
    <t>Average Service of All Employees with Valid Hire Date</t>
  </si>
  <si>
    <t>Average Date of 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</si>
</sst>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mm/dd/yyyy"/>
    <numFmt numFmtId="166" formatCode="mm/dd/yy;@"/>
    <numFmt numFmtId="167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4" fillId="0" borderId="0"/>
  </cellStyleXfs>
  <cellXfs count="22">
    <xf numFmtId="0" fontId="0" fillId="0" borderId="0" xfId="0"/>
    <xf numFmtId="0" fontId="2" fillId="0" borderId="0" xfId="2"/>
    <xf numFmtId="0" fontId="2" fillId="2" borderId="1" xfId="2" applyFill="1" applyBorder="1" applyAlignment="1">
      <alignment horizontal="center"/>
    </xf>
    <xf numFmtId="164" fontId="0" fillId="2" borderId="1" xfId="3" applyNumberFormat="1" applyFont="1" applyFill="1" applyBorder="1"/>
    <xf numFmtId="165" fontId="2" fillId="2" borderId="1" xfId="2" applyNumberFormat="1" applyFill="1" applyBorder="1" applyAlignment="1">
      <alignment horizontal="center"/>
    </xf>
    <xf numFmtId="0" fontId="2" fillId="2" borderId="0" xfId="2" applyFill="1"/>
    <xf numFmtId="164" fontId="2" fillId="0" borderId="0" xfId="2" applyNumberFormat="1"/>
    <xf numFmtId="0" fontId="3" fillId="3" borderId="2" xfId="2" applyFont="1" applyFill="1" applyBorder="1" applyAlignment="1">
      <alignment horizontal="center"/>
    </xf>
    <xf numFmtId="0" fontId="3" fillId="3" borderId="3" xfId="2" applyFont="1" applyFill="1" applyBorder="1" applyAlignment="1">
      <alignment horizontal="center"/>
    </xf>
    <xf numFmtId="0" fontId="3" fillId="3" borderId="3" xfId="2" applyFont="1" applyFill="1" applyBorder="1" applyAlignment="1">
      <alignment horizontal="center" wrapText="1"/>
    </xf>
    <xf numFmtId="166" fontId="3" fillId="3" borderId="3" xfId="2" applyNumberFormat="1" applyFont="1" applyFill="1" applyBorder="1" applyAlignment="1">
      <alignment horizontal="center"/>
    </xf>
    <xf numFmtId="0" fontId="3" fillId="3" borderId="4" xfId="2" applyFont="1" applyFill="1" applyBorder="1" applyAlignment="1">
      <alignment horizontal="center"/>
    </xf>
    <xf numFmtId="0" fontId="4" fillId="0" borderId="0" xfId="4"/>
    <xf numFmtId="0" fontId="5" fillId="0" borderId="0" xfId="4" applyFont="1"/>
    <xf numFmtId="14" fontId="2" fillId="4" borderId="0" xfId="2" applyNumberFormat="1" applyFill="1"/>
    <xf numFmtId="167" fontId="2" fillId="0" borderId="0" xfId="2" applyNumberFormat="1"/>
    <xf numFmtId="10" fontId="2" fillId="0" borderId="0" xfId="1" applyNumberFormat="1" applyFont="1"/>
    <xf numFmtId="0" fontId="2" fillId="0" borderId="0" xfId="4" applyFont="1" applyFill="1"/>
    <xf numFmtId="0" fontId="2" fillId="0" borderId="0" xfId="2" applyFont="1" applyFill="1"/>
    <xf numFmtId="0" fontId="2" fillId="4" borderId="1" xfId="2" applyFill="1" applyBorder="1" applyAlignment="1">
      <alignment horizontal="center"/>
    </xf>
    <xf numFmtId="167" fontId="4" fillId="0" borderId="0" xfId="4" applyNumberFormat="1"/>
    <xf numFmtId="14" fontId="4" fillId="0" borderId="0" xfId="4" applyNumberFormat="1"/>
  </cellXfs>
  <cellStyles count="5">
    <cellStyle name="Comma 2" xfId="3" xr:uid="{ED15032D-60BC-4013-8037-EBA6F6CD4A95}"/>
    <cellStyle name="Normal" xfId="0" builtinId="0"/>
    <cellStyle name="Normal 2" xfId="2" xr:uid="{CD2BF75B-B060-4CA6-B286-3AC19AB8EF98}"/>
    <cellStyle name="Normal 3" xfId="4" xr:uid="{F2231429-D03C-47F1-B201-3F715EF7BD46}"/>
    <cellStyle name="Percent" xfId="1" builtinId="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undPP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m1jk7r\Documents\Guodong%20on%20C\Excel\Excel\201\4.2%20Cha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Private%20-%20Li\Pleasure\Weigh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ASB15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Maryville\Maryville%20-%20Key%20Files\ACSC%20201%20and%20301\Tests%20and%20Exams\Test%201.1-5.5%20-%20Count%20&amp;%20Annuity%20&amp;%20Statement%20&amp;%20Rate%20Chart%20&amp;%20Pivo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\Pending\Model%20FAS%20158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"/>
      <sheetName val="TY"/>
      <sheetName val="NY"/>
      <sheetName val="BasePY"/>
      <sheetName val="Contrib"/>
      <sheetName val="Input"/>
      <sheetName val="Liability"/>
      <sheetName val="ProVal"/>
      <sheetName val="Analysis"/>
      <sheetName val="ProValInfo"/>
      <sheetName val="ProVal0"/>
      <sheetName val="ProVal1"/>
      <sheetName val="PartD"/>
      <sheetName val="Major"/>
      <sheetName val="C"/>
      <sheetName val="DiscAC"/>
      <sheetName val="Disc C"/>
      <sheetName val="B"/>
      <sheetName val="AM"/>
      <sheetName val="Plan"/>
      <sheetName val="YC"/>
      <sheetName val="Rate"/>
      <sheetName val="Note"/>
      <sheetName val="Table"/>
      <sheetName val="Cover"/>
      <sheetName val="Data"/>
      <sheetName val="Result"/>
      <sheetName val="FT"/>
      <sheetName val="AS"/>
      <sheetName val="AV"/>
      <sheetName val="Return"/>
      <sheetName val="ROR"/>
      <sheetName val="SchSB"/>
      <sheetName val="Election"/>
      <sheetName val="AFN"/>
      <sheetName val="4010"/>
      <sheetName val="GL"/>
      <sheetName val="Stat"/>
      <sheetName val="Sum"/>
      <sheetName val="At-Risk"/>
      <sheetName val="At-Risk max"/>
      <sheetName val="Burn CB"/>
      <sheetName val="Shortfall"/>
      <sheetName val="Base"/>
      <sheetName val="ASC 960"/>
      <sheetName val="FB"/>
      <sheetName val="min"/>
      <sheetName val="max"/>
      <sheetName val="Qtrly"/>
      <sheetName val="PBGC"/>
      <sheetName val="PBGC F"/>
      <sheetName val="SB"/>
      <sheetName val="Calendar"/>
      <sheetName val="AFTA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I5">
            <v>40909</v>
          </cell>
        </row>
      </sheetData>
      <sheetData sheetId="19"/>
      <sheetData sheetId="20"/>
      <sheetData sheetId="21"/>
      <sheetData sheetId="22"/>
      <sheetData sheetId="23">
        <row r="3">
          <cell r="J3" t="str">
            <v>Market Value</v>
          </cell>
          <cell r="K3" t="str">
            <v>Reg 1.412(c)(2)-1(c) &amp; RP 2000-40 Sec 4.10</v>
          </cell>
        </row>
        <row r="4">
          <cell r="J4" t="str">
            <v>Average Value</v>
          </cell>
          <cell r="K4" t="str">
            <v>Reg 1.412(c)(2)-1(b)(7) &amp; RP 2000-40 Sec 4.11</v>
          </cell>
        </row>
        <row r="5">
          <cell r="J5" t="str">
            <v>Average Value</v>
          </cell>
          <cell r="K5" t="str">
            <v>Reg 1.412(c)(2)-1(b)(7) &amp; RP 2000-40 Sec 4.12, Phase-in</v>
          </cell>
        </row>
        <row r="6">
          <cell r="J6" t="str">
            <v>Expected AV1</v>
          </cell>
          <cell r="K6" t="str">
            <v>Recognize G/L as equal payments</v>
          </cell>
        </row>
        <row r="7">
          <cell r="J7" t="str">
            <v>Expected AV2</v>
          </cell>
          <cell r="K7" t="str">
            <v>Adjust AV toward MV by fixed %</v>
          </cell>
        </row>
        <row r="8">
          <cell r="J8" t="str">
            <v>Smoothed Value</v>
          </cell>
          <cell r="K8" t="str">
            <v>Rev Proc 2000-40 Sec 4.15</v>
          </cell>
        </row>
        <row r="9">
          <cell r="J9" t="str">
            <v>Smoothed Value</v>
          </cell>
          <cell r="K9" t="str">
            <v>Rev Proc 2000-40 Sec 4.16, Phase-in</v>
          </cell>
        </row>
        <row r="10">
          <cell r="J10" t="str">
            <v>Average Value</v>
          </cell>
          <cell r="K10" t="str">
            <v>Reg 1.412(c)(2)-1(b)(7) &amp; RP 2000-40 Sec 4.17, Phase-in</v>
          </cell>
        </row>
        <row r="11">
          <cell r="J11" t="str">
            <v>Undefined</v>
          </cell>
          <cell r="K11" t="str">
            <v>Undefined</v>
          </cell>
        </row>
        <row r="12">
          <cell r="J12" t="str">
            <v>Undefined</v>
          </cell>
          <cell r="K12" t="str">
            <v>Undefined</v>
          </cell>
        </row>
        <row r="13">
          <cell r="J13" t="str">
            <v>Other Method</v>
          </cell>
          <cell r="K13" t="str">
            <v>Other Method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Version 1/1 - 1/1/2000</v>
          </cell>
        </row>
        <row r="5">
          <cell r="F5" t="str">
            <v/>
          </cell>
        </row>
        <row r="9">
          <cell r="C9" t="str">
            <v>Inc. Pension Plan</v>
          </cell>
        </row>
        <row r="10">
          <cell r="C10" t="str">
            <v>Billing Code:                           Version 1/1 - 1/1/2000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Student Records"/>
      <sheetName val="Count"/>
      <sheetName val="Progress to Goal"/>
      <sheetName val="HW Progress"/>
      <sheetName val="Weight Watch"/>
      <sheetName val="Static"/>
      <sheetName val="dynamic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10</v>
          </cell>
        </row>
        <row r="3">
          <cell r="I3">
            <v>25</v>
          </cell>
        </row>
        <row r="9">
          <cell r="B9" t="str">
            <v>Date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king"/>
      <sheetName val="Weight"/>
      <sheetName val="Salman"/>
      <sheetName val="Stairs"/>
      <sheetName val="Golf"/>
      <sheetName val="Misc"/>
      <sheetName val="Golf Courses"/>
      <sheetName val="Ping Pang"/>
      <sheetName val="Hiking Trails"/>
      <sheetName val="Health Info"/>
      <sheetName val="Weight &amp; more"/>
      <sheetName val="Activities before 2014"/>
      <sheetName val="Activity"/>
      <sheetName val="JGP"/>
      <sheetName val="Swim"/>
      <sheetName val="Record Sheet"/>
      <sheetName val="Record Time"/>
      <sheetName val="Event"/>
      <sheetName val="Trails"/>
    </sheetNames>
    <sheetDataSet>
      <sheetData sheetId="0" refreshError="1"/>
      <sheetData sheetId="1">
        <row r="1">
          <cell r="J1">
            <v>0</v>
          </cell>
        </row>
      </sheetData>
      <sheetData sheetId="2">
        <row r="4">
          <cell r="B4">
            <v>160</v>
          </cell>
        </row>
        <row r="9">
          <cell r="G9">
            <v>34.5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Update"/>
      <sheetName val="LY"/>
      <sheetName val="TY"/>
      <sheetName val="NY"/>
      <sheetName val="Input"/>
      <sheetName val="ProVal"/>
      <sheetName val="ProValEst"/>
      <sheetName val="Analysis"/>
      <sheetName val="PartD"/>
      <sheetName val="Liability"/>
      <sheetName val="ProValInfo"/>
      <sheetName val="Contrib"/>
      <sheetName val="Table"/>
      <sheetName val="Base"/>
      <sheetName val="B"/>
      <sheetName val="Major"/>
      <sheetName val="Plan"/>
      <sheetName val="Sum"/>
      <sheetName val="AS"/>
      <sheetName val="MRV"/>
      <sheetName val="Int"/>
      <sheetName val="PSC"/>
      <sheetName val="GL"/>
      <sheetName val="NPBC"/>
      <sheetName val="FAS158"/>
      <sheetName val="FAS158 - before"/>
      <sheetName val="PJ"/>
      <sheetName val="AML"/>
      <sheetName val="Recon"/>
      <sheetName val="AS PJ"/>
      <sheetName val="Recon Sum"/>
      <sheetName val="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1">
          <cell r="C21" t="str">
            <v>Market Value</v>
          </cell>
          <cell r="D21" t="str">
            <v>Reg 1.412(c)(2)-1(c) &amp; RP 2000-40 Sec 4.10</v>
          </cell>
        </row>
        <row r="22">
          <cell r="C22" t="str">
            <v>Average Value</v>
          </cell>
          <cell r="D22" t="str">
            <v>Reg 1.412(c)(2)-1(b)(7) &amp; RP 2000-40 Sec 4.11</v>
          </cell>
        </row>
        <row r="23">
          <cell r="C23" t="str">
            <v>Average Value</v>
          </cell>
          <cell r="D23" t="str">
            <v>Reg 1.412(c)(2)-1(b)(7) &amp; RP 2000-40 Sec 4.12, Phase-in</v>
          </cell>
        </row>
        <row r="24">
          <cell r="C24" t="str">
            <v>Expected AV1</v>
          </cell>
          <cell r="D24" t="str">
            <v>Recognize G/L as equal payments</v>
          </cell>
        </row>
        <row r="25">
          <cell r="C25" t="str">
            <v>Expected AV2</v>
          </cell>
          <cell r="D25" t="str">
            <v>Adjust AV toward MV by fixed %</v>
          </cell>
        </row>
        <row r="26">
          <cell r="C26" t="str">
            <v>Smoothed Value</v>
          </cell>
          <cell r="D26" t="str">
            <v>Rev Proc 2000-40 Sec 4.15</v>
          </cell>
        </row>
        <row r="27">
          <cell r="C27" t="str">
            <v>Smoothed Value</v>
          </cell>
          <cell r="D27" t="str">
            <v>Rev Proc 2000-40 Sec 4.16, Phase-in</v>
          </cell>
        </row>
        <row r="28">
          <cell r="C28" t="str">
            <v>Average Value</v>
          </cell>
          <cell r="D28" t="str">
            <v>Reg 1.412(c)(2)-1(b)(7) &amp; RP 2000-40 Sec 4.17, Phase-in</v>
          </cell>
        </row>
        <row r="29">
          <cell r="C29" t="str">
            <v>Smoothed Value</v>
          </cell>
          <cell r="D29" t="str">
            <v>Smoothed Value w/ PY expected return</v>
          </cell>
        </row>
        <row r="30">
          <cell r="C30" t="str">
            <v>Undefined</v>
          </cell>
          <cell r="D30" t="str">
            <v>Undefined</v>
          </cell>
        </row>
        <row r="31">
          <cell r="C31" t="str">
            <v>Other Method</v>
          </cell>
          <cell r="D31" t="str">
            <v>Other Method</v>
          </cell>
        </row>
      </sheetData>
      <sheetData sheetId="14" refreshError="1"/>
      <sheetData sheetId="15" refreshError="1"/>
      <sheetData sheetId="16" refreshError="1"/>
      <sheetData sheetId="17">
        <row r="35">
          <cell r="F35">
            <v>0</v>
          </cell>
        </row>
      </sheetData>
      <sheetData sheetId="18">
        <row r="7">
          <cell r="E7">
            <v>41275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rd"/>
      <sheetName val="Qx"/>
      <sheetName val="Filter DB"/>
      <sheetName val="Pivot Table"/>
      <sheetName val="Age Dist"/>
      <sheetName val="Annuity"/>
      <sheetName val="Rate"/>
      <sheetName val="Statement"/>
      <sheetName val="Progrss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Interest Rate</v>
          </cell>
        </row>
        <row r="3">
          <cell r="B3" t="str">
            <v>Year</v>
          </cell>
          <cell r="C3" t="str">
            <v>Rate</v>
          </cell>
        </row>
        <row r="4">
          <cell r="B4">
            <v>2008</v>
          </cell>
          <cell r="C4">
            <v>0.04</v>
          </cell>
        </row>
        <row r="5">
          <cell r="B5">
            <v>2009</v>
          </cell>
          <cell r="C5">
            <v>7.4999999999999997E-2</v>
          </cell>
        </row>
        <row r="6">
          <cell r="B6">
            <v>2010</v>
          </cell>
          <cell r="C6">
            <v>6.5000000000000002E-2</v>
          </cell>
        </row>
        <row r="7">
          <cell r="B7">
            <v>2011</v>
          </cell>
          <cell r="C7">
            <v>7.2499999999999995E-2</v>
          </cell>
        </row>
        <row r="8">
          <cell r="B8">
            <v>2012</v>
          </cell>
          <cell r="C8">
            <v>6.5000000000000002E-2</v>
          </cell>
        </row>
        <row r="9">
          <cell r="B9">
            <v>2013</v>
          </cell>
          <cell r="C9">
            <v>0.04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  <row r="17">
          <cell r="B17">
            <v>2021</v>
          </cell>
        </row>
        <row r="18">
          <cell r="B18">
            <v>2022</v>
          </cell>
        </row>
        <row r="19">
          <cell r="B19">
            <v>2023</v>
          </cell>
        </row>
        <row r="20">
          <cell r="B20">
            <v>2024</v>
          </cell>
        </row>
        <row r="21">
          <cell r="B21">
            <v>2025</v>
          </cell>
        </row>
        <row r="22">
          <cell r="B22">
            <v>2026</v>
          </cell>
        </row>
        <row r="23">
          <cell r="B23">
            <v>2027</v>
          </cell>
        </row>
        <row r="24">
          <cell r="B24">
            <v>2028</v>
          </cell>
        </row>
        <row r="26">
          <cell r="B26" t="str">
            <v>Current Year Info</v>
          </cell>
        </row>
        <row r="27">
          <cell r="B27" t="str">
            <v>Contract Year</v>
          </cell>
          <cell r="C27" t="str">
            <v>Rate</v>
          </cell>
        </row>
        <row r="28">
          <cell r="B28">
            <v>2013</v>
          </cell>
          <cell r="C28">
            <v>0.04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S 158 Input"/>
      <sheetName val="Print Public for Profit"/>
      <sheetName val="Print Nonprofit"/>
      <sheetName val="Print Nonpublic"/>
    </sheetNames>
    <sheetDataSet>
      <sheetData sheetId="0"/>
      <sheetData sheetId="1">
        <row r="4">
          <cell r="H4">
            <v>2006</v>
          </cell>
        </row>
      </sheetData>
      <sheetData sheetId="2">
        <row r="5">
          <cell r="C5">
            <v>2005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2B287-BAA4-4827-8562-8F9D527DF603}">
  <sheetPr>
    <pageSetUpPr fitToPage="1"/>
  </sheetPr>
  <dimension ref="A1:R58"/>
  <sheetViews>
    <sheetView tabSelected="1" workbookViewId="0"/>
  </sheetViews>
  <sheetFormatPr defaultColWidth="8.85546875" defaultRowHeight="12.75" x14ac:dyDescent="0.2"/>
  <cols>
    <col min="1" max="1" width="9.7109375" style="1" customWidth="1"/>
    <col min="2" max="2" width="20.28515625" style="1" bestFit="1" customWidth="1"/>
    <col min="3" max="3" width="12.28515625" style="1" bestFit="1" customWidth="1"/>
    <col min="4" max="4" width="11.7109375" style="1" bestFit="1" customWidth="1"/>
    <col min="5" max="7" width="11.42578125" style="1" bestFit="1" customWidth="1"/>
    <col min="8" max="9" width="11.42578125" style="1" customWidth="1"/>
    <col min="10" max="10" width="12.28515625" style="1" customWidth="1"/>
    <col min="11" max="11" width="11.28515625" style="1" customWidth="1"/>
    <col min="12" max="12" width="8.85546875" style="1"/>
    <col min="13" max="13" width="8.42578125" style="1" bestFit="1" customWidth="1"/>
    <col min="14" max="14" width="15.140625" style="1" customWidth="1"/>
    <col min="15" max="15" width="14.42578125" style="1" bestFit="1" customWidth="1"/>
    <col min="16" max="16" width="11.140625" style="1" customWidth="1"/>
    <col min="17" max="17" width="10.140625" style="1" bestFit="1" customWidth="1"/>
    <col min="18" max="16384" width="8.85546875" style="1"/>
  </cols>
  <sheetData>
    <row r="1" spans="1:18" x14ac:dyDescent="0.2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8" ht="15.75" x14ac:dyDescent="0.25">
      <c r="A2" s="13" t="s">
        <v>69</v>
      </c>
      <c r="B2" s="12"/>
      <c r="C2" s="12"/>
      <c r="D2" s="12"/>
      <c r="E2" s="12"/>
      <c r="F2" s="12" t="s">
        <v>72</v>
      </c>
      <c r="G2" s="12"/>
      <c r="H2" s="12"/>
      <c r="I2" s="12"/>
      <c r="J2" s="20">
        <f>SUBTOTAL(101,$M$6:$M$58)</f>
        <v>12.445563022314129</v>
      </c>
      <c r="K2" s="12"/>
      <c r="L2" s="12"/>
      <c r="M2" s="12"/>
      <c r="N2" s="12"/>
    </row>
    <row r="3" spans="1:18" x14ac:dyDescent="0.2">
      <c r="A3" s="12" t="s">
        <v>70</v>
      </c>
      <c r="B3" s="12"/>
      <c r="C3" s="14">
        <v>42005</v>
      </c>
      <c r="D3" s="12"/>
      <c r="E3" s="12"/>
      <c r="F3" s="12" t="s">
        <v>73</v>
      </c>
      <c r="G3" s="12"/>
      <c r="H3" s="12"/>
      <c r="I3" s="12"/>
      <c r="J3" s="21">
        <f>C3-(J2*365)</f>
        <v>37462.369496855346</v>
      </c>
      <c r="K3" s="21"/>
      <c r="L3" s="12"/>
      <c r="M3" s="12"/>
      <c r="N3" s="12"/>
    </row>
    <row r="4" spans="1:18" ht="13.5" thickBot="1" x14ac:dyDescent="0.25"/>
    <row r="5" spans="1:18" ht="25.5" x14ac:dyDescent="0.2">
      <c r="A5" s="11" t="s">
        <v>68</v>
      </c>
      <c r="B5" s="8" t="s">
        <v>67</v>
      </c>
      <c r="C5" s="10" t="s">
        <v>66</v>
      </c>
      <c r="D5" s="8" t="s">
        <v>65</v>
      </c>
      <c r="E5" s="8" t="s">
        <v>64</v>
      </c>
      <c r="F5" s="8" t="s">
        <v>63</v>
      </c>
      <c r="G5" s="8" t="s">
        <v>62</v>
      </c>
      <c r="H5" s="9" t="s">
        <v>61</v>
      </c>
      <c r="I5" s="9" t="s">
        <v>60</v>
      </c>
      <c r="J5" s="9" t="s">
        <v>59</v>
      </c>
      <c r="K5" s="9" t="s">
        <v>58</v>
      </c>
      <c r="L5" s="8" t="s">
        <v>57</v>
      </c>
      <c r="M5" s="8" t="s">
        <v>56</v>
      </c>
      <c r="N5" s="7" t="s">
        <v>55</v>
      </c>
      <c r="O5" s="7" t="s">
        <v>54</v>
      </c>
    </row>
    <row r="6" spans="1:18" ht="15" x14ac:dyDescent="0.25">
      <c r="A6" s="2">
        <v>123491</v>
      </c>
      <c r="B6" s="5" t="s">
        <v>21</v>
      </c>
      <c r="C6" s="4">
        <v>24017</v>
      </c>
      <c r="D6" s="4">
        <v>34809</v>
      </c>
      <c r="E6" s="3">
        <v>250000</v>
      </c>
      <c r="F6" s="3">
        <v>230000</v>
      </c>
      <c r="G6" s="3">
        <v>210000</v>
      </c>
      <c r="H6" s="4"/>
      <c r="I6" s="3"/>
      <c r="J6" s="2" t="s">
        <v>5</v>
      </c>
      <c r="K6" s="2" t="s">
        <v>5</v>
      </c>
      <c r="L6" s="15">
        <f>(YEAR($C$3)-YEAR(C6))+(MONTH($C$3)-MONTH(C6))/12+(DAY($C$3)-DAY(C6))/365</f>
        <v>49.2472602739726</v>
      </c>
      <c r="M6" s="15">
        <f>(YEAR($C$3)-YEAR(D6))+(MONTH($C$3)-MONTH(D6))/12+(DAY($C$3)-DAY(D6))/365</f>
        <v>19.697945205479453</v>
      </c>
      <c r="N6" s="6">
        <f>IF(AND(E6="",F6="",G6=""),"",AVERAGE(E6:G6))</f>
        <v>230000</v>
      </c>
      <c r="O6" s="16">
        <f t="shared" ref="O6:O45" si="0">IF(OR(M6&lt;2,E6="",F6=""),"",E6/F6-1)</f>
        <v>8.6956521739130377E-2</v>
      </c>
      <c r="P6" s="6"/>
      <c r="Q6" s="6"/>
      <c r="R6" s="6"/>
    </row>
    <row r="7" spans="1:18" ht="15" x14ac:dyDescent="0.25">
      <c r="A7" s="2">
        <v>144983</v>
      </c>
      <c r="B7" s="5" t="s">
        <v>53</v>
      </c>
      <c r="C7" s="4">
        <v>27601</v>
      </c>
      <c r="D7" s="4">
        <v>38001</v>
      </c>
      <c r="E7" s="3">
        <v>99000</v>
      </c>
      <c r="F7" s="3">
        <v>94300</v>
      </c>
      <c r="G7" s="3">
        <v>89800</v>
      </c>
      <c r="H7" s="4"/>
      <c r="I7" s="3"/>
      <c r="J7" s="2" t="s">
        <v>5</v>
      </c>
      <c r="K7" s="2" t="s">
        <v>5</v>
      </c>
      <c r="L7" s="15">
        <f>(YEAR($C$3)-YEAR(C7))+(MONTH($C$3)-MONTH(C7))/12+(DAY($C$3)-DAY(C7))/365</f>
        <v>39.43150684931507</v>
      </c>
      <c r="M7" s="15">
        <f>(YEAR($C$3)-YEAR(D7))+(MONTH($C$3)-MONTH(D7))/12+(DAY($C$3)-DAY(D7))/365</f>
        <v>10.961643835616439</v>
      </c>
      <c r="N7" s="6">
        <f t="shared" ref="N7:N58" si="1">IF(AND(E7="",F7="",G7=""),"",AVERAGE(E7:G7))</f>
        <v>94366.666666666672</v>
      </c>
      <c r="O7" s="16">
        <f t="shared" si="0"/>
        <v>4.9840933191940717E-2</v>
      </c>
      <c r="P7" s="6"/>
      <c r="Q7" s="6"/>
      <c r="R7" s="6"/>
    </row>
    <row r="8" spans="1:18" ht="15" x14ac:dyDescent="0.25">
      <c r="A8" s="2">
        <v>187427</v>
      </c>
      <c r="B8" s="5" t="s">
        <v>52</v>
      </c>
      <c r="C8" s="4">
        <v>21170</v>
      </c>
      <c r="D8" s="4">
        <v>37975</v>
      </c>
      <c r="E8" s="3">
        <v>98000</v>
      </c>
      <c r="F8" s="3">
        <v>93300</v>
      </c>
      <c r="G8" s="3">
        <v>88900</v>
      </c>
      <c r="H8" s="4"/>
      <c r="I8" s="3"/>
      <c r="J8" s="2" t="s">
        <v>5</v>
      </c>
      <c r="K8" s="2" t="s">
        <v>5</v>
      </c>
      <c r="L8" s="15">
        <f>(YEAR($C$3)-YEAR(C8))+(MONTH($C$3)-MONTH(C8))/12+(DAY($C$3)-DAY(C8))/365</f>
        <v>57.042237442922378</v>
      </c>
      <c r="M8" s="15">
        <f>(YEAR($C$3)-YEAR(D8))+(MONTH($C$3)-MONTH(D8))/12+(DAY($C$3)-DAY(D8))/365</f>
        <v>11.031278538812787</v>
      </c>
      <c r="N8" s="6">
        <f t="shared" si="1"/>
        <v>93400</v>
      </c>
      <c r="O8" s="16">
        <f t="shared" si="0"/>
        <v>5.0375133976420239E-2</v>
      </c>
      <c r="P8" s="6"/>
      <c r="Q8" s="6"/>
      <c r="R8" s="6"/>
    </row>
    <row r="9" spans="1:18" ht="15" x14ac:dyDescent="0.25">
      <c r="A9" s="2">
        <v>189508</v>
      </c>
      <c r="B9" s="5" t="s">
        <v>16</v>
      </c>
      <c r="C9" s="4">
        <v>30229</v>
      </c>
      <c r="D9" s="4">
        <v>35020</v>
      </c>
      <c r="E9" s="3">
        <v>97000</v>
      </c>
      <c r="F9" s="3">
        <v>92400</v>
      </c>
      <c r="G9" s="3">
        <v>88000</v>
      </c>
      <c r="H9" s="4"/>
      <c r="I9" s="3"/>
      <c r="J9" s="2" t="s">
        <v>5</v>
      </c>
      <c r="K9" s="2" t="s">
        <v>5</v>
      </c>
      <c r="L9" s="15">
        <f>(YEAR($C$3)-YEAR(C9))+(MONTH($C$3)-MONTH(C9))/12+(DAY($C$3)-DAY(C9))/365</f>
        <v>32.239041095890414</v>
      </c>
      <c r="M9" s="15">
        <f>(YEAR($C$3)-YEAR(D9))+(MONTH($C$3)-MONTH(D9))/12+(DAY($C$3)-DAY(D9))/365</f>
        <v>19.12283105022831</v>
      </c>
      <c r="N9" s="6">
        <f t="shared" si="1"/>
        <v>92466.666666666672</v>
      </c>
      <c r="O9" s="16">
        <f t="shared" si="0"/>
        <v>4.9783549783549708E-2</v>
      </c>
      <c r="P9" s="6"/>
      <c r="Q9" s="6"/>
      <c r="R9" s="6"/>
    </row>
    <row r="10" spans="1:18" ht="15" x14ac:dyDescent="0.25">
      <c r="A10" s="2">
        <v>199741</v>
      </c>
      <c r="B10" s="5" t="s">
        <v>51</v>
      </c>
      <c r="C10" s="4">
        <v>16439</v>
      </c>
      <c r="D10" s="4">
        <v>35929</v>
      </c>
      <c r="E10" s="3">
        <v>96000</v>
      </c>
      <c r="F10" s="3">
        <v>91400</v>
      </c>
      <c r="G10" s="3">
        <v>87100</v>
      </c>
      <c r="H10" s="4"/>
      <c r="I10" s="3"/>
      <c r="J10" s="2" t="s">
        <v>5</v>
      </c>
      <c r="K10" s="2" t="s">
        <v>5</v>
      </c>
      <c r="L10" s="15">
        <f>(YEAR($C$3)-YEAR(C10))+(MONTH($C$3)-MONTH(C10))/12+(DAY($C$3)-DAY(C10))/365</f>
        <v>69.9972602739726</v>
      </c>
      <c r="M10" s="15">
        <f>(YEAR($C$3)-YEAR(D10))+(MONTH($C$3)-MONTH(D10))/12+(DAY($C$3)-DAY(D10))/365</f>
        <v>16.631050228310503</v>
      </c>
      <c r="N10" s="6">
        <f t="shared" si="1"/>
        <v>91500</v>
      </c>
      <c r="O10" s="16">
        <f t="shared" si="0"/>
        <v>5.032822757111588E-2</v>
      </c>
      <c r="P10" s="6"/>
      <c r="Q10" s="6"/>
      <c r="R10" s="6"/>
    </row>
    <row r="11" spans="1:18" ht="15" x14ac:dyDescent="0.25">
      <c r="A11" s="2">
        <v>205217</v>
      </c>
      <c r="B11" s="5" t="s">
        <v>50</v>
      </c>
      <c r="C11" s="4">
        <v>17620</v>
      </c>
      <c r="D11" s="4">
        <v>34867</v>
      </c>
      <c r="E11" s="3">
        <v>95000</v>
      </c>
      <c r="F11" s="3">
        <v>90500</v>
      </c>
      <c r="G11" s="3">
        <v>86200</v>
      </c>
      <c r="H11" s="4"/>
      <c r="I11" s="3"/>
      <c r="J11" s="2" t="s">
        <v>5</v>
      </c>
      <c r="K11" s="2" t="s">
        <v>5</v>
      </c>
      <c r="L11" s="15">
        <f>(YEAR($C$3)-YEAR(C11))+(MONTH($C$3)-MONTH(C11))/12+(DAY($C$3)-DAY(C11))/365</f>
        <v>66.759360730593599</v>
      </c>
      <c r="M11" s="15">
        <f>(YEAR($C$3)-YEAR(D11))+(MONTH($C$3)-MONTH(D11))/12+(DAY($C$3)-DAY(D11))/365</f>
        <v>19.539497716894974</v>
      </c>
      <c r="N11" s="6">
        <f t="shared" si="1"/>
        <v>90566.666666666672</v>
      </c>
      <c r="O11" s="16">
        <f t="shared" si="0"/>
        <v>4.9723756906077332E-2</v>
      </c>
      <c r="P11" s="6"/>
      <c r="Q11" s="6"/>
      <c r="R11" s="6"/>
    </row>
    <row r="12" spans="1:18" ht="15" x14ac:dyDescent="0.25">
      <c r="A12" s="19">
        <v>206418</v>
      </c>
      <c r="B12" s="5" t="s">
        <v>49</v>
      </c>
      <c r="C12" s="4">
        <v>20874</v>
      </c>
      <c r="D12" s="4">
        <v>40497</v>
      </c>
      <c r="E12" s="3">
        <v>320000</v>
      </c>
      <c r="F12" s="3">
        <v>32000</v>
      </c>
      <c r="G12" s="3"/>
      <c r="H12" s="4"/>
      <c r="I12" s="3"/>
      <c r="J12" s="2" t="s">
        <v>5</v>
      </c>
      <c r="K12" s="2" t="s">
        <v>5</v>
      </c>
      <c r="L12" s="15">
        <f>(YEAR($C$3)-YEAR(C12))+(MONTH($C$3)-MONTH(C12))/12+(DAY($C$3)-DAY(C12))/365</f>
        <v>57.856392694063928</v>
      </c>
      <c r="M12" s="15">
        <f>(YEAR($C$3)-YEAR(D12))+(MONTH($C$3)-MONTH(D12))/12+(DAY($C$3)-DAY(D12))/365</f>
        <v>4.1283105022831057</v>
      </c>
      <c r="N12" s="6">
        <f t="shared" si="1"/>
        <v>176000</v>
      </c>
      <c r="O12" s="16">
        <f t="shared" si="0"/>
        <v>9</v>
      </c>
      <c r="P12" s="6"/>
      <c r="Q12" s="6"/>
      <c r="R12" s="6"/>
    </row>
    <row r="13" spans="1:18" ht="15" x14ac:dyDescent="0.25">
      <c r="A13" s="19">
        <v>218201</v>
      </c>
      <c r="B13" s="5" t="s">
        <v>48</v>
      </c>
      <c r="C13" s="4">
        <v>15818</v>
      </c>
      <c r="D13" s="4">
        <v>35362</v>
      </c>
      <c r="E13" s="3">
        <v>93000</v>
      </c>
      <c r="F13" s="3">
        <v>88600</v>
      </c>
      <c r="G13" s="3">
        <v>84400</v>
      </c>
      <c r="H13" s="4"/>
      <c r="I13" s="3"/>
      <c r="J13" s="2" t="s">
        <v>5</v>
      </c>
      <c r="K13" s="2" t="s">
        <v>5</v>
      </c>
      <c r="L13" s="15">
        <f>(YEAR($C$3)-YEAR(C13))+(MONTH($C$3)-MONTH(C13))/12+(DAY($C$3)-DAY(C13))/365</f>
        <v>71.692465753424656</v>
      </c>
      <c r="M13" s="15">
        <f>(YEAR($C$3)-YEAR(D13))+(MONTH($C$3)-MONTH(D13))/12+(DAY($C$3)-DAY(D13))/365</f>
        <v>18.186986301369863</v>
      </c>
      <c r="N13" s="6">
        <f t="shared" si="1"/>
        <v>88666.666666666672</v>
      </c>
      <c r="O13" s="16">
        <f t="shared" si="0"/>
        <v>4.9661399548532659E-2</v>
      </c>
      <c r="P13" s="6"/>
      <c r="Q13" s="6"/>
      <c r="R13" s="6"/>
    </row>
    <row r="14" spans="1:18" ht="15" x14ac:dyDescent="0.25">
      <c r="A14" s="19">
        <v>225139</v>
      </c>
      <c r="B14" s="5" t="s">
        <v>19</v>
      </c>
      <c r="C14" s="4">
        <v>33987</v>
      </c>
      <c r="D14" s="4">
        <v>41074</v>
      </c>
      <c r="E14" s="3">
        <v>92000</v>
      </c>
      <c r="F14" s="3">
        <v>40000</v>
      </c>
      <c r="G14" s="3"/>
      <c r="H14" s="4"/>
      <c r="I14" s="3"/>
      <c r="J14" s="2" t="s">
        <v>5</v>
      </c>
      <c r="K14" s="2" t="s">
        <v>5</v>
      </c>
      <c r="L14" s="15">
        <f>(YEAR($C$3)-YEAR(C14))+(MONTH($C$3)-MONTH(C14))/12+(DAY($C$3)-DAY(C14))/365</f>
        <v>21.953424657534246</v>
      </c>
      <c r="M14" s="15">
        <f>(YEAR($C$3)-YEAR(D14))+(MONTH($C$3)-MONTH(D14))/12+(DAY($C$3)-DAY(D14))/365</f>
        <v>2.5477168949771691</v>
      </c>
      <c r="N14" s="6">
        <f t="shared" si="1"/>
        <v>66000</v>
      </c>
      <c r="O14" s="16">
        <f t="shared" si="0"/>
        <v>1.2999999999999998</v>
      </c>
      <c r="P14" s="6"/>
      <c r="Q14" s="6"/>
      <c r="R14" s="6"/>
    </row>
    <row r="15" spans="1:18" ht="15" x14ac:dyDescent="0.25">
      <c r="A15" s="19">
        <v>232072</v>
      </c>
      <c r="B15" s="5" t="s">
        <v>47</v>
      </c>
      <c r="C15" s="4">
        <v>24290</v>
      </c>
      <c r="D15" s="4">
        <v>39634</v>
      </c>
      <c r="E15" s="3">
        <v>91000</v>
      </c>
      <c r="F15" s="3">
        <v>86700</v>
      </c>
      <c r="G15" s="3">
        <v>82500</v>
      </c>
      <c r="H15" s="4"/>
      <c r="I15" s="3"/>
      <c r="J15" s="2" t="s">
        <v>5</v>
      </c>
      <c r="K15" s="2" t="s">
        <v>5</v>
      </c>
      <c r="L15" s="15">
        <f>(YEAR($C$3)-YEAR(C15))+(MONTH($C$3)-MONTH(C15))/12+(DAY($C$3)-DAY(C15))/365</f>
        <v>48.4972602739726</v>
      </c>
      <c r="M15" s="15">
        <f>(YEAR($C$3)-YEAR(D15))+(MONTH($C$3)-MONTH(D15))/12+(DAY($C$3)-DAY(D15))/365</f>
        <v>6.4890410958904106</v>
      </c>
      <c r="N15" s="6">
        <f t="shared" si="1"/>
        <v>86733.333333333328</v>
      </c>
      <c r="O15" s="16">
        <f t="shared" si="0"/>
        <v>4.9596309111880066E-2</v>
      </c>
      <c r="P15" s="6"/>
      <c r="Q15" s="6"/>
      <c r="R15" s="6"/>
    </row>
    <row r="16" spans="1:18" ht="15" x14ac:dyDescent="0.25">
      <c r="A16" s="19">
        <v>250067</v>
      </c>
      <c r="B16" s="5" t="s">
        <v>46</v>
      </c>
      <c r="C16" s="4">
        <v>21975</v>
      </c>
      <c r="D16" s="4">
        <v>40073</v>
      </c>
      <c r="E16" s="3">
        <v>90000</v>
      </c>
      <c r="F16" s="3">
        <v>85700</v>
      </c>
      <c r="G16" s="3">
        <v>81600</v>
      </c>
      <c r="H16" s="4"/>
      <c r="I16" s="3"/>
      <c r="J16" s="2" t="s">
        <v>5</v>
      </c>
      <c r="K16" s="2" t="s">
        <v>5</v>
      </c>
      <c r="L16" s="15">
        <f>(YEAR($C$3)-YEAR(C16))+(MONTH($C$3)-MONTH(C16))/12+(DAY($C$3)-DAY(C16))/365</f>
        <v>54.839954337899542</v>
      </c>
      <c r="M16" s="15">
        <f>(YEAR($C$3)-YEAR(D16))+(MONTH($C$3)-MONTH(D16))/12+(DAY($C$3)-DAY(D16))/365</f>
        <v>5.2894977168949771</v>
      </c>
      <c r="N16" s="6">
        <f t="shared" si="1"/>
        <v>85766.666666666672</v>
      </c>
      <c r="O16" s="16">
        <f t="shared" si="0"/>
        <v>5.0175029171528607E-2</v>
      </c>
      <c r="P16" s="6"/>
      <c r="Q16" s="6"/>
      <c r="R16" s="6"/>
    </row>
    <row r="17" spans="1:18" ht="15" x14ac:dyDescent="0.25">
      <c r="A17" s="19">
        <v>253862</v>
      </c>
      <c r="B17" s="5" t="s">
        <v>44</v>
      </c>
      <c r="C17" s="4">
        <v>23332</v>
      </c>
      <c r="D17" s="4">
        <v>40339</v>
      </c>
      <c r="E17" s="3">
        <v>89000</v>
      </c>
      <c r="F17" s="3">
        <v>84800</v>
      </c>
      <c r="G17" s="3">
        <v>80700</v>
      </c>
      <c r="H17" s="4"/>
      <c r="I17" s="3"/>
      <c r="J17" s="2" t="s">
        <v>5</v>
      </c>
      <c r="K17" s="2" t="s">
        <v>5</v>
      </c>
      <c r="L17" s="15">
        <f>(YEAR($C$3)-YEAR(C17))+(MONTH($C$3)-MONTH(C17))/12+(DAY($C$3)-DAY(C17))/365</f>
        <v>51.122831050228307</v>
      </c>
      <c r="M17" s="15">
        <f>(YEAR($C$3)-YEAR(D17))+(MONTH($C$3)-MONTH(D17))/12+(DAY($C$3)-DAY(D17))/365</f>
        <v>4.5586757990867577</v>
      </c>
      <c r="N17" s="6">
        <f t="shared" si="1"/>
        <v>84833.333333333328</v>
      </c>
      <c r="O17" s="16">
        <f t="shared" si="0"/>
        <v>4.952830188679247E-2</v>
      </c>
      <c r="P17" s="6"/>
      <c r="Q17" s="6"/>
      <c r="R17" s="6"/>
    </row>
    <row r="18" spans="1:18" ht="15" x14ac:dyDescent="0.25">
      <c r="A18" s="19">
        <v>255179</v>
      </c>
      <c r="B18" s="5" t="s">
        <v>43</v>
      </c>
      <c r="C18" s="4">
        <v>22281</v>
      </c>
      <c r="D18" s="4">
        <v>40774</v>
      </c>
      <c r="E18" s="3">
        <v>88000</v>
      </c>
      <c r="F18" s="3">
        <v>83800</v>
      </c>
      <c r="G18" s="3">
        <v>40000</v>
      </c>
      <c r="H18" s="4"/>
      <c r="I18" s="3"/>
      <c r="J18" s="2" t="s">
        <v>5</v>
      </c>
      <c r="K18" s="2" t="s">
        <v>5</v>
      </c>
      <c r="L18" s="15">
        <f>(YEAR($C$3)-YEAR(C18))+(MONTH($C$3)-MONTH(C18))/12+(DAY($C$3)-DAY(C18))/365</f>
        <v>54.00114155251142</v>
      </c>
      <c r="M18" s="15">
        <f>(YEAR($C$3)-YEAR(D18))+(MONTH($C$3)-MONTH(D18))/12+(DAY($C$3)-DAY(D18))/365</f>
        <v>3.3673515981735158</v>
      </c>
      <c r="N18" s="6">
        <f t="shared" si="1"/>
        <v>70600</v>
      </c>
      <c r="O18" s="16">
        <f t="shared" si="0"/>
        <v>5.0119331742243478E-2</v>
      </c>
      <c r="P18" s="6"/>
      <c r="Q18" s="6"/>
      <c r="R18" s="6"/>
    </row>
    <row r="19" spans="1:18" ht="15" x14ac:dyDescent="0.25">
      <c r="A19" s="19">
        <v>258130</v>
      </c>
      <c r="B19" s="5" t="s">
        <v>42</v>
      </c>
      <c r="C19" s="4">
        <v>29124</v>
      </c>
      <c r="D19" s="4">
        <v>37462</v>
      </c>
      <c r="E19" s="3">
        <v>87000</v>
      </c>
      <c r="F19" s="3">
        <v>82900</v>
      </c>
      <c r="G19" s="3">
        <v>78900</v>
      </c>
      <c r="H19" s="4"/>
      <c r="I19" s="3"/>
      <c r="J19" s="2" t="s">
        <v>5</v>
      </c>
      <c r="K19" s="2" t="s">
        <v>5</v>
      </c>
      <c r="L19" s="15">
        <f>(YEAR($C$3)-YEAR(C19))+(MONTH($C$3)-MONTH(C19))/12+(DAY($C$3)-DAY(C19))/365</f>
        <v>35.264840182648406</v>
      </c>
      <c r="M19" s="15">
        <f>(YEAR($C$3)-YEAR(D19))+(MONTH($C$3)-MONTH(D19))/12+(DAY($C$3)-DAY(D19))/365</f>
        <v>12.434246575342465</v>
      </c>
      <c r="N19" s="6">
        <f t="shared" si="1"/>
        <v>82933.333333333328</v>
      </c>
      <c r="O19" s="16">
        <f t="shared" si="0"/>
        <v>4.9457177322074886E-2</v>
      </c>
      <c r="P19" s="6"/>
      <c r="Q19" s="6"/>
      <c r="R19" s="6"/>
    </row>
    <row r="20" spans="1:18" ht="15" x14ac:dyDescent="0.25">
      <c r="A20" s="19">
        <v>286491</v>
      </c>
      <c r="B20" s="5" t="s">
        <v>41</v>
      </c>
      <c r="C20" s="4">
        <v>16018</v>
      </c>
      <c r="D20" s="4">
        <v>31071</v>
      </c>
      <c r="E20" s="3">
        <v>86000</v>
      </c>
      <c r="F20" s="3">
        <v>81900</v>
      </c>
      <c r="G20" s="3">
        <v>78000</v>
      </c>
      <c r="H20" s="4"/>
      <c r="I20" s="3"/>
      <c r="J20" s="2" t="s">
        <v>5</v>
      </c>
      <c r="K20" s="2" t="s">
        <v>5</v>
      </c>
      <c r="L20" s="15">
        <f>(YEAR($C$3)-YEAR(C20))+(MONTH($C$3)-MONTH(C20))/12+(DAY($C$3)-DAY(C20))/365</f>
        <v>71.147488584474885</v>
      </c>
      <c r="M20" s="15">
        <f>(YEAR($C$3)-YEAR(D20))+(MONTH($C$3)-MONTH(D20))/12+(DAY($C$3)-DAY(D20))/365</f>
        <v>29.936986301369863</v>
      </c>
      <c r="N20" s="6">
        <f t="shared" si="1"/>
        <v>81966.666666666672</v>
      </c>
      <c r="O20" s="16">
        <f t="shared" si="0"/>
        <v>5.0061050061050105E-2</v>
      </c>
      <c r="P20" s="6"/>
      <c r="Q20" s="6"/>
      <c r="R20" s="6"/>
    </row>
    <row r="21" spans="1:18" ht="15" x14ac:dyDescent="0.25">
      <c r="A21" s="19">
        <v>290999</v>
      </c>
      <c r="B21" s="5" t="s">
        <v>40</v>
      </c>
      <c r="C21" s="4">
        <v>25991</v>
      </c>
      <c r="D21" s="4">
        <v>41600</v>
      </c>
      <c r="E21" s="3">
        <v>85000</v>
      </c>
      <c r="F21" s="3">
        <v>2000</v>
      </c>
      <c r="G21" s="3"/>
      <c r="H21" s="4"/>
      <c r="I21" s="3"/>
      <c r="J21" s="2" t="s">
        <v>5</v>
      </c>
      <c r="K21" s="2"/>
      <c r="L21" s="15">
        <f>(YEAR($C$3)-YEAR(C21))+(MONTH($C$3)-MONTH(C21))/12+(DAY($C$3)-DAY(C21))/365</f>
        <v>43.845433789954335</v>
      </c>
      <c r="M21" s="15">
        <f>(YEAR($C$3)-YEAR(D21))+(MONTH($C$3)-MONTH(D21))/12+(DAY($C$3)-DAY(D21))/365</f>
        <v>1.109132420091324</v>
      </c>
      <c r="N21" s="6">
        <f t="shared" si="1"/>
        <v>43500</v>
      </c>
      <c r="O21" s="16" t="str">
        <f t="shared" si="0"/>
        <v/>
      </c>
      <c r="P21" s="6"/>
      <c r="Q21" s="6"/>
      <c r="R21" s="6"/>
    </row>
    <row r="22" spans="1:18" ht="15" x14ac:dyDescent="0.25">
      <c r="A22" s="19">
        <v>300843</v>
      </c>
      <c r="B22" s="5" t="s">
        <v>39</v>
      </c>
      <c r="C22" s="4">
        <v>17659</v>
      </c>
      <c r="D22" s="4">
        <v>31876</v>
      </c>
      <c r="E22" s="3">
        <v>84000</v>
      </c>
      <c r="F22" s="3">
        <v>80000</v>
      </c>
      <c r="G22" s="3">
        <v>76200</v>
      </c>
      <c r="H22" s="4"/>
      <c r="I22" s="3"/>
      <c r="J22" s="2" t="s">
        <v>5</v>
      </c>
      <c r="K22" s="2" t="s">
        <v>5</v>
      </c>
      <c r="L22" s="15">
        <f>(YEAR($C$3)-YEAR(C22))+(MONTH($C$3)-MONTH(C22))/12+(DAY($C$3)-DAY(C22))/365</f>
        <v>66.652968036529685</v>
      </c>
      <c r="M22" s="15">
        <f>(YEAR($C$3)-YEAR(D22))+(MONTH($C$3)-MONTH(D22))/12+(DAY($C$3)-DAY(D22))/365</f>
        <v>27.728082191780821</v>
      </c>
      <c r="N22" s="6">
        <f t="shared" si="1"/>
        <v>80066.666666666672</v>
      </c>
      <c r="O22" s="16">
        <f t="shared" si="0"/>
        <v>5.0000000000000044E-2</v>
      </c>
      <c r="P22" s="6"/>
      <c r="Q22" s="6"/>
      <c r="R22" s="6"/>
    </row>
    <row r="23" spans="1:18" ht="15" x14ac:dyDescent="0.25">
      <c r="A23" s="19">
        <v>302798</v>
      </c>
      <c r="B23" s="5" t="s">
        <v>38</v>
      </c>
      <c r="C23" s="4">
        <v>28924</v>
      </c>
      <c r="D23" s="4">
        <v>35009</v>
      </c>
      <c r="E23" s="3">
        <v>300000</v>
      </c>
      <c r="F23" s="3">
        <v>276000</v>
      </c>
      <c r="G23" s="3">
        <v>252000</v>
      </c>
      <c r="H23" s="4"/>
      <c r="I23" s="3"/>
      <c r="J23" s="2" t="s">
        <v>5</v>
      </c>
      <c r="K23" s="2" t="s">
        <v>5</v>
      </c>
      <c r="L23" s="15">
        <f>(YEAR($C$3)-YEAR(C23))+(MONTH($C$3)-MONTH(C23))/12+(DAY($C$3)-DAY(C23))/365</f>
        <v>35.808675799086764</v>
      </c>
      <c r="M23" s="15">
        <f>(YEAR($C$3)-YEAR(D23))+(MONTH($C$3)-MONTH(D23))/12+(DAY($C$3)-DAY(D23))/365</f>
        <v>19.152968036529682</v>
      </c>
      <c r="N23" s="6">
        <f t="shared" si="1"/>
        <v>276000</v>
      </c>
      <c r="O23" s="16">
        <f t="shared" si="0"/>
        <v>8.6956521739130377E-2</v>
      </c>
      <c r="P23" s="6"/>
      <c r="Q23" s="6"/>
      <c r="R23" s="6"/>
    </row>
    <row r="24" spans="1:18" ht="15" x14ac:dyDescent="0.25">
      <c r="A24" s="19">
        <v>310267</v>
      </c>
      <c r="B24" s="5" t="s">
        <v>37</v>
      </c>
      <c r="C24" s="4">
        <v>23532</v>
      </c>
      <c r="D24" s="4">
        <v>38201</v>
      </c>
      <c r="E24" s="3">
        <v>118800</v>
      </c>
      <c r="F24" s="3">
        <v>113100</v>
      </c>
      <c r="G24" s="3">
        <v>107800</v>
      </c>
      <c r="H24" s="4"/>
      <c r="I24" s="3"/>
      <c r="J24" s="2" t="s">
        <v>5</v>
      </c>
      <c r="K24" s="2" t="s">
        <v>5</v>
      </c>
      <c r="L24" s="15">
        <f>(YEAR($C$3)-YEAR(C24))+(MONTH($C$3)-MONTH(C24))/12+(DAY($C$3)-DAY(C24))/365</f>
        <v>50.575114155251143</v>
      </c>
      <c r="M24" s="15">
        <f>(YEAR($C$3)-YEAR(D24))+(MONTH($C$3)-MONTH(D24))/12+(DAY($C$3)-DAY(D24))/365</f>
        <v>10.41392694063927</v>
      </c>
      <c r="N24" s="6">
        <f t="shared" si="1"/>
        <v>113233.33333333333</v>
      </c>
      <c r="O24" s="16">
        <f t="shared" si="0"/>
        <v>5.0397877984084793E-2</v>
      </c>
      <c r="P24" s="6"/>
      <c r="Q24" s="6"/>
      <c r="R24" s="6"/>
    </row>
    <row r="25" spans="1:18" ht="15" x14ac:dyDescent="0.25">
      <c r="A25" s="19">
        <v>313615</v>
      </c>
      <c r="B25" s="5" t="s">
        <v>36</v>
      </c>
      <c r="C25" s="4">
        <v>34187</v>
      </c>
      <c r="D25" s="4">
        <v>38175</v>
      </c>
      <c r="E25" s="3">
        <v>117600</v>
      </c>
      <c r="F25" s="3">
        <v>112000</v>
      </c>
      <c r="G25" s="3">
        <v>106700</v>
      </c>
      <c r="H25" s="4"/>
      <c r="I25" s="3"/>
      <c r="J25" s="2" t="s">
        <v>5</v>
      </c>
      <c r="K25" s="2" t="s">
        <v>5</v>
      </c>
      <c r="L25" s="15">
        <f>(YEAR($C$3)-YEAR(C25))+(MONTH($C$3)-MONTH(C25))/12+(DAY($C$3)-DAY(C25))/365</f>
        <v>21.402968036529682</v>
      </c>
      <c r="M25" s="15">
        <f>(YEAR($C$3)-YEAR(D25))+(MONTH($C$3)-MONTH(D25))/12+(DAY($C$3)-DAY(D25))/365</f>
        <v>10.483561643835616</v>
      </c>
      <c r="N25" s="6">
        <f t="shared" si="1"/>
        <v>112100</v>
      </c>
      <c r="O25" s="16">
        <f t="shared" si="0"/>
        <v>5.0000000000000044E-2</v>
      </c>
      <c r="P25" s="6"/>
      <c r="Q25" s="6"/>
      <c r="R25" s="6"/>
    </row>
    <row r="26" spans="1:18" ht="15" x14ac:dyDescent="0.25">
      <c r="A26" s="19">
        <v>320387</v>
      </c>
      <c r="B26" s="5" t="s">
        <v>35</v>
      </c>
      <c r="C26" s="4">
        <v>25791</v>
      </c>
      <c r="D26" s="4">
        <v>35220</v>
      </c>
      <c r="E26" s="3">
        <v>116400</v>
      </c>
      <c r="F26" s="3">
        <v>110900</v>
      </c>
      <c r="G26" s="3">
        <v>105600</v>
      </c>
      <c r="H26" s="4"/>
      <c r="I26" s="3"/>
      <c r="J26" s="2" t="s">
        <v>5</v>
      </c>
      <c r="K26" s="2" t="s">
        <v>5</v>
      </c>
      <c r="L26" s="15">
        <f>(YEAR($C$3)-YEAR(C26))+(MONTH($C$3)-MONTH(C26))/12+(DAY($C$3)-DAY(C26))/365</f>
        <v>44.389269406392692</v>
      </c>
      <c r="M26" s="15">
        <f>(YEAR($C$3)-YEAR(D26))+(MONTH($C$3)-MONTH(D26))/12+(DAY($C$3)-DAY(D26))/365</f>
        <v>18.575114155251139</v>
      </c>
      <c r="N26" s="6">
        <f t="shared" si="1"/>
        <v>110966.66666666667</v>
      </c>
      <c r="O26" s="16">
        <f t="shared" si="0"/>
        <v>4.9594229035166748E-2</v>
      </c>
      <c r="P26" s="6"/>
      <c r="Q26" s="6"/>
      <c r="R26" s="6"/>
    </row>
    <row r="27" spans="1:18" ht="15" x14ac:dyDescent="0.25">
      <c r="A27" s="19">
        <v>340436</v>
      </c>
      <c r="B27" s="5" t="s">
        <v>34</v>
      </c>
      <c r="C27" s="4">
        <v>27791</v>
      </c>
      <c r="D27" s="4">
        <v>36129</v>
      </c>
      <c r="E27" s="3">
        <v>115200</v>
      </c>
      <c r="F27" s="3">
        <v>109700</v>
      </c>
      <c r="G27" s="3">
        <v>104500</v>
      </c>
      <c r="H27" s="4"/>
      <c r="I27" s="3"/>
      <c r="J27" s="2" t="s">
        <v>5</v>
      </c>
      <c r="K27" s="2" t="s">
        <v>5</v>
      </c>
      <c r="L27" s="15">
        <f>(YEAR($C$3)-YEAR(C27))+(MONTH($C$3)-MONTH(C27))/12+(DAY($C$3)-DAY(C27))/365</f>
        <v>38.916666666666664</v>
      </c>
      <c r="M27" s="15">
        <f>(YEAR($C$3)-YEAR(D27))+(MONTH($C$3)-MONTH(D27))/12+(DAY($C$3)-DAY(D27))/365</f>
        <v>16.087214611872149</v>
      </c>
      <c r="N27" s="6">
        <f t="shared" si="1"/>
        <v>109800</v>
      </c>
      <c r="O27" s="16">
        <f t="shared" si="0"/>
        <v>5.0136736554238892E-2</v>
      </c>
      <c r="P27" s="6"/>
      <c r="Q27" s="6"/>
      <c r="R27" s="6"/>
    </row>
    <row r="28" spans="1:18" ht="15" x14ac:dyDescent="0.25">
      <c r="A28" s="19">
        <v>345767</v>
      </c>
      <c r="B28" s="5" t="s">
        <v>33</v>
      </c>
      <c r="C28" s="4">
        <v>24217</v>
      </c>
      <c r="D28" s="4">
        <v>35067</v>
      </c>
      <c r="E28" s="3">
        <v>114000</v>
      </c>
      <c r="F28" s="3">
        <v>108600</v>
      </c>
      <c r="G28" s="3">
        <v>103400</v>
      </c>
      <c r="H28" s="4"/>
      <c r="I28" s="3"/>
      <c r="J28" s="2" t="s">
        <v>5</v>
      </c>
      <c r="K28" s="2" t="s">
        <v>5</v>
      </c>
      <c r="L28" s="15">
        <f>(YEAR($C$3)-YEAR(C28))+(MONTH($C$3)-MONTH(C28))/12+(DAY($C$3)-DAY(C28))/365</f>
        <v>48.697945205479449</v>
      </c>
      <c r="M28" s="15">
        <f>(YEAR($C$3)-YEAR(D28))+(MONTH($C$3)-MONTH(D28))/12+(DAY($C$3)-DAY(D28))/365</f>
        <v>18.994520547945207</v>
      </c>
      <c r="N28" s="6">
        <f t="shared" si="1"/>
        <v>108666.66666666667</v>
      </c>
      <c r="O28" s="16">
        <f t="shared" si="0"/>
        <v>4.9723756906077332E-2</v>
      </c>
      <c r="P28" s="6"/>
      <c r="Q28" s="6"/>
      <c r="R28" s="6"/>
    </row>
    <row r="29" spans="1:18" ht="15" x14ac:dyDescent="0.25">
      <c r="A29" s="19">
        <v>352244</v>
      </c>
      <c r="B29" s="5" t="s">
        <v>32</v>
      </c>
      <c r="C29" s="4">
        <v>21370</v>
      </c>
      <c r="D29" s="4">
        <v>41429</v>
      </c>
      <c r="E29" s="3">
        <v>384000</v>
      </c>
      <c r="F29" s="3">
        <v>38400</v>
      </c>
      <c r="G29" s="3"/>
      <c r="H29" s="4"/>
      <c r="I29" s="3"/>
      <c r="J29" s="2" t="s">
        <v>5</v>
      </c>
      <c r="K29" s="2"/>
      <c r="L29" s="15">
        <f>(YEAR($C$3)-YEAR(C29))+(MONTH($C$3)-MONTH(C29))/12+(DAY($C$3)-DAY(C29))/365</f>
        <v>56.491780821917807</v>
      </c>
      <c r="M29" s="15">
        <f>(YEAR($C$3)-YEAR(D29))+(MONTH($C$3)-MONTH(D29))/12+(DAY($C$3)-DAY(D29))/365</f>
        <v>1.5751141552511414</v>
      </c>
      <c r="N29" s="6">
        <f t="shared" si="1"/>
        <v>211200</v>
      </c>
      <c r="O29" s="16" t="str">
        <f t="shared" si="0"/>
        <v/>
      </c>
      <c r="P29" s="6"/>
      <c r="Q29" s="6"/>
      <c r="R29" s="6"/>
    </row>
    <row r="30" spans="1:18" ht="15" x14ac:dyDescent="0.25">
      <c r="A30" s="19">
        <v>357982</v>
      </c>
      <c r="B30" s="5" t="s">
        <v>31</v>
      </c>
      <c r="C30" s="4">
        <v>17820</v>
      </c>
      <c r="D30" s="4">
        <v>35562</v>
      </c>
      <c r="E30" s="3">
        <v>111600</v>
      </c>
      <c r="F30" s="3">
        <v>106300</v>
      </c>
      <c r="G30" s="3">
        <v>101200</v>
      </c>
      <c r="H30" s="4"/>
      <c r="I30" s="3"/>
      <c r="J30" s="2" t="s">
        <v>5</v>
      </c>
      <c r="K30" s="2" t="s">
        <v>5</v>
      </c>
      <c r="L30" s="15">
        <f>(YEAR($C$3)-YEAR(C30))+(MONTH($C$3)-MONTH(C30))/12+(DAY($C$3)-DAY(C30))/365</f>
        <v>66.214383561643842</v>
      </c>
      <c r="M30" s="15">
        <f>(YEAR($C$3)-YEAR(D30))+(MONTH($C$3)-MONTH(D30))/12+(DAY($C$3)-DAY(D30))/365</f>
        <v>17.6365296803653</v>
      </c>
      <c r="N30" s="6">
        <f t="shared" si="1"/>
        <v>106366.66666666667</v>
      </c>
      <c r="O30" s="16">
        <f t="shared" si="0"/>
        <v>4.9858889934148554E-2</v>
      </c>
      <c r="P30" s="6"/>
      <c r="Q30" s="6"/>
      <c r="R30" s="6"/>
    </row>
    <row r="31" spans="1:18" ht="15" x14ac:dyDescent="0.25">
      <c r="A31" s="19">
        <v>369257</v>
      </c>
      <c r="B31" s="5" t="s">
        <v>30</v>
      </c>
      <c r="C31" s="4">
        <v>3651</v>
      </c>
      <c r="D31" s="4">
        <v>41274</v>
      </c>
      <c r="E31" s="3">
        <v>110400</v>
      </c>
      <c r="F31" s="3">
        <v>48000</v>
      </c>
      <c r="G31" s="3"/>
      <c r="H31" s="4"/>
      <c r="I31" s="3"/>
      <c r="J31" s="2" t="s">
        <v>5</v>
      </c>
      <c r="K31" s="2" t="s">
        <v>5</v>
      </c>
      <c r="L31" s="15">
        <f>(YEAR($C$3)-YEAR(C31))+(MONTH($C$3)-MONTH(C31))/12+(DAY($C$3)-DAY(C31))/365</f>
        <v>105.0066210045662</v>
      </c>
      <c r="M31" s="15">
        <f>(YEAR($C$3)-YEAR(D31))+(MONTH($C$3)-MONTH(D31))/12+(DAY($C$3)-DAY(D31))/365</f>
        <v>2.0011415525114158</v>
      </c>
      <c r="N31" s="6">
        <f t="shared" si="1"/>
        <v>79200</v>
      </c>
      <c r="O31" s="16">
        <f t="shared" si="0"/>
        <v>1.2999999999999998</v>
      </c>
      <c r="P31" s="6"/>
      <c r="Q31" s="6"/>
      <c r="R31" s="6"/>
    </row>
    <row r="32" spans="1:18" ht="15" x14ac:dyDescent="0.25">
      <c r="A32" s="19">
        <v>375122</v>
      </c>
      <c r="B32" s="5" t="s">
        <v>29</v>
      </c>
      <c r="C32" s="4">
        <v>17859</v>
      </c>
      <c r="D32" s="4">
        <v>39834</v>
      </c>
      <c r="E32" s="3">
        <v>109200</v>
      </c>
      <c r="F32" s="3">
        <v>104000</v>
      </c>
      <c r="G32" s="3">
        <v>99000</v>
      </c>
      <c r="H32" s="4"/>
      <c r="I32" s="3"/>
      <c r="J32" s="2" t="s">
        <v>5</v>
      </c>
      <c r="K32" s="2" t="s">
        <v>5</v>
      </c>
      <c r="L32" s="15">
        <f>(YEAR($C$3)-YEAR(C32))+(MONTH($C$3)-MONTH(C32))/12+(DAY($C$3)-DAY(C32))/365</f>
        <v>66.109132420091328</v>
      </c>
      <c r="M32" s="15">
        <f>(YEAR($C$3)-YEAR(D32))+(MONTH($C$3)-MONTH(D32))/12+(DAY($C$3)-DAY(D32))/365</f>
        <v>5.9452054794520546</v>
      </c>
      <c r="N32" s="6">
        <f t="shared" si="1"/>
        <v>104066.66666666667</v>
      </c>
      <c r="O32" s="16">
        <f t="shared" si="0"/>
        <v>5.0000000000000044E-2</v>
      </c>
      <c r="P32" s="6"/>
      <c r="Q32" s="6"/>
      <c r="R32" s="6"/>
    </row>
    <row r="33" spans="1:18" ht="15" x14ac:dyDescent="0.25">
      <c r="A33" s="19">
        <v>406300</v>
      </c>
      <c r="B33" s="5" t="s">
        <v>28</v>
      </c>
      <c r="C33" s="4">
        <v>1</v>
      </c>
      <c r="D33" s="4">
        <v>40273</v>
      </c>
      <c r="E33" s="3">
        <v>108000</v>
      </c>
      <c r="F33" s="3">
        <v>102900</v>
      </c>
      <c r="G33" s="3">
        <v>98000</v>
      </c>
      <c r="H33" s="4"/>
      <c r="I33" s="3"/>
      <c r="J33" s="2" t="s">
        <v>5</v>
      </c>
      <c r="K33" s="2" t="s">
        <v>5</v>
      </c>
      <c r="L33" s="15">
        <f>(YEAR($C$3)-YEAR(C33))+(MONTH($C$3)-MONTH(C33))/12+(DAY($C$3)-DAY(C33))/365</f>
        <v>115</v>
      </c>
      <c r="M33" s="15">
        <f>(YEAR($C$3)-YEAR(D33))+(MONTH($C$3)-MONTH(D33))/12+(DAY($C$3)-DAY(D33))/365</f>
        <v>4.7390410958904106</v>
      </c>
      <c r="N33" s="6">
        <f t="shared" si="1"/>
        <v>102966.66666666667</v>
      </c>
      <c r="O33" s="16">
        <f t="shared" si="0"/>
        <v>4.9562682215743337E-2</v>
      </c>
      <c r="P33" s="6"/>
      <c r="Q33" s="6"/>
      <c r="R33" s="6"/>
    </row>
    <row r="34" spans="1:18" ht="15" x14ac:dyDescent="0.25">
      <c r="A34" s="19">
        <v>422365</v>
      </c>
      <c r="B34" s="5" t="s">
        <v>27</v>
      </c>
      <c r="C34" s="4">
        <v>21074</v>
      </c>
      <c r="D34" s="4">
        <v>40539</v>
      </c>
      <c r="E34" s="3">
        <v>106800</v>
      </c>
      <c r="F34" s="3">
        <v>101700</v>
      </c>
      <c r="G34" s="3">
        <v>96900</v>
      </c>
      <c r="H34" s="4"/>
      <c r="I34" s="3"/>
      <c r="J34" s="2" t="s">
        <v>5</v>
      </c>
      <c r="K34" s="2" t="s">
        <v>5</v>
      </c>
      <c r="L34" s="15">
        <f>(YEAR($C$3)-YEAR(C34))+(MONTH($C$3)-MONTH(C34))/12+(DAY($C$3)-DAY(C34))/365</f>
        <v>57.305936073059364</v>
      </c>
      <c r="M34" s="15">
        <f>(YEAR($C$3)-YEAR(D34))+(MONTH($C$3)-MONTH(D34))/12+(DAY($C$3)-DAY(D34))/365</f>
        <v>4.0121004566210043</v>
      </c>
      <c r="N34" s="6">
        <f t="shared" si="1"/>
        <v>101800</v>
      </c>
      <c r="O34" s="16">
        <f t="shared" si="0"/>
        <v>5.0147492625368661E-2</v>
      </c>
      <c r="P34" s="6"/>
      <c r="Q34" s="6"/>
      <c r="R34" s="6"/>
    </row>
    <row r="35" spans="1:18" ht="15" x14ac:dyDescent="0.25">
      <c r="A35" s="19">
        <v>423109</v>
      </c>
      <c r="B35" s="5" t="s">
        <v>26</v>
      </c>
      <c r="C35" s="4">
        <v>16218</v>
      </c>
      <c r="D35" s="4">
        <v>40974</v>
      </c>
      <c r="E35" s="3">
        <v>105600</v>
      </c>
      <c r="F35" s="3">
        <v>100600</v>
      </c>
      <c r="G35" s="3">
        <v>48000</v>
      </c>
      <c r="H35" s="4"/>
      <c r="I35" s="3"/>
      <c r="J35" s="2" t="s">
        <v>5</v>
      </c>
      <c r="K35" s="2" t="s">
        <v>5</v>
      </c>
      <c r="L35" s="15">
        <f>(YEAR($C$3)-YEAR(C35))+(MONTH($C$3)-MONTH(C35))/12+(DAY($C$3)-DAY(C35))/365</f>
        <v>70.598173515981742</v>
      </c>
      <c r="M35" s="15">
        <f>(YEAR($C$3)-YEAR(D35))+(MONTH($C$3)-MONTH(D35))/12+(DAY($C$3)-DAY(D35))/365</f>
        <v>2.8196347031963471</v>
      </c>
      <c r="N35" s="6">
        <f t="shared" si="1"/>
        <v>84733.333333333328</v>
      </c>
      <c r="O35" s="16">
        <f t="shared" si="0"/>
        <v>4.9701789264413598E-2</v>
      </c>
      <c r="P35" s="6"/>
      <c r="Q35" s="6"/>
      <c r="R35" s="6"/>
    </row>
    <row r="36" spans="1:18" ht="15" x14ac:dyDescent="0.25">
      <c r="A36" s="19">
        <v>426223</v>
      </c>
      <c r="B36" s="5" t="s">
        <v>25</v>
      </c>
      <c r="C36" s="4">
        <v>26191</v>
      </c>
      <c r="D36" s="4">
        <v>27116</v>
      </c>
      <c r="E36" s="3">
        <v>104400</v>
      </c>
      <c r="F36" s="3">
        <v>99400</v>
      </c>
      <c r="G36" s="3">
        <v>94700</v>
      </c>
      <c r="H36" s="4"/>
      <c r="I36" s="3"/>
      <c r="J36" s="2" t="s">
        <v>5</v>
      </c>
      <c r="K36" s="2" t="s">
        <v>5</v>
      </c>
      <c r="L36" s="15">
        <f>(YEAR($C$3)-YEAR(C36))+(MONTH($C$3)-MONTH(C36))/12+(DAY($C$3)-DAY(C36))/365</f>
        <v>43.294977168949771</v>
      </c>
      <c r="M36" s="15">
        <f>(YEAR($C$3)-YEAR(D36))+(MONTH($C$3)-MONTH(D36))/12+(DAY($C$3)-DAY(D36))/365</f>
        <v>40.759360730593613</v>
      </c>
      <c r="N36" s="6">
        <f t="shared" si="1"/>
        <v>99500</v>
      </c>
      <c r="O36" s="16">
        <f t="shared" si="0"/>
        <v>5.0301810865191143E-2</v>
      </c>
      <c r="P36" s="6"/>
      <c r="Q36" s="6"/>
      <c r="R36" s="6"/>
    </row>
    <row r="37" spans="1:18" ht="15" x14ac:dyDescent="0.25">
      <c r="A37" s="19">
        <v>430276</v>
      </c>
      <c r="B37" s="5" t="s">
        <v>24</v>
      </c>
      <c r="C37" s="4">
        <v>29324</v>
      </c>
      <c r="D37" s="4">
        <v>31271</v>
      </c>
      <c r="E37" s="3">
        <v>103200</v>
      </c>
      <c r="F37" s="3">
        <v>98300</v>
      </c>
      <c r="G37" s="3">
        <v>93600</v>
      </c>
      <c r="H37" s="4"/>
      <c r="I37" s="3"/>
      <c r="J37" s="2" t="s">
        <v>5</v>
      </c>
      <c r="K37" s="2" t="s">
        <v>5</v>
      </c>
      <c r="L37" s="15">
        <f>(YEAR($C$3)-YEAR(C37))+(MONTH($C$3)-MONTH(C37))/12+(DAY($C$3)-DAY(C37))/365</f>
        <v>34.717123287671235</v>
      </c>
      <c r="M37" s="15">
        <f>(YEAR($C$3)-YEAR(D37))+(MONTH($C$3)-MONTH(D37))/12+(DAY($C$3)-DAY(D37))/365</f>
        <v>29.3865296803653</v>
      </c>
      <c r="N37" s="6">
        <f t="shared" si="1"/>
        <v>98366.666666666672</v>
      </c>
      <c r="O37" s="16">
        <f t="shared" si="0"/>
        <v>4.984740590030512E-2</v>
      </c>
      <c r="P37" s="6"/>
      <c r="Q37" s="6"/>
      <c r="R37" s="6"/>
    </row>
    <row r="38" spans="1:18" ht="15" x14ac:dyDescent="0.25">
      <c r="A38" s="19">
        <v>430534</v>
      </c>
      <c r="B38" s="5" t="s">
        <v>23</v>
      </c>
      <c r="C38" s="4">
        <v>16018</v>
      </c>
      <c r="D38" s="4">
        <v>37462</v>
      </c>
      <c r="E38" s="3">
        <v>102000</v>
      </c>
      <c r="F38" s="3">
        <v>2400</v>
      </c>
      <c r="G38" s="3"/>
      <c r="H38" s="4"/>
      <c r="I38" s="3"/>
      <c r="J38" s="2" t="s">
        <v>5</v>
      </c>
      <c r="K38" s="2" t="s">
        <v>5</v>
      </c>
      <c r="L38" s="15">
        <f>(YEAR($C$3)-YEAR(C38))+(MONTH($C$3)-MONTH(C38))/12+(DAY($C$3)-DAY(C38))/365</f>
        <v>71.147488584474885</v>
      </c>
      <c r="M38" s="15">
        <f>(YEAR($C$3)-YEAR(D38))+(MONTH($C$3)-MONTH(D38))/12+(DAY($C$3)-DAY(D38))/365</f>
        <v>12.434246575342465</v>
      </c>
      <c r="N38" s="6">
        <f t="shared" si="1"/>
        <v>52200</v>
      </c>
      <c r="O38" s="16">
        <f t="shared" si="0"/>
        <v>41.5</v>
      </c>
      <c r="P38" s="6"/>
      <c r="Q38" s="6"/>
      <c r="R38" s="6"/>
    </row>
    <row r="39" spans="1:18" ht="15" x14ac:dyDescent="0.25">
      <c r="A39" s="19">
        <v>443913</v>
      </c>
      <c r="B39" s="5" t="s">
        <v>22</v>
      </c>
      <c r="C39" s="4">
        <v>16639</v>
      </c>
      <c r="D39" s="4">
        <v>32076</v>
      </c>
      <c r="E39" s="3">
        <v>100800</v>
      </c>
      <c r="F39" s="3">
        <v>96000</v>
      </c>
      <c r="G39" s="3">
        <v>91400</v>
      </c>
      <c r="H39" s="4"/>
      <c r="I39" s="3"/>
      <c r="J39" s="2" t="s">
        <v>5</v>
      </c>
      <c r="K39" s="2" t="s">
        <v>5</v>
      </c>
      <c r="L39" s="15">
        <f>(YEAR($C$3)-YEAR(C39))+(MONTH($C$3)-MONTH(C39))/12+(DAY($C$3)-DAY(C39))/365</f>
        <v>69.445205479452056</v>
      </c>
      <c r="M39" s="15">
        <f>(YEAR($C$3)-YEAR(D39))+(MONTH($C$3)-MONTH(D39))/12+(DAY($C$3)-DAY(D39))/365</f>
        <v>27.181506849315067</v>
      </c>
      <c r="N39" s="6">
        <f t="shared" si="1"/>
        <v>96066.666666666672</v>
      </c>
      <c r="O39" s="16">
        <f t="shared" si="0"/>
        <v>5.0000000000000044E-2</v>
      </c>
      <c r="P39" s="6"/>
      <c r="Q39" s="6"/>
      <c r="R39" s="6"/>
    </row>
    <row r="40" spans="1:18" ht="15" x14ac:dyDescent="0.25">
      <c r="A40" s="19">
        <v>446641</v>
      </c>
      <c r="B40" s="5" t="s">
        <v>21</v>
      </c>
      <c r="C40" s="4">
        <v>23652</v>
      </c>
      <c r="D40" s="4">
        <v>35209</v>
      </c>
      <c r="E40" s="3">
        <v>360000</v>
      </c>
      <c r="F40" s="3">
        <v>331200</v>
      </c>
      <c r="G40" s="3">
        <v>302400</v>
      </c>
      <c r="H40" s="4"/>
      <c r="I40" s="3"/>
      <c r="J40" s="2" t="s">
        <v>5</v>
      </c>
      <c r="K40" s="2" t="s">
        <v>5</v>
      </c>
      <c r="L40" s="15">
        <f>(YEAR($C$3)-YEAR(C40))+(MONTH($C$3)-MONTH(C40))/12+(DAY($C$3)-DAY(C40))/365</f>
        <v>50.2472602739726</v>
      </c>
      <c r="M40" s="15">
        <f>(YEAR($C$3)-YEAR(D40))+(MONTH($C$3)-MONTH(D40))/12+(DAY($C$3)-DAY(D40))/365</f>
        <v>18.603652968036531</v>
      </c>
      <c r="N40" s="6">
        <f t="shared" si="1"/>
        <v>331200</v>
      </c>
      <c r="O40" s="16">
        <f t="shared" si="0"/>
        <v>8.6956521739130377E-2</v>
      </c>
      <c r="P40" s="6"/>
      <c r="Q40" s="6"/>
      <c r="R40" s="6"/>
    </row>
    <row r="41" spans="1:18" ht="15" x14ac:dyDescent="0.25">
      <c r="A41" s="19">
        <v>462488</v>
      </c>
      <c r="B41" s="5" t="s">
        <v>20</v>
      </c>
      <c r="C41" s="4">
        <v>22481</v>
      </c>
      <c r="D41" s="4">
        <v>38401</v>
      </c>
      <c r="E41" s="3">
        <v>142600</v>
      </c>
      <c r="F41" s="3">
        <v>135700</v>
      </c>
      <c r="G41" s="3">
        <v>129400</v>
      </c>
      <c r="H41" s="4"/>
      <c r="I41" s="3"/>
      <c r="J41" s="2" t="s">
        <v>5</v>
      </c>
      <c r="K41" s="2" t="s">
        <v>5</v>
      </c>
      <c r="L41" s="15">
        <f>(YEAR($C$3)-YEAR(C41))+(MONTH($C$3)-MONTH(C41))/12+(DAY($C$3)-DAY(C41))/365</f>
        <v>53.450684931506849</v>
      </c>
      <c r="M41" s="15">
        <f>(YEAR($C$3)-YEAR(D41))+(MONTH($C$3)-MONTH(D41))/12+(DAY($C$3)-DAY(D41))/365</f>
        <v>9.8700913242009118</v>
      </c>
      <c r="N41" s="6">
        <f t="shared" si="1"/>
        <v>135900</v>
      </c>
      <c r="O41" s="16">
        <f t="shared" si="0"/>
        <v>5.0847457627118731E-2</v>
      </c>
      <c r="P41" s="6"/>
      <c r="Q41" s="6"/>
      <c r="R41" s="6"/>
    </row>
    <row r="42" spans="1:18" ht="15" x14ac:dyDescent="0.25">
      <c r="A42" s="19">
        <v>472297</v>
      </c>
      <c r="B42" s="5" t="s">
        <v>19</v>
      </c>
      <c r="C42" s="4">
        <v>33987</v>
      </c>
      <c r="D42" s="4">
        <v>38375</v>
      </c>
      <c r="E42" s="3">
        <v>141100</v>
      </c>
      <c r="F42" s="3">
        <v>134400</v>
      </c>
      <c r="G42" s="3">
        <v>128000</v>
      </c>
      <c r="H42" s="4"/>
      <c r="I42" s="3"/>
      <c r="J42" s="2" t="s">
        <v>5</v>
      </c>
      <c r="K42" s="2" t="s">
        <v>5</v>
      </c>
      <c r="L42" s="15">
        <f>(YEAR($C$3)-YEAR(C42))+(MONTH($C$3)-MONTH(C42))/12+(DAY($C$3)-DAY(C42))/365</f>
        <v>21.953424657534246</v>
      </c>
      <c r="M42" s="15">
        <f>(YEAR($C$3)-YEAR(D42))+(MONTH($C$3)-MONTH(D42))/12+(DAY($C$3)-DAY(D42))/365</f>
        <v>9.9397260273972599</v>
      </c>
      <c r="N42" s="6">
        <f t="shared" si="1"/>
        <v>134500</v>
      </c>
      <c r="O42" s="16">
        <f t="shared" si="0"/>
        <v>4.9851190476190466E-2</v>
      </c>
      <c r="P42" s="6"/>
      <c r="Q42" s="6"/>
      <c r="R42" s="6"/>
    </row>
    <row r="43" spans="1:18" ht="15" x14ac:dyDescent="0.25">
      <c r="A43" s="19">
        <v>489909</v>
      </c>
      <c r="B43" s="5" t="s">
        <v>18</v>
      </c>
      <c r="C43" s="4">
        <v>24490</v>
      </c>
      <c r="D43" s="4">
        <v>37462</v>
      </c>
      <c r="E43" s="3">
        <v>139700</v>
      </c>
      <c r="F43" s="3">
        <v>133100</v>
      </c>
      <c r="G43" s="3">
        <v>126700</v>
      </c>
      <c r="H43" s="4"/>
      <c r="I43" s="3"/>
      <c r="J43" s="2" t="s">
        <v>5</v>
      </c>
      <c r="K43" s="2" t="s">
        <v>5</v>
      </c>
      <c r="L43" s="15">
        <f>(YEAR($C$3)-YEAR(C43))+(MONTH($C$3)-MONTH(C43))/12+(DAY($C$3)-DAY(C43))/365</f>
        <v>47.953424657534249</v>
      </c>
      <c r="M43" s="15">
        <f>(YEAR($C$3)-YEAR(D43))+(MONTH($C$3)-MONTH(D43))/12+(DAY($C$3)-DAY(D43))/365</f>
        <v>12.434246575342465</v>
      </c>
      <c r="N43" s="6">
        <f t="shared" si="1"/>
        <v>133166.66666666666</v>
      </c>
      <c r="O43" s="16">
        <f t="shared" si="0"/>
        <v>4.9586776859504189E-2</v>
      </c>
      <c r="P43" s="6"/>
      <c r="Q43" s="6"/>
      <c r="R43" s="6"/>
    </row>
    <row r="44" spans="1:18" ht="15" x14ac:dyDescent="0.25">
      <c r="A44" s="19">
        <v>489933</v>
      </c>
      <c r="B44" s="5" t="s">
        <v>17</v>
      </c>
      <c r="C44" s="4">
        <v>22158</v>
      </c>
      <c r="D44" s="4">
        <v>36329</v>
      </c>
      <c r="E44" s="3">
        <v>138200</v>
      </c>
      <c r="F44" s="3">
        <v>131600</v>
      </c>
      <c r="G44" s="3">
        <v>125400</v>
      </c>
      <c r="H44" s="4"/>
      <c r="I44" s="3"/>
      <c r="J44" s="2" t="s">
        <v>5</v>
      </c>
      <c r="K44" s="2" t="s">
        <v>5</v>
      </c>
      <c r="L44" s="15">
        <f>(YEAR($C$3)-YEAR(C44))+(MONTH($C$3)-MONTH(C44))/12+(DAY($C$3)-DAY(C44))/365</f>
        <v>54.337214611872142</v>
      </c>
      <c r="M44" s="15">
        <f>(YEAR($C$3)-YEAR(D44))+(MONTH($C$3)-MONTH(D44))/12+(DAY($C$3)-DAY(D44))/365</f>
        <v>15.53675799086758</v>
      </c>
      <c r="N44" s="6">
        <f t="shared" si="1"/>
        <v>131733.33333333334</v>
      </c>
      <c r="O44" s="16">
        <f t="shared" si="0"/>
        <v>5.0151975683890626E-2</v>
      </c>
      <c r="P44" s="6"/>
      <c r="Q44" s="6"/>
      <c r="R44" s="6"/>
    </row>
    <row r="45" spans="1:18" ht="15" x14ac:dyDescent="0.25">
      <c r="A45" s="19">
        <v>537613</v>
      </c>
      <c r="B45" s="5" t="s">
        <v>16</v>
      </c>
      <c r="C45" s="4">
        <v>30229</v>
      </c>
      <c r="D45" s="4">
        <v>35267</v>
      </c>
      <c r="E45" s="3">
        <v>136800</v>
      </c>
      <c r="F45" s="3">
        <v>130300</v>
      </c>
      <c r="G45" s="3">
        <v>124100</v>
      </c>
      <c r="H45" s="4"/>
      <c r="I45" s="3"/>
      <c r="J45" s="2" t="s">
        <v>5</v>
      </c>
      <c r="K45" s="2" t="s">
        <v>5</v>
      </c>
      <c r="L45" s="15">
        <f>(YEAR($C$3)-YEAR(C45))+(MONTH($C$3)-MONTH(C45))/12+(DAY($C$3)-DAY(C45))/365</f>
        <v>32.239041095890414</v>
      </c>
      <c r="M45" s="15">
        <f>(YEAR($C$3)-YEAR(D45))+(MONTH($C$3)-MONTH(D45))/12+(DAY($C$3)-DAY(D45))/365</f>
        <v>18.445205479452056</v>
      </c>
      <c r="N45" s="6">
        <f t="shared" si="1"/>
        <v>130400</v>
      </c>
      <c r="O45" s="16">
        <f t="shared" si="0"/>
        <v>4.9884881043745111E-2</v>
      </c>
      <c r="P45" s="6"/>
      <c r="Q45" s="6"/>
      <c r="R45" s="6"/>
    </row>
    <row r="46" spans="1:18" ht="15" x14ac:dyDescent="0.25">
      <c r="A46" s="19">
        <v>538228</v>
      </c>
      <c r="B46" s="5" t="s">
        <v>15</v>
      </c>
      <c r="C46" s="4">
        <v>15818</v>
      </c>
      <c r="D46" s="4">
        <v>41629</v>
      </c>
      <c r="E46" s="3">
        <v>460800</v>
      </c>
      <c r="F46" s="3">
        <v>46100</v>
      </c>
      <c r="G46" s="3"/>
      <c r="H46" s="4"/>
      <c r="I46" s="3"/>
      <c r="J46" s="2" t="s">
        <v>5</v>
      </c>
      <c r="K46" s="2"/>
      <c r="L46" s="15">
        <f>(YEAR($C$3)-YEAR(C46))+(MONTH($C$3)-MONTH(C46))/12+(DAY($C$3)-DAY(C46))/365</f>
        <v>71.692465753424656</v>
      </c>
      <c r="M46" s="15">
        <f>(YEAR($C$3)-YEAR(D46))+(MONTH($C$3)-MONTH(D46))/12+(DAY($C$3)-DAY(D46))/365</f>
        <v>1.0285388127853883</v>
      </c>
      <c r="N46" s="6">
        <f t="shared" si="1"/>
        <v>253450</v>
      </c>
      <c r="O46" s="16" t="str">
        <f t="shared" ref="O46:O51" si="2">IF(OR(M46&lt;2,E46="",F46=""),"",E46/F46-1)</f>
        <v/>
      </c>
      <c r="P46" s="6"/>
      <c r="Q46" s="6"/>
      <c r="R46" s="6"/>
    </row>
    <row r="47" spans="1:18" ht="15" x14ac:dyDescent="0.25">
      <c r="A47" s="19">
        <v>545776</v>
      </c>
      <c r="B47" s="5" t="s">
        <v>14</v>
      </c>
      <c r="C47" s="4">
        <v>24090</v>
      </c>
      <c r="D47" s="4">
        <v>35762</v>
      </c>
      <c r="E47" s="3">
        <v>133900</v>
      </c>
      <c r="F47" s="3">
        <v>127600</v>
      </c>
      <c r="G47" s="3">
        <v>121400</v>
      </c>
      <c r="H47" s="4"/>
      <c r="I47" s="3"/>
      <c r="J47" s="2" t="s">
        <v>5</v>
      </c>
      <c r="K47" s="2" t="s">
        <v>5</v>
      </c>
      <c r="L47" s="15">
        <f>(YEAR($C$3)-YEAR(C47))+(MONTH($C$3)-MONTH(C47))/12+(DAY($C$3)-DAY(C47))/365</f>
        <v>49.047716894977171</v>
      </c>
      <c r="M47" s="15">
        <f>(YEAR($C$3)-YEAR(D47))+(MONTH($C$3)-MONTH(D47))/12+(DAY($C$3)-DAY(D47))/365</f>
        <v>17.092694063926942</v>
      </c>
      <c r="N47" s="6">
        <f t="shared" si="1"/>
        <v>127633.33333333333</v>
      </c>
      <c r="O47" s="16">
        <f t="shared" si="2"/>
        <v>4.9373040752351161E-2</v>
      </c>
      <c r="P47" s="6"/>
      <c r="Q47" s="6"/>
      <c r="R47" s="6"/>
    </row>
    <row r="48" spans="1:18" ht="15" x14ac:dyDescent="0.25">
      <c r="A48" s="19">
        <v>565414</v>
      </c>
      <c r="B48" s="5" t="s">
        <v>13</v>
      </c>
      <c r="C48" s="4">
        <v>21758</v>
      </c>
      <c r="D48" s="4">
        <v>41474</v>
      </c>
      <c r="E48" s="3">
        <v>132500</v>
      </c>
      <c r="F48" s="3">
        <v>57600</v>
      </c>
      <c r="G48" s="3"/>
      <c r="H48" s="4"/>
      <c r="I48" s="3"/>
      <c r="J48" s="2" t="s">
        <v>5</v>
      </c>
      <c r="K48" s="2"/>
      <c r="L48" s="15">
        <f>(YEAR($C$3)-YEAR(C48))+(MONTH($C$3)-MONTH(C48))/12+(DAY($C$3)-DAY(C48))/365</f>
        <v>55.42876712328767</v>
      </c>
      <c r="M48" s="15">
        <f>(YEAR($C$3)-YEAR(D48))+(MONTH($C$3)-MONTH(D48))/12+(DAY($C$3)-DAY(D48))/365</f>
        <v>1.4506849315068493</v>
      </c>
      <c r="N48" s="6">
        <f t="shared" si="1"/>
        <v>95050</v>
      </c>
      <c r="O48" s="16" t="str">
        <f t="shared" si="2"/>
        <v/>
      </c>
      <c r="P48" s="6"/>
      <c r="Q48" s="6"/>
      <c r="R48" s="6"/>
    </row>
    <row r="49" spans="1:18" ht="15" x14ac:dyDescent="0.25">
      <c r="A49" s="19">
        <v>570202</v>
      </c>
      <c r="B49" s="5" t="s">
        <v>12</v>
      </c>
      <c r="C49" s="4">
        <v>16239</v>
      </c>
      <c r="D49" s="4">
        <v>40073</v>
      </c>
      <c r="E49" s="3">
        <v>90000</v>
      </c>
      <c r="F49" s="3">
        <v>85700</v>
      </c>
      <c r="G49" s="3">
        <v>81600</v>
      </c>
      <c r="H49" s="4"/>
      <c r="I49" s="3"/>
      <c r="J49" s="2" t="s">
        <v>5</v>
      </c>
      <c r="K49" s="2" t="s">
        <v>5</v>
      </c>
      <c r="L49" s="15">
        <f>(YEAR($C$3)-YEAR(C49))+(MONTH($C$3)-MONTH(C49))/12+(DAY($C$3)-DAY(C49))/365</f>
        <v>70.542237442922371</v>
      </c>
      <c r="M49" s="15">
        <f>(YEAR($C$3)-YEAR(D49))+(MONTH($C$3)-MONTH(D49))/12+(DAY($C$3)-DAY(D49))/365</f>
        <v>5.2894977168949771</v>
      </c>
      <c r="N49" s="6">
        <f t="shared" si="1"/>
        <v>85766.666666666672</v>
      </c>
      <c r="O49" s="16">
        <f t="shared" si="2"/>
        <v>5.0175029171528607E-2</v>
      </c>
      <c r="P49" s="6"/>
      <c r="Q49" s="6"/>
      <c r="R49" s="6"/>
    </row>
    <row r="50" spans="1:18" ht="15" x14ac:dyDescent="0.25">
      <c r="A50" s="19">
        <v>578408</v>
      </c>
      <c r="B50" s="5" t="s">
        <v>11</v>
      </c>
      <c r="C50" s="4">
        <v>17459</v>
      </c>
      <c r="D50" s="4">
        <v>40339</v>
      </c>
      <c r="E50" s="3">
        <v>89000</v>
      </c>
      <c r="F50" s="3">
        <v>84800</v>
      </c>
      <c r="G50" s="3">
        <v>80700</v>
      </c>
      <c r="H50" s="4"/>
      <c r="I50" s="3"/>
      <c r="J50" s="2" t="s">
        <v>5</v>
      </c>
      <c r="K50" s="2" t="s">
        <v>5</v>
      </c>
      <c r="L50" s="15">
        <f>(YEAR($C$3)-YEAR(C50))+(MONTH($C$3)-MONTH(C50))/12+(DAY($C$3)-DAY(C50))/365</f>
        <v>67.200684931506856</v>
      </c>
      <c r="M50" s="15">
        <f>(YEAR($C$3)-YEAR(D50))+(MONTH($C$3)-MONTH(D50))/12+(DAY($C$3)-DAY(D50))/365</f>
        <v>4.5586757990867577</v>
      </c>
      <c r="N50" s="6">
        <f t="shared" si="1"/>
        <v>84833.333333333328</v>
      </c>
      <c r="O50" s="16">
        <f t="shared" si="2"/>
        <v>4.952830188679247E-2</v>
      </c>
      <c r="P50" s="6"/>
      <c r="Q50" s="6"/>
      <c r="R50" s="6"/>
    </row>
    <row r="51" spans="1:18" ht="15" x14ac:dyDescent="0.25">
      <c r="A51" s="19">
        <v>579268</v>
      </c>
      <c r="B51" s="5" t="s">
        <v>10</v>
      </c>
      <c r="C51" s="4">
        <v>22081</v>
      </c>
      <c r="D51" s="4">
        <v>40774</v>
      </c>
      <c r="E51" s="3">
        <v>88000</v>
      </c>
      <c r="F51" s="3">
        <v>83800</v>
      </c>
      <c r="G51" s="3">
        <v>40000</v>
      </c>
      <c r="H51" s="4"/>
      <c r="I51" s="3"/>
      <c r="J51" s="2" t="s">
        <v>5</v>
      </c>
      <c r="K51" s="2" t="s">
        <v>5</v>
      </c>
      <c r="L51" s="15">
        <f>(YEAR($C$3)-YEAR(C51))+(MONTH($C$3)-MONTH(C51))/12+(DAY($C$3)-DAY(C51))/365</f>
        <v>54.547716894977171</v>
      </c>
      <c r="M51" s="15">
        <f>(YEAR($C$3)-YEAR(D51))+(MONTH($C$3)-MONTH(D51))/12+(DAY($C$3)-DAY(D51))/365</f>
        <v>3.3673515981735158</v>
      </c>
      <c r="N51" s="6">
        <f t="shared" si="1"/>
        <v>70600</v>
      </c>
      <c r="O51" s="16">
        <f t="shared" si="2"/>
        <v>5.0119331742243478E-2</v>
      </c>
      <c r="P51" s="6"/>
      <c r="Q51" s="6"/>
      <c r="R51" s="6"/>
    </row>
    <row r="52" spans="1:18" ht="15" x14ac:dyDescent="0.25">
      <c r="A52" s="19">
        <v>123486</v>
      </c>
      <c r="B52" s="5" t="s">
        <v>9</v>
      </c>
      <c r="C52" s="4">
        <v>19725</v>
      </c>
      <c r="D52" s="4">
        <v>37462</v>
      </c>
      <c r="E52" s="3"/>
      <c r="F52" s="3"/>
      <c r="G52" s="3"/>
      <c r="H52" s="4">
        <v>43466</v>
      </c>
      <c r="I52" s="3">
        <v>8990</v>
      </c>
      <c r="J52" s="2" t="s">
        <v>3</v>
      </c>
      <c r="K52" s="2" t="s">
        <v>3</v>
      </c>
      <c r="L52" s="15">
        <f>(YEAR($C$3)-YEAR(C52))+(MONTH($C$3)-MONTH(C52))/12+(DAY($C$3)-DAY(C52))/365</f>
        <v>61</v>
      </c>
      <c r="M52" s="15">
        <f>(YEAR($C$3)-YEAR(D52))+(MONTH($C$3)-MONTH(D52))/12+(DAY($C$3)-DAY(D52))/365</f>
        <v>12.434246575342465</v>
      </c>
      <c r="N52" s="6" t="str">
        <f t="shared" si="1"/>
        <v/>
      </c>
      <c r="O52" s="16" t="str">
        <f>IF(OR(M52&lt;2,E52="",F52=""),"",E52/F52-1)</f>
        <v/>
      </c>
    </row>
    <row r="53" spans="1:18" ht="15" x14ac:dyDescent="0.25">
      <c r="A53" s="19">
        <v>123485</v>
      </c>
      <c r="B53" s="5" t="s">
        <v>8</v>
      </c>
      <c r="C53" s="4">
        <v>16254</v>
      </c>
      <c r="D53" s="4">
        <v>37462</v>
      </c>
      <c r="E53" s="3"/>
      <c r="F53" s="3"/>
      <c r="G53" s="3"/>
      <c r="H53" s="4">
        <v>39995</v>
      </c>
      <c r="I53" s="3">
        <v>18047</v>
      </c>
      <c r="J53" s="2" t="s">
        <v>0</v>
      </c>
      <c r="K53" s="2" t="s">
        <v>0</v>
      </c>
      <c r="L53" s="15">
        <f>(YEAR($C$3)-YEAR(C53))+(MONTH($C$3)-MONTH(C53))/12+(DAY($C$3)-DAY(C53))/365</f>
        <v>70.5</v>
      </c>
      <c r="M53" s="15">
        <f>(YEAR($C$3)-YEAR(D53))+(MONTH($C$3)-MONTH(D53))/12+(DAY($C$3)-DAY(D53))/365</f>
        <v>12.434246575342465</v>
      </c>
      <c r="N53" s="6" t="str">
        <f t="shared" si="1"/>
        <v/>
      </c>
      <c r="O53" s="16" t="str">
        <f t="shared" ref="O53:O58" si="3">IF(OR(M53&lt;2,E53="",F53=""),"",E53/F53-1)</f>
        <v/>
      </c>
    </row>
    <row r="54" spans="1:18" ht="15" x14ac:dyDescent="0.25">
      <c r="A54" s="19">
        <v>123484</v>
      </c>
      <c r="B54" s="5" t="s">
        <v>7</v>
      </c>
      <c r="C54" s="4">
        <v>18203</v>
      </c>
      <c r="D54" s="4">
        <v>37462</v>
      </c>
      <c r="E54" s="3"/>
      <c r="F54" s="3"/>
      <c r="G54" s="3"/>
      <c r="H54" s="4">
        <v>41944</v>
      </c>
      <c r="I54" s="3">
        <v>9625</v>
      </c>
      <c r="J54" s="2" t="s">
        <v>0</v>
      </c>
      <c r="K54" s="2" t="s">
        <v>5</v>
      </c>
      <c r="L54" s="15">
        <f>(YEAR($C$3)-YEAR(C54))+(MONTH($C$3)-MONTH(C54))/12+(DAY($C$3)-DAY(C54))/365</f>
        <v>65.166666666666671</v>
      </c>
      <c r="M54" s="15">
        <f>(YEAR($C$3)-YEAR(D54))+(MONTH($C$3)-MONTH(D54))/12+(DAY($C$3)-DAY(D54))/365</f>
        <v>12.434246575342465</v>
      </c>
      <c r="N54" s="6" t="str">
        <f t="shared" si="1"/>
        <v/>
      </c>
      <c r="O54" s="16" t="str">
        <f t="shared" si="3"/>
        <v/>
      </c>
    </row>
    <row r="55" spans="1:18" ht="15" x14ac:dyDescent="0.25">
      <c r="A55" s="19">
        <v>123472</v>
      </c>
      <c r="B55" s="5" t="s">
        <v>6</v>
      </c>
      <c r="C55" s="4">
        <v>19725</v>
      </c>
      <c r="D55" s="4">
        <v>37462</v>
      </c>
      <c r="E55" s="3"/>
      <c r="F55" s="3"/>
      <c r="G55" s="3"/>
      <c r="H55" s="4">
        <v>43466</v>
      </c>
      <c r="I55" s="3">
        <v>5840</v>
      </c>
      <c r="J55" s="2" t="s">
        <v>3</v>
      </c>
      <c r="K55" s="2" t="s">
        <v>5</v>
      </c>
      <c r="L55" s="15">
        <f>(YEAR($C$3)-YEAR(C55))+(MONTH($C$3)-MONTH(C55))/12+(DAY($C$3)-DAY(C55))/365</f>
        <v>61</v>
      </c>
      <c r="M55" s="15">
        <f>(YEAR($C$3)-YEAR(D55))+(MONTH($C$3)-MONTH(D55))/12+(DAY($C$3)-DAY(D55))/365</f>
        <v>12.434246575342465</v>
      </c>
      <c r="N55" s="6" t="str">
        <f t="shared" si="1"/>
        <v/>
      </c>
      <c r="O55" s="16" t="str">
        <f t="shared" si="3"/>
        <v/>
      </c>
    </row>
    <row r="56" spans="1:18" ht="15" x14ac:dyDescent="0.25">
      <c r="A56" s="19">
        <v>123466</v>
      </c>
      <c r="B56" s="5" t="s">
        <v>4</v>
      </c>
      <c r="C56" s="4">
        <v>22098</v>
      </c>
      <c r="D56" s="4">
        <v>37462</v>
      </c>
      <c r="E56" s="3"/>
      <c r="F56" s="3"/>
      <c r="G56" s="3"/>
      <c r="H56" s="4">
        <v>45839</v>
      </c>
      <c r="I56" s="3">
        <v>15804</v>
      </c>
      <c r="J56" s="2" t="s">
        <v>3</v>
      </c>
      <c r="K56" s="2" t="s">
        <v>3</v>
      </c>
      <c r="L56" s="15">
        <f>(YEAR($C$3)-YEAR(C56))+(MONTH($C$3)-MONTH(C56))/12+(DAY($C$3)-DAY(C56))/365</f>
        <v>54.5</v>
      </c>
      <c r="M56" s="15">
        <f>(YEAR($C$3)-YEAR(D56))+(MONTH($C$3)-MONTH(D56))/12+(DAY($C$3)-DAY(D56))/365</f>
        <v>12.434246575342465</v>
      </c>
      <c r="N56" s="6" t="str">
        <f t="shared" si="1"/>
        <v/>
      </c>
      <c r="O56" s="16" t="str">
        <f t="shared" si="3"/>
        <v/>
      </c>
    </row>
    <row r="57" spans="1:18" ht="15" x14ac:dyDescent="0.25">
      <c r="A57" s="19">
        <v>123465</v>
      </c>
      <c r="B57" s="5" t="s">
        <v>2</v>
      </c>
      <c r="C57" s="4">
        <v>16803</v>
      </c>
      <c r="D57" s="4">
        <v>37462</v>
      </c>
      <c r="E57" s="3"/>
      <c r="F57" s="3"/>
      <c r="G57" s="3"/>
      <c r="H57" s="4">
        <v>40544</v>
      </c>
      <c r="I57" s="3">
        <v>10349</v>
      </c>
      <c r="J57" s="2" t="s">
        <v>0</v>
      </c>
      <c r="K57" s="2" t="s">
        <v>0</v>
      </c>
      <c r="L57" s="15">
        <f>(YEAR($C$3)-YEAR(C57))+(MONTH($C$3)-MONTH(C57))/12+(DAY($C$3)-DAY(C57))/365</f>
        <v>69</v>
      </c>
      <c r="M57" s="15">
        <f>(YEAR($C$3)-YEAR(D57))+(MONTH($C$3)-MONTH(D57))/12+(DAY($C$3)-DAY(D57))/365</f>
        <v>12.434246575342465</v>
      </c>
      <c r="N57" s="6" t="str">
        <f t="shared" si="1"/>
        <v/>
      </c>
      <c r="O57" s="16" t="str">
        <f t="shared" si="3"/>
        <v/>
      </c>
    </row>
    <row r="58" spans="1:18" ht="15" x14ac:dyDescent="0.25">
      <c r="A58" s="19">
        <v>123451</v>
      </c>
      <c r="B58" s="5" t="s">
        <v>1</v>
      </c>
      <c r="C58" s="4">
        <v>13789</v>
      </c>
      <c r="D58" s="4">
        <v>37462</v>
      </c>
      <c r="E58" s="3"/>
      <c r="F58" s="3"/>
      <c r="G58" s="3"/>
      <c r="H58" s="4">
        <v>37530</v>
      </c>
      <c r="I58" s="3">
        <v>7800</v>
      </c>
      <c r="J58" s="2" t="s">
        <v>0</v>
      </c>
      <c r="K58" s="2" t="s">
        <v>0</v>
      </c>
      <c r="L58" s="15">
        <f>(YEAR($C$3)-YEAR(C58))+(MONTH($C$3)-MONTH(C58))/12+(DAY($C$3)-DAY(C58))/365</f>
        <v>77.25</v>
      </c>
      <c r="M58" s="15">
        <f>(YEAR($C$3)-YEAR(D58))+(MONTH($C$3)-MONTH(D58))/12+(DAY($C$3)-DAY(D58))/365</f>
        <v>12.434246575342465</v>
      </c>
      <c r="N58" s="6" t="str">
        <f t="shared" si="1"/>
        <v/>
      </c>
      <c r="O58" s="16" t="str">
        <f t="shared" si="3"/>
        <v/>
      </c>
    </row>
  </sheetData>
  <autoFilter ref="A5:O58" xr:uid="{921942DA-8F62-4080-BB41-7C33199FF3CA}"/>
  <pageMargins left="0.7" right="0.7" top="0.75" bottom="0.75" header="0.3" footer="0.3"/>
  <pageSetup scale="59" orientation="landscape" horizontalDpi="300" verticalDpi="300" r:id="rId1"/>
  <headerFooter>
    <oddFooter>&amp;L&amp;F
&amp;A&amp;C&amp;P of &amp;N&amp;R&amp;D
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5869-94B0-4051-A4A1-95D90D292DAE}">
  <dimension ref="A1:R16"/>
  <sheetViews>
    <sheetView workbookViewId="0">
      <selection activeCell="O11" sqref="O11"/>
    </sheetView>
  </sheetViews>
  <sheetFormatPr defaultColWidth="8.85546875" defaultRowHeight="12.75" x14ac:dyDescent="0.2"/>
  <cols>
    <col min="1" max="1" width="9.7109375" style="1" customWidth="1"/>
    <col min="2" max="2" width="20.28515625" style="1" bestFit="1" customWidth="1"/>
    <col min="3" max="3" width="12.28515625" style="1" bestFit="1" customWidth="1"/>
    <col min="4" max="4" width="11.7109375" style="1" bestFit="1" customWidth="1"/>
    <col min="5" max="7" width="11.42578125" style="1" bestFit="1" customWidth="1"/>
    <col min="8" max="9" width="11.42578125" style="1" customWidth="1"/>
    <col min="10" max="10" width="12.28515625" style="1" customWidth="1"/>
    <col min="11" max="11" width="11.28515625" style="1" customWidth="1"/>
    <col min="12" max="12" width="8.85546875" style="1"/>
    <col min="13" max="13" width="8.42578125" style="1" bestFit="1" customWidth="1"/>
    <col min="14" max="14" width="15.140625" style="1" bestFit="1" customWidth="1"/>
    <col min="15" max="15" width="14.42578125" style="1" bestFit="1" customWidth="1"/>
    <col min="16" max="16" width="11.140625" style="1" customWidth="1"/>
    <col min="17" max="17" width="10.140625" style="1" bestFit="1" customWidth="1"/>
    <col min="18" max="16384" width="8.85546875" style="1"/>
  </cols>
  <sheetData>
    <row r="1" spans="1:18" ht="13.5" customHeight="1" x14ac:dyDescent="0.25">
      <c r="A1" s="12"/>
      <c r="B1" s="12"/>
      <c r="C1" s="12"/>
      <c r="D1" s="12"/>
      <c r="E1" s="12"/>
      <c r="F1"/>
      <c r="G1"/>
      <c r="H1" s="12"/>
      <c r="I1" s="12"/>
      <c r="J1" s="12"/>
      <c r="K1" s="12"/>
      <c r="L1" s="12"/>
      <c r="M1" s="12"/>
      <c r="N1" s="12"/>
    </row>
    <row r="2" spans="1:18" ht="15.75" x14ac:dyDescent="0.25">
      <c r="A2" s="13" t="s">
        <v>71</v>
      </c>
      <c r="B2" s="12"/>
      <c r="C2" s="12"/>
      <c r="D2" s="12"/>
      <c r="E2" s="12"/>
      <c r="F2"/>
      <c r="G2"/>
      <c r="H2" s="12"/>
      <c r="I2" s="12"/>
      <c r="J2" s="12"/>
      <c r="K2" s="12"/>
      <c r="L2" s="12"/>
      <c r="M2" s="12"/>
      <c r="N2" s="12"/>
    </row>
    <row r="3" spans="1:18" ht="12" customHeight="1" x14ac:dyDescent="0.2">
      <c r="A3" s="12" t="s">
        <v>70</v>
      </c>
      <c r="B3" s="12"/>
      <c r="C3" s="14">
        <v>42005</v>
      </c>
      <c r="D3" s="12"/>
      <c r="E3" s="12"/>
      <c r="F3" s="17"/>
      <c r="G3" s="17"/>
      <c r="H3" s="12"/>
      <c r="I3" s="12"/>
      <c r="J3" s="12"/>
      <c r="K3" s="12"/>
      <c r="L3" s="12"/>
      <c r="M3" s="12"/>
      <c r="N3" s="12"/>
    </row>
    <row r="4" spans="1:18" ht="13.5" thickBot="1" x14ac:dyDescent="0.25">
      <c r="F4" s="18"/>
      <c r="G4" s="18"/>
    </row>
    <row r="5" spans="1:18" ht="25.5" x14ac:dyDescent="0.2">
      <c r="A5" s="11" t="s">
        <v>68</v>
      </c>
      <c r="B5" s="8" t="s">
        <v>67</v>
      </c>
      <c r="C5" s="10" t="s">
        <v>66</v>
      </c>
      <c r="D5" s="8" t="s">
        <v>65</v>
      </c>
      <c r="E5" s="8" t="s">
        <v>64</v>
      </c>
      <c r="F5" s="8" t="s">
        <v>63</v>
      </c>
      <c r="G5" s="8" t="s">
        <v>62</v>
      </c>
      <c r="H5" s="9" t="s">
        <v>61</v>
      </c>
      <c r="I5" s="9" t="s">
        <v>60</v>
      </c>
      <c r="J5" s="9" t="s">
        <v>59</v>
      </c>
      <c r="K5" s="9" t="s">
        <v>58</v>
      </c>
      <c r="L5" s="8" t="s">
        <v>57</v>
      </c>
      <c r="M5" s="8" t="s">
        <v>56</v>
      </c>
      <c r="N5" s="7" t="s">
        <v>55</v>
      </c>
      <c r="O5" s="7" t="s">
        <v>54</v>
      </c>
    </row>
    <row r="6" spans="1:18" ht="15" x14ac:dyDescent="0.25">
      <c r="A6" s="19">
        <v>430534</v>
      </c>
      <c r="B6" s="5" t="s">
        <v>23</v>
      </c>
      <c r="C6" s="4">
        <v>16018</v>
      </c>
      <c r="D6" s="4">
        <v>1</v>
      </c>
      <c r="E6" s="3">
        <v>102000</v>
      </c>
      <c r="F6" s="3">
        <v>2400</v>
      </c>
      <c r="G6" s="3"/>
      <c r="H6" s="4"/>
      <c r="I6" s="3"/>
      <c r="J6" s="2" t="s">
        <v>5</v>
      </c>
      <c r="K6" s="2" t="s">
        <v>5</v>
      </c>
      <c r="L6" s="15">
        <f>(YEAR($C$3)-YEAR(C6))+(MONTH($C$3)-MONTH(C6))/12+(DAY($C$3)-DAY(C6))/365</f>
        <v>71.147488584474885</v>
      </c>
      <c r="M6" s="15">
        <f>(YEAR($C$3)-YEAR(D6))+(MONTH($C$3)-MONTH(D6))/12+(DAY($C$3)-DAY(D6))/365</f>
        <v>115</v>
      </c>
      <c r="N6" s="6">
        <f>IF(AND(E6="",F6="",G6=""),"",AVERAGE(E6:G6))</f>
        <v>52200</v>
      </c>
      <c r="O6" s="16">
        <f t="shared" ref="O6:O16" si="0">IF(OR(M6&lt;2,E6="",F6=""),"",E6/F6-1)</f>
        <v>41.5</v>
      </c>
      <c r="P6" s="6"/>
      <c r="Q6" s="6"/>
      <c r="R6" s="6"/>
    </row>
    <row r="7" spans="1:18" ht="15" x14ac:dyDescent="0.25">
      <c r="A7" s="19">
        <v>489909</v>
      </c>
      <c r="B7" s="5" t="s">
        <v>18</v>
      </c>
      <c r="C7" s="4">
        <v>24490</v>
      </c>
      <c r="D7" s="4">
        <v>1</v>
      </c>
      <c r="E7" s="3">
        <v>139700</v>
      </c>
      <c r="F7" s="3">
        <v>133100</v>
      </c>
      <c r="G7" s="3">
        <v>126700</v>
      </c>
      <c r="H7" s="4"/>
      <c r="I7" s="3"/>
      <c r="J7" s="2" t="s">
        <v>5</v>
      </c>
      <c r="K7" s="2" t="s">
        <v>5</v>
      </c>
      <c r="L7" s="15">
        <f>(YEAR($C$3)-YEAR(C7))+(MONTH($C$3)-MONTH(C7))/12+(DAY($C$3)-DAY(C7))/365</f>
        <v>47.953424657534249</v>
      </c>
      <c r="M7" s="15">
        <f>(YEAR($C$3)-YEAR(D7))+(MONTH($C$3)-MONTH(D7))/12+(DAY($C$3)-DAY(D7))/365</f>
        <v>115</v>
      </c>
      <c r="N7" s="6">
        <f t="shared" ref="N7:N16" si="1">IF(AND(E7="",F7="",G7=""),"",AVERAGE(E7:G7))</f>
        <v>133166.66666666666</v>
      </c>
      <c r="O7" s="16">
        <f t="shared" si="0"/>
        <v>4.9586776859504189E-2</v>
      </c>
      <c r="P7" s="6"/>
      <c r="Q7" s="6"/>
      <c r="R7" s="6"/>
    </row>
    <row r="8" spans="1:18" ht="15" x14ac:dyDescent="0.25">
      <c r="A8" s="19">
        <v>258130</v>
      </c>
      <c r="B8" s="5" t="s">
        <v>42</v>
      </c>
      <c r="C8" s="4">
        <v>29124</v>
      </c>
      <c r="D8" s="4">
        <v>29006</v>
      </c>
      <c r="E8" s="3">
        <v>87000</v>
      </c>
      <c r="F8" s="3">
        <v>82900</v>
      </c>
      <c r="G8" s="3">
        <v>78900</v>
      </c>
      <c r="H8" s="4"/>
      <c r="I8" s="3"/>
      <c r="J8" s="2" t="s">
        <v>5</v>
      </c>
      <c r="K8" s="2" t="s">
        <v>5</v>
      </c>
      <c r="L8" s="15">
        <f>(YEAR($C$3)-YEAR(C8))+(MONTH($C$3)-MONTH(C8))/12+(DAY($C$3)-DAY(C8))/365</f>
        <v>35.264840182648406</v>
      </c>
      <c r="M8" s="15">
        <f>(YEAR($C$3)-YEAR(D8))+(MONTH($C$3)-MONTH(D8))/12+(DAY($C$3)-DAY(D8))/365</f>
        <v>35.584474885844749</v>
      </c>
      <c r="N8" s="6">
        <f t="shared" si="1"/>
        <v>82933.333333333328</v>
      </c>
      <c r="O8" s="16">
        <f t="shared" si="0"/>
        <v>4.9457177322074886E-2</v>
      </c>
      <c r="P8" s="6"/>
      <c r="Q8" s="6"/>
      <c r="R8" s="6"/>
    </row>
    <row r="9" spans="1:18" ht="15" x14ac:dyDescent="0.25">
      <c r="A9" s="19">
        <v>250067</v>
      </c>
      <c r="B9" s="5" t="s">
        <v>46</v>
      </c>
      <c r="C9" s="4" t="s">
        <v>45</v>
      </c>
      <c r="D9" s="4">
        <v>40073</v>
      </c>
      <c r="E9" s="3">
        <v>90000</v>
      </c>
      <c r="F9" s="3">
        <v>85700</v>
      </c>
      <c r="G9" s="3">
        <v>81600</v>
      </c>
      <c r="H9" s="4"/>
      <c r="I9" s="3"/>
      <c r="J9" s="2" t="s">
        <v>5</v>
      </c>
      <c r="K9" s="2" t="s">
        <v>5</v>
      </c>
      <c r="L9" s="15" t="e">
        <f>(YEAR($C$3)-YEAR(C9))+(MONTH($C$3)-MONTH(C9))/12+(DAY($C$3)-DAY(C9))/365</f>
        <v>#VALUE!</v>
      </c>
      <c r="M9" s="15">
        <f>(YEAR($C$3)-YEAR(D9))+(MONTH($C$3)-MONTH(D9))/12+(DAY($C$3)-DAY(D9))/365</f>
        <v>5.2894977168949771</v>
      </c>
      <c r="N9" s="6">
        <f t="shared" si="1"/>
        <v>85766.666666666672</v>
      </c>
      <c r="O9" s="16">
        <f t="shared" si="0"/>
        <v>5.0175029171528607E-2</v>
      </c>
      <c r="P9" s="6"/>
      <c r="Q9" s="6"/>
      <c r="R9" s="6"/>
    </row>
    <row r="10" spans="1:18" ht="15" x14ac:dyDescent="0.25">
      <c r="A10" s="19">
        <v>123451</v>
      </c>
      <c r="B10" s="5" t="s">
        <v>1</v>
      </c>
      <c r="C10" s="4">
        <v>13789</v>
      </c>
      <c r="D10" s="4"/>
      <c r="E10" s="3"/>
      <c r="F10" s="3"/>
      <c r="G10" s="3"/>
      <c r="H10" s="4">
        <v>37530</v>
      </c>
      <c r="I10" s="3">
        <v>7800</v>
      </c>
      <c r="J10" s="2" t="s">
        <v>0</v>
      </c>
      <c r="K10" s="2" t="s">
        <v>0</v>
      </c>
      <c r="L10" s="15">
        <f>(YEAR($C$3)-YEAR(C10))+(MONTH($C$3)-MONTH(C10))/12+(DAY($C$3)-DAY(C10))/365</f>
        <v>77.25</v>
      </c>
      <c r="M10" s="15">
        <f>(YEAR($C$3)-YEAR(D10))+(MONTH($C$3)-MONTH(D10))/12+(DAY($C$3)-DAY(D10))/365</f>
        <v>115.0027397260274</v>
      </c>
      <c r="N10" s="6" t="str">
        <f t="shared" si="1"/>
        <v/>
      </c>
      <c r="O10" s="16" t="str">
        <f t="shared" si="0"/>
        <v/>
      </c>
      <c r="P10" s="6"/>
    </row>
    <row r="11" spans="1:18" ht="15" x14ac:dyDescent="0.25">
      <c r="A11" s="19">
        <v>123485</v>
      </c>
      <c r="B11" s="5" t="s">
        <v>8</v>
      </c>
      <c r="C11" s="4">
        <v>16254</v>
      </c>
      <c r="D11" s="4"/>
      <c r="E11" s="3"/>
      <c r="F11" s="3"/>
      <c r="G11" s="3"/>
      <c r="H11" s="4">
        <v>39995</v>
      </c>
      <c r="I11" s="3">
        <v>18047</v>
      </c>
      <c r="J11" s="2" t="s">
        <v>0</v>
      </c>
      <c r="K11" s="2" t="s">
        <v>0</v>
      </c>
      <c r="L11" s="15">
        <f>(YEAR($C$3)-YEAR(C11))+(MONTH($C$3)-MONTH(C11))/12+(DAY($C$3)-DAY(C11))/365</f>
        <v>70.5</v>
      </c>
      <c r="M11" s="15">
        <f>(YEAR($C$3)-YEAR(D11))+(MONTH($C$3)-MONTH(D11))/12+(DAY($C$3)-DAY(D11))/365</f>
        <v>115.0027397260274</v>
      </c>
      <c r="N11" s="6" t="str">
        <f t="shared" si="1"/>
        <v/>
      </c>
      <c r="O11" s="16" t="str">
        <f t="shared" si="0"/>
        <v/>
      </c>
      <c r="P11" s="6"/>
    </row>
    <row r="12" spans="1:18" ht="15" x14ac:dyDescent="0.25">
      <c r="A12" s="19">
        <v>123465</v>
      </c>
      <c r="B12" s="5" t="s">
        <v>2</v>
      </c>
      <c r="C12" s="4">
        <v>16803</v>
      </c>
      <c r="D12" s="4"/>
      <c r="E12" s="3"/>
      <c r="F12" s="3"/>
      <c r="G12" s="3"/>
      <c r="H12" s="4">
        <v>40544</v>
      </c>
      <c r="I12" s="3">
        <v>10349</v>
      </c>
      <c r="J12" s="2" t="s">
        <v>0</v>
      </c>
      <c r="K12" s="2" t="s">
        <v>0</v>
      </c>
      <c r="L12" s="15">
        <f>(YEAR($C$3)-YEAR(C12))+(MONTH($C$3)-MONTH(C12))/12+(DAY($C$3)-DAY(C12))/365</f>
        <v>69</v>
      </c>
      <c r="M12" s="15">
        <f>(YEAR($C$3)-YEAR(D12))+(MONTH($C$3)-MONTH(D12))/12+(DAY($C$3)-DAY(D12))/365</f>
        <v>115.0027397260274</v>
      </c>
      <c r="N12" s="6" t="str">
        <f t="shared" si="1"/>
        <v/>
      </c>
      <c r="O12" s="16" t="str">
        <f t="shared" si="0"/>
        <v/>
      </c>
      <c r="P12" s="6"/>
    </row>
    <row r="13" spans="1:18" ht="15" x14ac:dyDescent="0.25">
      <c r="A13" s="19">
        <v>123484</v>
      </c>
      <c r="B13" s="5" t="s">
        <v>7</v>
      </c>
      <c r="C13" s="4">
        <v>18203</v>
      </c>
      <c r="D13" s="4"/>
      <c r="E13" s="3"/>
      <c r="F13" s="3"/>
      <c r="G13" s="3"/>
      <c r="H13" s="4">
        <v>41944</v>
      </c>
      <c r="I13" s="3">
        <v>9625</v>
      </c>
      <c r="J13" s="2" t="s">
        <v>0</v>
      </c>
      <c r="K13" s="2" t="s">
        <v>5</v>
      </c>
      <c r="L13" s="15">
        <f>(YEAR($C$3)-YEAR(C13))+(MONTH($C$3)-MONTH(C13))/12+(DAY($C$3)-DAY(C13))/365</f>
        <v>65.166666666666671</v>
      </c>
      <c r="M13" s="15">
        <f>(YEAR($C$3)-YEAR(D13))+(MONTH($C$3)-MONTH(D13))/12+(DAY($C$3)-DAY(D13))/365</f>
        <v>115.0027397260274</v>
      </c>
      <c r="N13" s="6" t="str">
        <f t="shared" si="1"/>
        <v/>
      </c>
      <c r="O13" s="16" t="str">
        <f t="shared" si="0"/>
        <v/>
      </c>
      <c r="P13" s="6"/>
    </row>
    <row r="14" spans="1:18" ht="15" x14ac:dyDescent="0.25">
      <c r="A14" s="19">
        <v>123486</v>
      </c>
      <c r="B14" s="5" t="s">
        <v>9</v>
      </c>
      <c r="C14" s="4">
        <v>19725</v>
      </c>
      <c r="D14" s="4"/>
      <c r="E14" s="3"/>
      <c r="F14" s="3"/>
      <c r="G14" s="3"/>
      <c r="H14" s="4">
        <v>43466</v>
      </c>
      <c r="I14" s="3">
        <v>8990</v>
      </c>
      <c r="J14" s="2" t="s">
        <v>3</v>
      </c>
      <c r="K14" s="2" t="s">
        <v>3</v>
      </c>
      <c r="L14" s="15">
        <f>(YEAR($C$3)-YEAR(C14))+(MONTH($C$3)-MONTH(C14))/12+(DAY($C$3)-DAY(C14))/365</f>
        <v>61</v>
      </c>
      <c r="M14" s="15">
        <f>(YEAR($C$3)-YEAR(D14))+(MONTH($C$3)-MONTH(D14))/12+(DAY($C$3)-DAY(D14))/365</f>
        <v>115.0027397260274</v>
      </c>
      <c r="N14" s="6" t="str">
        <f t="shared" si="1"/>
        <v/>
      </c>
      <c r="O14" s="16" t="str">
        <f t="shared" si="0"/>
        <v/>
      </c>
      <c r="P14" s="6"/>
    </row>
    <row r="15" spans="1:18" ht="15" x14ac:dyDescent="0.25">
      <c r="A15" s="19">
        <v>123472</v>
      </c>
      <c r="B15" s="5" t="s">
        <v>6</v>
      </c>
      <c r="C15" s="4">
        <v>19725</v>
      </c>
      <c r="D15" s="4"/>
      <c r="E15" s="3"/>
      <c r="F15" s="3"/>
      <c r="G15" s="3"/>
      <c r="H15" s="4">
        <v>43466</v>
      </c>
      <c r="I15" s="3">
        <v>5840</v>
      </c>
      <c r="J15" s="2" t="s">
        <v>3</v>
      </c>
      <c r="K15" s="2" t="s">
        <v>5</v>
      </c>
      <c r="L15" s="15">
        <f>(YEAR($C$3)-YEAR(C15))+(MONTH($C$3)-MONTH(C15))/12+(DAY($C$3)-DAY(C15))/365</f>
        <v>61</v>
      </c>
      <c r="M15" s="15">
        <f>(YEAR($C$3)-YEAR(D15))+(MONTH($C$3)-MONTH(D15))/12+(DAY($C$3)-DAY(D15))/365</f>
        <v>115.0027397260274</v>
      </c>
      <c r="N15" s="6" t="str">
        <f t="shared" si="1"/>
        <v/>
      </c>
      <c r="O15" s="16" t="str">
        <f t="shared" si="0"/>
        <v/>
      </c>
      <c r="P15" s="6"/>
    </row>
    <row r="16" spans="1:18" ht="15" x14ac:dyDescent="0.25">
      <c r="A16" s="19">
        <v>123466</v>
      </c>
      <c r="B16" s="5" t="s">
        <v>4</v>
      </c>
      <c r="C16" s="4">
        <v>22098</v>
      </c>
      <c r="D16" s="4"/>
      <c r="E16" s="3"/>
      <c r="F16" s="3"/>
      <c r="G16" s="3"/>
      <c r="H16" s="4">
        <v>45839</v>
      </c>
      <c r="I16" s="3">
        <v>15804</v>
      </c>
      <c r="J16" s="2" t="s">
        <v>3</v>
      </c>
      <c r="K16" s="2" t="s">
        <v>3</v>
      </c>
      <c r="L16" s="15">
        <f>(YEAR($C$3)-YEAR(C16))+(MONTH($C$3)-MONTH(C16))/12+(DAY($C$3)-DAY(C16))/365</f>
        <v>54.5</v>
      </c>
      <c r="M16" s="15">
        <f>(YEAR($C$3)-YEAR(D16))+(MONTH($C$3)-MONTH(D16))/12+(DAY($C$3)-DAY(D16))/365</f>
        <v>115.0027397260274</v>
      </c>
      <c r="N16" s="6" t="str">
        <f t="shared" si="1"/>
        <v/>
      </c>
      <c r="O16" s="16" t="str">
        <f t="shared" si="0"/>
        <v/>
      </c>
      <c r="P16" s="6"/>
    </row>
  </sheetData>
  <autoFilter ref="A5:O16" xr:uid="{9A3AE5D2-95C1-4986-9C5F-A7F73AC85149}">
    <sortState xmlns:xlrd2="http://schemas.microsoft.com/office/spreadsheetml/2017/richdata2" ref="A6:O16">
      <sortCondition ref="D5:D1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Employee Database</vt:lpstr>
      <vt:lpstr>Listings</vt:lpstr>
      <vt:lpstr>Listings!Criteria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2020-09-24T19:43:09Z</cp:lastPrinted>
  <dcterms:created xsi:type="dcterms:W3CDTF">2020-09-23T01:32:38Z</dcterms:created>
  <dcterms:modified xsi:type="dcterms:W3CDTF">2020-09-24T19:44:34Z</dcterms:modified>
</cp:coreProperties>
</file>