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 Value" sheetId="1" r:id="rId4"/>
  </sheets>
  <definedNames/>
  <calcPr/>
  <extLst>
    <ext uri="GoogleSheetsCustomDataVersion2">
      <go:sheetsCustomData xmlns:go="http://customooxmlschemas.google.com/" r:id="rId5" roundtripDataChecksum="OsVPFk5K6BE/6kYuvt/RpmL3WJVXdMtyfl31aQXjQlY="/>
    </ext>
  </extLst>
</workbook>
</file>

<file path=xl/sharedStrings.xml><?xml version="1.0" encoding="utf-8"?>
<sst xmlns="http://schemas.openxmlformats.org/spreadsheetml/2006/main" count="16" uniqueCount="16">
  <si>
    <t>Duration Input Section</t>
  </si>
  <si>
    <t>Discount Rate</t>
  </si>
  <si>
    <r>
      <rPr>
        <rFont val="Calibri"/>
        <color theme="1"/>
        <sz val="11.0"/>
      </rPr>
      <t xml:space="preserve">Timing of Benefit Payments </t>
    </r>
    <r>
      <rPr>
        <rFont val="Calibri"/>
        <color theme="1"/>
        <sz val="8.0"/>
      </rPr>
      <t>(1=EOY, 0.5=MOY, 0=BOY)</t>
    </r>
  </si>
  <si>
    <t>Duration Output Summary</t>
  </si>
  <si>
    <t>P = Present Value</t>
  </si>
  <si>
    <t>D = Duration</t>
  </si>
  <si>
    <t>D* = Effective Duration</t>
  </si>
  <si>
    <t>Effective Convexity</t>
  </si>
  <si>
    <t>Duration Calculation Details</t>
  </si>
  <si>
    <t>Discounted Values</t>
  </si>
  <si>
    <t>Year</t>
  </si>
  <si>
    <t>Input Benefits</t>
  </si>
  <si>
    <t>P(i)</t>
  </si>
  <si>
    <t>t*P(i)</t>
  </si>
  <si>
    <t>t*(t+1)*P(i)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</si>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</sst>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_(* #,##0_);_(* \(#,##0\);_(* &quot;-&quot;_);_(@_)"/>
    <numFmt numFmtId="166" formatCode="0.0000"/>
  </numFmts>
  <fonts count="13">
    <font>
      <sz val="11.0"/>
      <color theme="1"/>
      <name val="Calibri"/>
      <scheme val="minor"/>
    </font>
    <font>
      <b/>
      <sz val="16.0"/>
      <color theme="1"/>
      <name val="Calibri"/>
    </font>
    <font/>
    <font>
      <sz val="11.0"/>
      <color theme="1"/>
      <name val="Calibri"/>
    </font>
    <font>
      <sz val="10.0"/>
      <color theme="1"/>
      <name val="Arial"/>
    </font>
    <font>
      <b/>
      <sz val="16.0"/>
      <color theme="4"/>
      <name val="Calibri"/>
    </font>
    <font>
      <b/>
      <sz val="11.0"/>
      <color theme="9"/>
      <name val="Calibri"/>
    </font>
    <font>
      <b/>
      <sz val="14.0"/>
      <color theme="9"/>
      <name val="Calibri"/>
    </font>
    <font>
      <b/>
      <sz val="14.0"/>
      <color theme="1"/>
      <name val="Calibri"/>
    </font>
    <font>
      <b/>
      <u/>
      <sz val="11.0"/>
      <color theme="1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sz val="11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AEABAB"/>
        <bgColor rgb="FFAEABAB"/>
      </patternFill>
    </fill>
  </fills>
  <borders count="1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/>
    </xf>
    <xf borderId="0" fillId="0" fontId="3" numFmtId="0" xfId="0" applyFont="1"/>
    <xf borderId="4" fillId="3" fontId="3" numFmtId="10" xfId="0" applyAlignment="1" applyBorder="1" applyFill="1" applyFont="1" applyNumberFormat="1">
      <alignment horizontal="right"/>
    </xf>
    <xf borderId="4" fillId="3" fontId="4" numFmtId="164" xfId="0" applyAlignment="1" applyBorder="1" applyFont="1" applyNumberFormat="1">
      <alignment horizontal="left"/>
    </xf>
    <xf borderId="1" fillId="4" fontId="5" numFmtId="0" xfId="0" applyAlignment="1" applyBorder="1" applyFill="1" applyFont="1">
      <alignment horizontal="center" vertical="center"/>
    </xf>
    <xf borderId="5" fillId="0" fontId="6" numFmtId="0" xfId="0" applyAlignment="1" applyBorder="1" applyFont="1">
      <alignment horizontal="left"/>
    </xf>
    <xf borderId="6" fillId="0" fontId="2" numFmtId="0" xfId="0" applyBorder="1" applyFont="1"/>
    <xf borderId="6" fillId="0" fontId="3" numFmtId="0" xfId="0" applyBorder="1" applyFont="1"/>
    <xf borderId="7" fillId="0" fontId="3" numFmtId="165" xfId="0" applyBorder="1" applyFont="1" applyNumberFormat="1"/>
    <xf borderId="8" fillId="0" fontId="6" numFmtId="0" xfId="0" applyAlignment="1" applyBorder="1" applyFont="1">
      <alignment horizontal="left"/>
    </xf>
    <xf borderId="9" fillId="0" fontId="3" numFmtId="166" xfId="0" applyBorder="1" applyFont="1" applyNumberFormat="1"/>
    <xf borderId="10" fillId="0" fontId="6" numFmtId="0" xfId="0" applyAlignment="1" applyBorder="1" applyFont="1">
      <alignment horizontal="left"/>
    </xf>
    <xf borderId="11" fillId="0" fontId="2" numFmtId="0" xfId="0" applyBorder="1" applyFont="1"/>
    <xf borderId="11" fillId="0" fontId="3" numFmtId="0" xfId="0" applyBorder="1" applyFont="1"/>
    <xf borderId="11" fillId="0" fontId="7" numFmtId="3" xfId="0" applyAlignment="1" applyBorder="1" applyFont="1" applyNumberFormat="1">
      <alignment horizontal="right"/>
    </xf>
    <xf borderId="12" fillId="0" fontId="3" numFmtId="166" xfId="0" applyBorder="1" applyFont="1" applyNumberFormat="1"/>
    <xf borderId="1" fillId="4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/>
    </xf>
    <xf borderId="13" fillId="0" fontId="10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0" fillId="0" fontId="11" numFmtId="165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4" fillId="3" fontId="4" numFmtId="3" xfId="0" applyBorder="1" applyFont="1" applyNumberFormat="1"/>
    <xf borderId="0" fillId="0" fontId="12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/>
  <cols>
    <col customWidth="1" min="1" max="1" width="1.71"/>
    <col customWidth="1" min="2" max="2" width="5.71"/>
    <col customWidth="1" min="3" max="3" width="17.86"/>
    <col customWidth="1" min="4" max="4" width="7.86"/>
    <col customWidth="1" min="5" max="7" width="18.57"/>
    <col customWidth="1" min="8" max="26" width="8.71"/>
  </cols>
  <sheetData>
    <row r="2" ht="18.0" customHeight="1">
      <c r="B2" s="1" t="s">
        <v>0</v>
      </c>
      <c r="C2" s="2"/>
      <c r="D2" s="2"/>
      <c r="E2" s="2"/>
      <c r="F2" s="2"/>
      <c r="G2" s="3"/>
    </row>
    <row r="3" ht="3.75" customHeight="1"/>
    <row r="4">
      <c r="B4" s="4" t="s">
        <v>1</v>
      </c>
      <c r="E4" s="5"/>
      <c r="G4" s="6">
        <v>0.05</v>
      </c>
    </row>
    <row r="5">
      <c r="B5" s="4" t="s">
        <v>2</v>
      </c>
      <c r="C5" s="4"/>
      <c r="D5" s="4"/>
      <c r="E5" s="5"/>
      <c r="G5" s="7">
        <v>0.5</v>
      </c>
    </row>
    <row r="6" ht="3.75" customHeight="1"/>
    <row r="7" ht="18.0" customHeight="1">
      <c r="B7" s="8" t="s">
        <v>3</v>
      </c>
      <c r="C7" s="2"/>
      <c r="D7" s="2"/>
      <c r="E7" s="2"/>
      <c r="F7" s="2"/>
      <c r="G7" s="3"/>
    </row>
    <row r="8" ht="3.75" customHeight="1">
      <c r="A8" s="5"/>
      <c r="B8" s="5"/>
      <c r="C8" s="5"/>
      <c r="D8" s="5"/>
      <c r="E8" s="5"/>
      <c r="F8" s="5"/>
      <c r="G8" s="5"/>
    </row>
    <row r="9" ht="15.75" customHeight="1">
      <c r="A9" s="5"/>
      <c r="B9" s="9" t="s">
        <v>4</v>
      </c>
      <c r="C9" s="10"/>
      <c r="D9" s="11"/>
      <c r="E9" s="11"/>
      <c r="F9" s="11"/>
      <c r="G9" s="12">
        <f>E20</f>
        <v>1843462998</v>
      </c>
    </row>
    <row r="10" ht="15.75" customHeight="1">
      <c r="A10" s="5"/>
      <c r="B10" s="13" t="s">
        <v>5</v>
      </c>
      <c r="D10" s="5"/>
      <c r="E10" s="5"/>
      <c r="F10" s="5"/>
      <c r="G10" s="14">
        <f>F20/E20</f>
        <v>12.85913563</v>
      </c>
    </row>
    <row r="11" ht="15.75" customHeight="1">
      <c r="A11" s="5"/>
      <c r="B11" s="13" t="s">
        <v>6</v>
      </c>
      <c r="D11" s="5"/>
      <c r="E11" s="5"/>
      <c r="F11" s="5"/>
      <c r="G11" s="14">
        <f>G10/(1+G4)</f>
        <v>12.24679584</v>
      </c>
    </row>
    <row r="12" ht="15.0" customHeight="1">
      <c r="A12" s="5"/>
      <c r="B12" s="15" t="s">
        <v>7</v>
      </c>
      <c r="C12" s="16"/>
      <c r="D12" s="17"/>
      <c r="E12" s="17"/>
      <c r="F12" s="18"/>
      <c r="G12" s="19">
        <f>G20/E20/(1+G4)^2</f>
        <v>277.33751</v>
      </c>
    </row>
    <row r="13" ht="3.75" customHeight="1"/>
    <row r="14" ht="15.0" customHeight="1">
      <c r="B14" s="20" t="s">
        <v>8</v>
      </c>
      <c r="C14" s="2"/>
      <c r="D14" s="2"/>
      <c r="E14" s="2"/>
      <c r="F14" s="2"/>
      <c r="G14" s="3"/>
    </row>
    <row r="15" ht="3.75" customHeight="1"/>
    <row r="16" hidden="1"/>
    <row r="17" hidden="1"/>
    <row r="18" ht="15.0" customHeight="1">
      <c r="E18" s="21" t="s">
        <v>9</v>
      </c>
      <c r="F18" s="2"/>
      <c r="G18" s="3"/>
    </row>
    <row r="19">
      <c r="B19" s="22" t="s">
        <v>10</v>
      </c>
      <c r="C19" s="22" t="s">
        <v>11</v>
      </c>
      <c r="D19" s="22"/>
      <c r="E19" s="23" t="s">
        <v>12</v>
      </c>
      <c r="F19" s="23" t="s">
        <v>13</v>
      </c>
      <c r="G19" s="23" t="s">
        <v>14</v>
      </c>
    </row>
    <row r="20">
      <c r="B20" s="22"/>
      <c r="C20" s="22"/>
      <c r="D20" s="24" t="s">
        <v>15</v>
      </c>
      <c r="E20" s="25">
        <f t="shared" ref="E20:G20" si="1">SUM(E21:E140)</f>
        <v>1843462998</v>
      </c>
      <c r="F20" s="25">
        <f t="shared" si="1"/>
        <v>23705340731</v>
      </c>
      <c r="G20" s="25">
        <f t="shared" si="1"/>
        <v>563665735037</v>
      </c>
    </row>
    <row r="21" ht="15.75" customHeight="1">
      <c r="B21" s="26">
        <v>1.0</v>
      </c>
      <c r="C21" s="27">
        <v>1.15865041E8</v>
      </c>
      <c r="D21" s="28">
        <f>G5</f>
        <v>0.5</v>
      </c>
      <c r="E21" s="29">
        <f t="shared" ref="E21:E140" si="2">$C21/(1+$G$4)^$D21</f>
        <v>113072702</v>
      </c>
      <c r="F21" s="29">
        <f t="shared" ref="F21:F140" si="3">$D21*$E21</f>
        <v>56536350.98</v>
      </c>
      <c r="G21" s="29">
        <f t="shared" ref="G21:G140" si="4">$F21*(1+$D21)</f>
        <v>84804526.47</v>
      </c>
    </row>
    <row r="22" ht="15.75" customHeight="1">
      <c r="B22" s="26">
        <v>2.0</v>
      </c>
      <c r="C22" s="27">
        <v>1.24117616E8</v>
      </c>
      <c r="D22" s="28">
        <f t="shared" ref="D22:D140" si="5">D21+1</f>
        <v>1.5</v>
      </c>
      <c r="E22" s="29">
        <f t="shared" si="2"/>
        <v>115358467.2</v>
      </c>
      <c r="F22" s="29">
        <f t="shared" si="3"/>
        <v>173037700.7</v>
      </c>
      <c r="G22" s="29">
        <f t="shared" si="4"/>
        <v>432594251.8</v>
      </c>
    </row>
    <row r="23" ht="15.75" customHeight="1">
      <c r="B23" s="26">
        <v>3.0</v>
      </c>
      <c r="C23" s="27">
        <v>1.24858897E8</v>
      </c>
      <c r="D23" s="28">
        <f t="shared" si="5"/>
        <v>2.5</v>
      </c>
      <c r="E23" s="29">
        <f t="shared" si="2"/>
        <v>110521366.6</v>
      </c>
      <c r="F23" s="29">
        <f t="shared" si="3"/>
        <v>276303416.5</v>
      </c>
      <c r="G23" s="29">
        <f t="shared" si="4"/>
        <v>967061957.9</v>
      </c>
    </row>
    <row r="24" ht="15.75" customHeight="1">
      <c r="B24" s="26">
        <v>4.0</v>
      </c>
      <c r="C24" s="27">
        <v>1.27116668E8</v>
      </c>
      <c r="D24" s="28">
        <f t="shared" si="5"/>
        <v>3.5</v>
      </c>
      <c r="E24" s="29">
        <f t="shared" si="2"/>
        <v>107161788.6</v>
      </c>
      <c r="F24" s="29">
        <f t="shared" si="3"/>
        <v>375066260.2</v>
      </c>
      <c r="G24" s="29">
        <f t="shared" si="4"/>
        <v>1687798171</v>
      </c>
    </row>
    <row r="25" ht="15.75" customHeight="1">
      <c r="B25" s="26">
        <v>5.0</v>
      </c>
      <c r="C25" s="27">
        <v>1.27506067E8</v>
      </c>
      <c r="D25" s="28">
        <f t="shared" si="5"/>
        <v>4.5</v>
      </c>
      <c r="E25" s="29">
        <f t="shared" si="2"/>
        <v>102371485.2</v>
      </c>
      <c r="F25" s="29">
        <f t="shared" si="3"/>
        <v>460671683.4</v>
      </c>
      <c r="G25" s="29">
        <f t="shared" si="4"/>
        <v>2533694259</v>
      </c>
    </row>
    <row r="26" ht="15.75" customHeight="1">
      <c r="B26" s="26">
        <v>6.0</v>
      </c>
      <c r="C26" s="27">
        <v>1.23958708E8</v>
      </c>
      <c r="D26" s="28">
        <f t="shared" si="5"/>
        <v>5.5</v>
      </c>
      <c r="E26" s="29">
        <f t="shared" si="2"/>
        <v>94784188.48</v>
      </c>
      <c r="F26" s="29">
        <f t="shared" si="3"/>
        <v>521313036.7</v>
      </c>
      <c r="G26" s="29">
        <f t="shared" si="4"/>
        <v>3388534738</v>
      </c>
    </row>
    <row r="27" ht="15.75" customHeight="1">
      <c r="B27" s="26">
        <v>7.0</v>
      </c>
      <c r="C27" s="27">
        <v>1.24608081E8</v>
      </c>
      <c r="D27" s="28">
        <f t="shared" si="5"/>
        <v>6.5</v>
      </c>
      <c r="E27" s="29">
        <f t="shared" si="2"/>
        <v>90743549.68</v>
      </c>
      <c r="F27" s="29">
        <f t="shared" si="3"/>
        <v>589833072.9</v>
      </c>
      <c r="G27" s="29">
        <f t="shared" si="4"/>
        <v>4423748047</v>
      </c>
    </row>
    <row r="28" ht="15.75" customHeight="1">
      <c r="B28" s="26">
        <v>8.0</v>
      </c>
      <c r="C28" s="27">
        <v>1.19876082E8</v>
      </c>
      <c r="D28" s="28">
        <f t="shared" si="5"/>
        <v>7.5</v>
      </c>
      <c r="E28" s="29">
        <f t="shared" si="2"/>
        <v>83140531.61</v>
      </c>
      <c r="F28" s="29">
        <f t="shared" si="3"/>
        <v>623553987.1</v>
      </c>
      <c r="G28" s="29">
        <f t="shared" si="4"/>
        <v>5300208890</v>
      </c>
    </row>
    <row r="29" ht="15.75" customHeight="1">
      <c r="B29" s="26">
        <v>9.0</v>
      </c>
      <c r="C29" s="27">
        <v>1.171846E8</v>
      </c>
      <c r="D29" s="28">
        <f t="shared" si="5"/>
        <v>8.5</v>
      </c>
      <c r="E29" s="29">
        <f t="shared" si="2"/>
        <v>77403660.58</v>
      </c>
      <c r="F29" s="29">
        <f t="shared" si="3"/>
        <v>657931114.9</v>
      </c>
      <c r="G29" s="29">
        <f t="shared" si="4"/>
        <v>6250345592</v>
      </c>
    </row>
    <row r="30" ht="15.75" customHeight="1">
      <c r="B30" s="26">
        <v>10.0</v>
      </c>
      <c r="C30" s="27">
        <v>1.12217704E8</v>
      </c>
      <c r="D30" s="28">
        <f t="shared" si="5"/>
        <v>9.5</v>
      </c>
      <c r="E30" s="29">
        <f t="shared" si="2"/>
        <v>70593227.4</v>
      </c>
      <c r="F30" s="29">
        <f t="shared" si="3"/>
        <v>670635660.3</v>
      </c>
      <c r="G30" s="29">
        <f t="shared" si="4"/>
        <v>7041674433</v>
      </c>
    </row>
    <row r="31" ht="15.75" customHeight="1">
      <c r="B31" s="26">
        <v>11.0</v>
      </c>
      <c r="C31" s="27">
        <v>1.0745932E8</v>
      </c>
      <c r="D31" s="28">
        <f t="shared" si="5"/>
        <v>10.5</v>
      </c>
      <c r="E31" s="29">
        <f t="shared" si="2"/>
        <v>64380811.69</v>
      </c>
      <c r="F31" s="29">
        <f t="shared" si="3"/>
        <v>675998522.7</v>
      </c>
      <c r="G31" s="29">
        <f t="shared" si="4"/>
        <v>7773983011</v>
      </c>
    </row>
    <row r="32" ht="15.75" customHeight="1">
      <c r="B32" s="26">
        <v>12.0</v>
      </c>
      <c r="C32" s="27">
        <v>1.02400213E8</v>
      </c>
      <c r="D32" s="28">
        <f t="shared" si="5"/>
        <v>11.5</v>
      </c>
      <c r="E32" s="29">
        <f t="shared" si="2"/>
        <v>58428390.17</v>
      </c>
      <c r="F32" s="29">
        <f t="shared" si="3"/>
        <v>671926486.9</v>
      </c>
      <c r="G32" s="29">
        <f t="shared" si="4"/>
        <v>8399081087</v>
      </c>
    </row>
    <row r="33" ht="15.75" customHeight="1">
      <c r="B33" s="26">
        <v>13.0</v>
      </c>
      <c r="C33" s="27">
        <v>9.9599696E7</v>
      </c>
      <c r="D33" s="28">
        <f t="shared" si="5"/>
        <v>12.5</v>
      </c>
      <c r="E33" s="29">
        <f t="shared" si="2"/>
        <v>54124235.43</v>
      </c>
      <c r="F33" s="29">
        <f t="shared" si="3"/>
        <v>676552942.9</v>
      </c>
      <c r="G33" s="29">
        <f t="shared" si="4"/>
        <v>9133464729</v>
      </c>
    </row>
    <row r="34" ht="15.75" customHeight="1">
      <c r="B34" s="26">
        <v>14.0</v>
      </c>
      <c r="C34" s="27">
        <v>9.6110394E7</v>
      </c>
      <c r="D34" s="28">
        <f t="shared" si="5"/>
        <v>13.5</v>
      </c>
      <c r="E34" s="29">
        <f t="shared" si="2"/>
        <v>49741035.28</v>
      </c>
      <c r="F34" s="29">
        <f t="shared" si="3"/>
        <v>671503976.3</v>
      </c>
      <c r="G34" s="29">
        <f t="shared" si="4"/>
        <v>9736807656</v>
      </c>
    </row>
    <row r="35" ht="15.75" customHeight="1">
      <c r="B35" s="26">
        <v>15.0</v>
      </c>
      <c r="C35" s="27">
        <v>9.2944807E7</v>
      </c>
      <c r="D35" s="28">
        <f t="shared" si="5"/>
        <v>14.5</v>
      </c>
      <c r="E35" s="29">
        <f t="shared" si="2"/>
        <v>45812109.85</v>
      </c>
      <c r="F35" s="29">
        <f t="shared" si="3"/>
        <v>664275592.8</v>
      </c>
      <c r="G35" s="29">
        <f t="shared" si="4"/>
        <v>10296271689</v>
      </c>
    </row>
    <row r="36" ht="15.75" customHeight="1">
      <c r="B36" s="26">
        <v>16.0</v>
      </c>
      <c r="C36" s="27">
        <v>9.1410645E7</v>
      </c>
      <c r="D36" s="28">
        <f t="shared" si="5"/>
        <v>15.5</v>
      </c>
      <c r="E36" s="29">
        <f t="shared" si="2"/>
        <v>42910407.4</v>
      </c>
      <c r="F36" s="29">
        <f t="shared" si="3"/>
        <v>665111314.6</v>
      </c>
      <c r="G36" s="29">
        <f t="shared" si="4"/>
        <v>10974336691</v>
      </c>
    </row>
    <row r="37" ht="15.75" customHeight="1">
      <c r="B37" s="26">
        <v>17.0</v>
      </c>
      <c r="C37" s="27">
        <v>8.8799209E7</v>
      </c>
      <c r="D37" s="28">
        <f t="shared" si="5"/>
        <v>16.5</v>
      </c>
      <c r="E37" s="29">
        <f t="shared" si="2"/>
        <v>39699557.18</v>
      </c>
      <c r="F37" s="29">
        <f t="shared" si="3"/>
        <v>655042693.5</v>
      </c>
      <c r="G37" s="29">
        <f t="shared" si="4"/>
        <v>11463247136</v>
      </c>
    </row>
    <row r="38" ht="15.75" customHeight="1">
      <c r="B38" s="26">
        <v>18.0</v>
      </c>
      <c r="C38" s="27">
        <v>8.6973898E7</v>
      </c>
      <c r="D38" s="28">
        <f t="shared" si="5"/>
        <v>17.5</v>
      </c>
      <c r="E38" s="29">
        <f t="shared" si="2"/>
        <v>37031917.57</v>
      </c>
      <c r="F38" s="29">
        <f t="shared" si="3"/>
        <v>648058557.4</v>
      </c>
      <c r="G38" s="29">
        <f t="shared" si="4"/>
        <v>11989083312</v>
      </c>
    </row>
    <row r="39" ht="15.75" customHeight="1">
      <c r="B39" s="26">
        <v>19.0</v>
      </c>
      <c r="C39" s="27">
        <v>8.5496771E7</v>
      </c>
      <c r="D39" s="28">
        <f t="shared" si="5"/>
        <v>18.5</v>
      </c>
      <c r="E39" s="29">
        <f t="shared" si="2"/>
        <v>34669508.12</v>
      </c>
      <c r="F39" s="29">
        <f t="shared" si="3"/>
        <v>641385900.2</v>
      </c>
      <c r="G39" s="29">
        <f t="shared" si="4"/>
        <v>12507025053</v>
      </c>
    </row>
    <row r="40" ht="15.75" customHeight="1">
      <c r="B40" s="26">
        <v>20.0</v>
      </c>
      <c r="C40" s="27">
        <v>8.410568E7</v>
      </c>
      <c r="D40" s="28">
        <f t="shared" si="5"/>
        <v>19.5</v>
      </c>
      <c r="E40" s="29">
        <f t="shared" si="2"/>
        <v>32481344.27</v>
      </c>
      <c r="F40" s="29">
        <f t="shared" si="3"/>
        <v>633386213.3</v>
      </c>
      <c r="G40" s="29">
        <f t="shared" si="4"/>
        <v>12984417372</v>
      </c>
    </row>
    <row r="41" ht="15.75" customHeight="1">
      <c r="B41" s="26">
        <v>21.0</v>
      </c>
      <c r="C41" s="27">
        <v>8.3480277E7</v>
      </c>
      <c r="D41" s="28">
        <f t="shared" si="5"/>
        <v>20.5</v>
      </c>
      <c r="E41" s="29">
        <f t="shared" si="2"/>
        <v>30704586.32</v>
      </c>
      <c r="F41" s="29">
        <f t="shared" si="3"/>
        <v>629444019.5</v>
      </c>
      <c r="G41" s="29">
        <f t="shared" si="4"/>
        <v>13533046420</v>
      </c>
    </row>
    <row r="42" ht="15.75" customHeight="1">
      <c r="B42" s="26">
        <v>22.0</v>
      </c>
      <c r="C42" s="27">
        <v>8.2724266E7</v>
      </c>
      <c r="D42" s="28">
        <f t="shared" si="5"/>
        <v>21.5</v>
      </c>
      <c r="E42" s="29">
        <f t="shared" si="2"/>
        <v>28977638.65</v>
      </c>
      <c r="F42" s="29">
        <f t="shared" si="3"/>
        <v>623019230.9</v>
      </c>
      <c r="G42" s="29">
        <f t="shared" si="4"/>
        <v>14017932695</v>
      </c>
    </row>
    <row r="43" ht="15.75" customHeight="1">
      <c r="B43" s="26">
        <v>23.0</v>
      </c>
      <c r="C43" s="27">
        <v>8.1804835E7</v>
      </c>
      <c r="D43" s="28">
        <f t="shared" si="5"/>
        <v>22.5</v>
      </c>
      <c r="E43" s="29">
        <f t="shared" si="2"/>
        <v>27291018.51</v>
      </c>
      <c r="F43" s="29">
        <f t="shared" si="3"/>
        <v>614047916.4</v>
      </c>
      <c r="G43" s="29">
        <f t="shared" si="4"/>
        <v>14430126035</v>
      </c>
    </row>
    <row r="44" ht="15.75" customHeight="1">
      <c r="B44" s="26">
        <v>24.0</v>
      </c>
      <c r="C44" s="27">
        <v>8.1948918E7</v>
      </c>
      <c r="D44" s="28">
        <f t="shared" si="5"/>
        <v>23.5</v>
      </c>
      <c r="E44" s="29">
        <f t="shared" si="2"/>
        <v>26037224.98</v>
      </c>
      <c r="F44" s="29">
        <f t="shared" si="3"/>
        <v>611874787</v>
      </c>
      <c r="G44" s="29">
        <f t="shared" si="4"/>
        <v>14990932280</v>
      </c>
    </row>
    <row r="45" ht="15.75" customHeight="1">
      <c r="B45" s="26">
        <v>25.0</v>
      </c>
      <c r="C45" s="27">
        <v>8.0809748E7</v>
      </c>
      <c r="D45" s="28">
        <f t="shared" si="5"/>
        <v>24.5</v>
      </c>
      <c r="E45" s="29">
        <f t="shared" si="2"/>
        <v>24452649.64</v>
      </c>
      <c r="F45" s="29">
        <f t="shared" si="3"/>
        <v>599089916.1</v>
      </c>
      <c r="G45" s="29">
        <f t="shared" si="4"/>
        <v>15276792861</v>
      </c>
    </row>
    <row r="46" ht="15.75" customHeight="1">
      <c r="B46" s="26">
        <v>26.0</v>
      </c>
      <c r="C46" s="27">
        <v>8.0361578E7</v>
      </c>
      <c r="D46" s="28">
        <f t="shared" si="5"/>
        <v>25.5</v>
      </c>
      <c r="E46" s="29">
        <f t="shared" si="2"/>
        <v>23159081.43</v>
      </c>
      <c r="F46" s="29">
        <f t="shared" si="3"/>
        <v>590556576.5</v>
      </c>
      <c r="G46" s="29">
        <f t="shared" si="4"/>
        <v>15649749277</v>
      </c>
    </row>
    <row r="47" ht="15.75" customHeight="1">
      <c r="B47" s="26">
        <v>27.0</v>
      </c>
      <c r="C47" s="27">
        <v>7.961998E7</v>
      </c>
      <c r="D47" s="28">
        <f t="shared" si="5"/>
        <v>26.5</v>
      </c>
      <c r="E47" s="29">
        <f t="shared" si="2"/>
        <v>21852726.93</v>
      </c>
      <c r="F47" s="29">
        <f t="shared" si="3"/>
        <v>579097263.6</v>
      </c>
      <c r="G47" s="29">
        <f t="shared" si="4"/>
        <v>15925174748</v>
      </c>
    </row>
    <row r="48" ht="15.75" customHeight="1">
      <c r="B48" s="26">
        <v>28.0</v>
      </c>
      <c r="C48" s="27">
        <v>7.885474E7</v>
      </c>
      <c r="D48" s="28">
        <f t="shared" si="5"/>
        <v>27.5</v>
      </c>
      <c r="E48" s="29">
        <f t="shared" si="2"/>
        <v>20612092.35</v>
      </c>
      <c r="F48" s="29">
        <f t="shared" si="3"/>
        <v>566832539.8</v>
      </c>
      <c r="G48" s="29">
        <f t="shared" si="4"/>
        <v>16154727383</v>
      </c>
    </row>
    <row r="49" ht="15.75" customHeight="1">
      <c r="B49" s="26">
        <v>29.0</v>
      </c>
      <c r="C49" s="27">
        <v>7.7886007E7</v>
      </c>
      <c r="D49" s="28">
        <f t="shared" si="5"/>
        <v>28.5</v>
      </c>
      <c r="E49" s="29">
        <f t="shared" si="2"/>
        <v>19389402.04</v>
      </c>
      <c r="F49" s="29">
        <f t="shared" si="3"/>
        <v>552597958.1</v>
      </c>
      <c r="G49" s="29">
        <f t="shared" si="4"/>
        <v>16301639765</v>
      </c>
    </row>
    <row r="50" ht="15.75" customHeight="1">
      <c r="B50" s="26">
        <v>30.0</v>
      </c>
      <c r="C50" s="27">
        <v>7.661903E7</v>
      </c>
      <c r="D50" s="28">
        <f t="shared" si="5"/>
        <v>29.5</v>
      </c>
      <c r="E50" s="29">
        <f t="shared" si="2"/>
        <v>18165707.92</v>
      </c>
      <c r="F50" s="29">
        <f t="shared" si="3"/>
        <v>535888383.5</v>
      </c>
      <c r="G50" s="29">
        <f t="shared" si="4"/>
        <v>16344595697</v>
      </c>
    </row>
    <row r="51" ht="15.75" customHeight="1">
      <c r="B51" s="26">
        <v>31.0</v>
      </c>
      <c r="C51" s="27">
        <v>7.5193593E7</v>
      </c>
      <c r="D51" s="28">
        <f t="shared" si="5"/>
        <v>30.5</v>
      </c>
      <c r="E51" s="29">
        <f t="shared" si="2"/>
        <v>16978808.72</v>
      </c>
      <c r="F51" s="29">
        <f t="shared" si="3"/>
        <v>517853666</v>
      </c>
      <c r="G51" s="29">
        <f t="shared" si="4"/>
        <v>16312390479</v>
      </c>
    </row>
    <row r="52" ht="15.75" customHeight="1">
      <c r="B52" s="26">
        <v>32.0</v>
      </c>
      <c r="C52" s="27">
        <v>7.3607625E7</v>
      </c>
      <c r="D52" s="28">
        <f t="shared" si="5"/>
        <v>31.5</v>
      </c>
      <c r="E52" s="29">
        <f t="shared" si="2"/>
        <v>15829233.46</v>
      </c>
      <c r="F52" s="29">
        <f t="shared" si="3"/>
        <v>498620854</v>
      </c>
      <c r="G52" s="29">
        <f t="shared" si="4"/>
        <v>16205177756</v>
      </c>
    </row>
    <row r="53" ht="15.75" customHeight="1">
      <c r="B53" s="26">
        <v>33.0</v>
      </c>
      <c r="C53" s="27">
        <v>7.1841921E7</v>
      </c>
      <c r="D53" s="28">
        <f t="shared" si="5"/>
        <v>32.5</v>
      </c>
      <c r="E53" s="29">
        <f t="shared" si="2"/>
        <v>14713829.42</v>
      </c>
      <c r="F53" s="29">
        <f t="shared" si="3"/>
        <v>478199456</v>
      </c>
      <c r="G53" s="29">
        <f t="shared" si="4"/>
        <v>16019681776</v>
      </c>
    </row>
    <row r="54" ht="15.75" customHeight="1">
      <c r="B54" s="26">
        <v>34.0</v>
      </c>
      <c r="C54" s="27">
        <v>6.9790756E7</v>
      </c>
      <c r="D54" s="28">
        <f t="shared" si="5"/>
        <v>33.5</v>
      </c>
      <c r="E54" s="29">
        <f t="shared" si="2"/>
        <v>13613079.6</v>
      </c>
      <c r="F54" s="29">
        <f t="shared" si="3"/>
        <v>456038166.6</v>
      </c>
      <c r="G54" s="29">
        <f t="shared" si="4"/>
        <v>15733316747</v>
      </c>
    </row>
    <row r="55" ht="15.75" customHeight="1">
      <c r="B55" s="26">
        <v>35.0</v>
      </c>
      <c r="C55" s="27">
        <v>6.7562362E7</v>
      </c>
      <c r="D55" s="28">
        <f t="shared" si="5"/>
        <v>34.5</v>
      </c>
      <c r="E55" s="29">
        <f t="shared" si="2"/>
        <v>12550875.06</v>
      </c>
      <c r="F55" s="29">
        <f t="shared" si="3"/>
        <v>433005189.6</v>
      </c>
      <c r="G55" s="29">
        <f t="shared" si="4"/>
        <v>15371684229</v>
      </c>
    </row>
    <row r="56" ht="15.75" customHeight="1">
      <c r="B56" s="26">
        <v>36.0</v>
      </c>
      <c r="C56" s="27">
        <v>6.5149211E7</v>
      </c>
      <c r="D56" s="28">
        <f t="shared" si="5"/>
        <v>35.5</v>
      </c>
      <c r="E56" s="29">
        <f t="shared" si="2"/>
        <v>11526276.77</v>
      </c>
      <c r="F56" s="29">
        <f t="shared" si="3"/>
        <v>409182825.2</v>
      </c>
      <c r="G56" s="29">
        <f t="shared" si="4"/>
        <v>14935173118</v>
      </c>
    </row>
    <row r="57" ht="15.75" customHeight="1">
      <c r="B57" s="26">
        <v>37.0</v>
      </c>
      <c r="C57" s="27">
        <v>6.2602625E7</v>
      </c>
      <c r="D57" s="28">
        <f t="shared" si="5"/>
        <v>36.5</v>
      </c>
      <c r="E57" s="29">
        <f t="shared" si="2"/>
        <v>10548315.91</v>
      </c>
      <c r="F57" s="29">
        <f t="shared" si="3"/>
        <v>385013530.8</v>
      </c>
      <c r="G57" s="29">
        <f t="shared" si="4"/>
        <v>14438007404</v>
      </c>
    </row>
    <row r="58" ht="15.75" customHeight="1">
      <c r="B58" s="26">
        <v>38.0</v>
      </c>
      <c r="C58" s="27">
        <v>5.9946279E7</v>
      </c>
      <c r="D58" s="28">
        <f t="shared" si="5"/>
        <v>37.5</v>
      </c>
      <c r="E58" s="29">
        <f t="shared" si="2"/>
        <v>9619744.016</v>
      </c>
      <c r="F58" s="29">
        <f t="shared" si="3"/>
        <v>360740400.6</v>
      </c>
      <c r="G58" s="29">
        <f t="shared" si="4"/>
        <v>13888505424</v>
      </c>
    </row>
    <row r="59" ht="15.75" customHeight="1">
      <c r="B59" s="26">
        <v>39.0</v>
      </c>
      <c r="C59" s="27">
        <v>5.7191305E7</v>
      </c>
      <c r="D59" s="28">
        <f t="shared" si="5"/>
        <v>38.5</v>
      </c>
      <c r="E59" s="29">
        <f t="shared" si="2"/>
        <v>8740615.022</v>
      </c>
      <c r="F59" s="29">
        <f t="shared" si="3"/>
        <v>336513678.3</v>
      </c>
      <c r="G59" s="29">
        <f t="shared" si="4"/>
        <v>13292290294</v>
      </c>
    </row>
    <row r="60" ht="15.75" customHeight="1">
      <c r="B60" s="26">
        <v>40.0</v>
      </c>
      <c r="C60" s="27">
        <v>5.4365414E7</v>
      </c>
      <c r="D60" s="28">
        <f t="shared" si="5"/>
        <v>39.5</v>
      </c>
      <c r="E60" s="29">
        <f t="shared" si="2"/>
        <v>7913076.901</v>
      </c>
      <c r="F60" s="29">
        <f t="shared" si="3"/>
        <v>312566537.6</v>
      </c>
      <c r="G60" s="29">
        <f t="shared" si="4"/>
        <v>12658944773</v>
      </c>
    </row>
    <row r="61" ht="15.75" customHeight="1">
      <c r="B61" s="26">
        <v>41.0</v>
      </c>
      <c r="C61" s="27">
        <v>5.1487707E7</v>
      </c>
      <c r="D61" s="28">
        <f t="shared" si="5"/>
        <v>40.5</v>
      </c>
      <c r="E61" s="29">
        <f t="shared" si="2"/>
        <v>7137349.088</v>
      </c>
      <c r="F61" s="29">
        <f t="shared" si="3"/>
        <v>289062638.1</v>
      </c>
      <c r="G61" s="29">
        <f t="shared" si="4"/>
        <v>11996099480</v>
      </c>
    </row>
    <row r="62" ht="15.75" customHeight="1">
      <c r="B62" s="26">
        <v>42.0</v>
      </c>
      <c r="C62" s="27">
        <v>4.8570988E7</v>
      </c>
      <c r="D62" s="28">
        <f t="shared" si="5"/>
        <v>41.5</v>
      </c>
      <c r="E62" s="29">
        <f t="shared" si="2"/>
        <v>6412406.214</v>
      </c>
      <c r="F62" s="29">
        <f t="shared" si="3"/>
        <v>266114857.9</v>
      </c>
      <c r="G62" s="29">
        <f t="shared" si="4"/>
        <v>11309881460</v>
      </c>
    </row>
    <row r="63" ht="15.75" customHeight="1">
      <c r="B63" s="26">
        <v>43.0</v>
      </c>
      <c r="C63" s="27">
        <v>4.5633831E7</v>
      </c>
      <c r="D63" s="28">
        <f t="shared" si="5"/>
        <v>42.5</v>
      </c>
      <c r="E63" s="29">
        <f t="shared" si="2"/>
        <v>5737751.289</v>
      </c>
      <c r="F63" s="29">
        <f t="shared" si="3"/>
        <v>243854429.8</v>
      </c>
      <c r="G63" s="29">
        <f t="shared" si="4"/>
        <v>10607667696</v>
      </c>
    </row>
    <row r="64" ht="15.75" customHeight="1">
      <c r="B64" s="26">
        <v>44.0</v>
      </c>
      <c r="C64" s="27">
        <v>4.2693075E7</v>
      </c>
      <c r="D64" s="28">
        <f t="shared" si="5"/>
        <v>43.5</v>
      </c>
      <c r="E64" s="29">
        <f t="shared" si="2"/>
        <v>5112377.641</v>
      </c>
      <c r="F64" s="29">
        <f t="shared" si="3"/>
        <v>222388427.4</v>
      </c>
      <c r="G64" s="29">
        <f t="shared" si="4"/>
        <v>9896285018</v>
      </c>
    </row>
    <row r="65" ht="15.75" customHeight="1">
      <c r="B65" s="26">
        <v>45.0</v>
      </c>
      <c r="C65" s="27">
        <v>3.9767116E7</v>
      </c>
      <c r="D65" s="28">
        <f t="shared" si="5"/>
        <v>44.5</v>
      </c>
      <c r="E65" s="29">
        <f t="shared" si="2"/>
        <v>4535240.137</v>
      </c>
      <c r="F65" s="29">
        <f t="shared" si="3"/>
        <v>201818186.1</v>
      </c>
      <c r="G65" s="29">
        <f t="shared" si="4"/>
        <v>9182727467</v>
      </c>
    </row>
    <row r="66" ht="15.75" customHeight="1">
      <c r="B66" s="26">
        <v>46.0</v>
      </c>
      <c r="C66" s="27">
        <v>3.6873989E7</v>
      </c>
      <c r="D66" s="28">
        <f t="shared" si="5"/>
        <v>45.5</v>
      </c>
      <c r="E66" s="29">
        <f t="shared" si="2"/>
        <v>4005041.44</v>
      </c>
      <c r="F66" s="29">
        <f t="shared" si="3"/>
        <v>182229385.5</v>
      </c>
      <c r="G66" s="29">
        <f t="shared" si="4"/>
        <v>8473666427</v>
      </c>
    </row>
    <row r="67" ht="15.75" customHeight="1">
      <c r="B67" s="26">
        <v>47.0</v>
      </c>
      <c r="C67" s="27">
        <v>3.4030959E7</v>
      </c>
      <c r="D67" s="28">
        <f t="shared" si="5"/>
        <v>46.5</v>
      </c>
      <c r="E67" s="29">
        <f t="shared" si="2"/>
        <v>3520236.009</v>
      </c>
      <c r="F67" s="29">
        <f t="shared" si="3"/>
        <v>163690974.4</v>
      </c>
      <c r="G67" s="29">
        <f t="shared" si="4"/>
        <v>7775321284</v>
      </c>
    </row>
    <row r="68" ht="15.75" customHeight="1">
      <c r="B68" s="26">
        <v>48.0</v>
      </c>
      <c r="C68" s="27">
        <v>3.1254436E7</v>
      </c>
      <c r="D68" s="28">
        <f t="shared" si="5"/>
        <v>47.5</v>
      </c>
      <c r="E68" s="29">
        <f t="shared" si="2"/>
        <v>3079072.823</v>
      </c>
      <c r="F68" s="29">
        <f t="shared" si="3"/>
        <v>146255959.1</v>
      </c>
      <c r="G68" s="29">
        <f t="shared" si="4"/>
        <v>7093414015</v>
      </c>
    </row>
    <row r="69" ht="15.75" customHeight="1">
      <c r="B69" s="26">
        <v>49.0</v>
      </c>
      <c r="C69" s="27">
        <v>2.85597E7</v>
      </c>
      <c r="D69" s="28">
        <f t="shared" si="5"/>
        <v>48.5</v>
      </c>
      <c r="E69" s="29">
        <f t="shared" si="2"/>
        <v>2679616.456</v>
      </c>
      <c r="F69" s="29">
        <f t="shared" si="3"/>
        <v>129961398.1</v>
      </c>
      <c r="G69" s="29">
        <f t="shared" si="4"/>
        <v>6433089208</v>
      </c>
    </row>
    <row r="70" ht="15.75" customHeight="1">
      <c r="B70" s="26">
        <v>50.0</v>
      </c>
      <c r="C70" s="27">
        <v>2.5960716E7</v>
      </c>
      <c r="D70" s="28">
        <f t="shared" si="5"/>
        <v>49.5</v>
      </c>
      <c r="E70" s="29">
        <f t="shared" si="2"/>
        <v>2319777.663</v>
      </c>
      <c r="F70" s="29">
        <f t="shared" si="3"/>
        <v>114828994.3</v>
      </c>
      <c r="G70" s="29">
        <f t="shared" si="4"/>
        <v>5798864212</v>
      </c>
    </row>
    <row r="71" ht="15.75" customHeight="1">
      <c r="B71" s="26">
        <v>51.0</v>
      </c>
      <c r="C71" s="27">
        <v>2.3470014E7</v>
      </c>
      <c r="D71" s="28">
        <f t="shared" si="5"/>
        <v>50.5</v>
      </c>
      <c r="E71" s="29">
        <f t="shared" si="2"/>
        <v>1997348.03</v>
      </c>
      <c r="F71" s="29">
        <f t="shared" si="3"/>
        <v>100866075.5</v>
      </c>
      <c r="G71" s="29">
        <f t="shared" si="4"/>
        <v>5194602890</v>
      </c>
    </row>
    <row r="72" ht="15.75" customHeight="1">
      <c r="B72" s="26">
        <v>52.0</v>
      </c>
      <c r="C72" s="27">
        <v>2.1098478E7</v>
      </c>
      <c r="D72" s="28">
        <f t="shared" si="5"/>
        <v>51.5</v>
      </c>
      <c r="E72" s="29">
        <f t="shared" si="2"/>
        <v>1710024.077</v>
      </c>
      <c r="F72" s="29">
        <f t="shared" si="3"/>
        <v>88066239.96</v>
      </c>
      <c r="G72" s="29">
        <f t="shared" si="4"/>
        <v>4623477598</v>
      </c>
    </row>
    <row r="73" ht="15.75" customHeight="1">
      <c r="B73" s="26">
        <v>53.0</v>
      </c>
      <c r="C73" s="27">
        <v>1.8855027E7</v>
      </c>
      <c r="D73" s="28">
        <f t="shared" si="5"/>
        <v>52.5</v>
      </c>
      <c r="E73" s="29">
        <f t="shared" si="2"/>
        <v>1455422.074</v>
      </c>
      <c r="F73" s="29">
        <f t="shared" si="3"/>
        <v>76409658.89</v>
      </c>
      <c r="G73" s="29">
        <f t="shared" si="4"/>
        <v>4087916750</v>
      </c>
    </row>
    <row r="74" ht="15.75" customHeight="1">
      <c r="B74" s="26">
        <v>54.0</v>
      </c>
      <c r="C74" s="27">
        <v>1.6746589E7</v>
      </c>
      <c r="D74" s="28">
        <f t="shared" si="5"/>
        <v>53.5</v>
      </c>
      <c r="E74" s="29">
        <f t="shared" si="2"/>
        <v>1231115.677</v>
      </c>
      <c r="F74" s="29">
        <f t="shared" si="3"/>
        <v>65864688.72</v>
      </c>
      <c r="G74" s="29">
        <f t="shared" si="4"/>
        <v>3589625535</v>
      </c>
    </row>
    <row r="75" ht="15.75" customHeight="1">
      <c r="B75" s="26">
        <v>55.0</v>
      </c>
      <c r="C75" s="27">
        <v>1.4778135E7</v>
      </c>
      <c r="D75" s="28">
        <f t="shared" si="5"/>
        <v>54.5</v>
      </c>
      <c r="E75" s="29">
        <f t="shared" si="2"/>
        <v>1034672.319</v>
      </c>
      <c r="F75" s="29">
        <f t="shared" si="3"/>
        <v>56389641.37</v>
      </c>
      <c r="G75" s="29">
        <f t="shared" si="4"/>
        <v>3129625096</v>
      </c>
    </row>
    <row r="76" ht="15.75" customHeight="1">
      <c r="B76" s="26">
        <v>56.0</v>
      </c>
      <c r="C76" s="27">
        <v>1.2952991E7</v>
      </c>
      <c r="D76" s="28">
        <f t="shared" si="5"/>
        <v>55.5</v>
      </c>
      <c r="E76" s="29">
        <f t="shared" si="2"/>
        <v>863702.0798</v>
      </c>
      <c r="F76" s="29">
        <f t="shared" si="3"/>
        <v>47935465.43</v>
      </c>
      <c r="G76" s="29">
        <f t="shared" si="4"/>
        <v>2708353797</v>
      </c>
    </row>
    <row r="77" ht="15.75" customHeight="1">
      <c r="B77" s="26">
        <v>57.0</v>
      </c>
      <c r="C77" s="27">
        <v>1.1272645E7</v>
      </c>
      <c r="D77" s="28">
        <f t="shared" si="5"/>
        <v>56.5</v>
      </c>
      <c r="E77" s="29">
        <f t="shared" si="2"/>
        <v>715863.8518</v>
      </c>
      <c r="F77" s="29">
        <f t="shared" si="3"/>
        <v>40446307.63</v>
      </c>
      <c r="G77" s="29">
        <f t="shared" si="4"/>
        <v>2325662689</v>
      </c>
    </row>
    <row r="78" ht="15.75" customHeight="1">
      <c r="B78" s="26">
        <v>58.0</v>
      </c>
      <c r="C78" s="27">
        <v>9736853.0</v>
      </c>
      <c r="D78" s="28">
        <f t="shared" si="5"/>
        <v>57.5</v>
      </c>
      <c r="E78" s="29">
        <f t="shared" si="2"/>
        <v>588889.6438</v>
      </c>
      <c r="F78" s="29">
        <f t="shared" si="3"/>
        <v>33861154.52</v>
      </c>
      <c r="G78" s="29">
        <f t="shared" si="4"/>
        <v>1980877539</v>
      </c>
    </row>
    <row r="79" ht="15.75" customHeight="1">
      <c r="B79" s="26">
        <v>59.0</v>
      </c>
      <c r="C79" s="27">
        <v>8343992.0</v>
      </c>
      <c r="D79" s="28">
        <f t="shared" si="5"/>
        <v>58.5</v>
      </c>
      <c r="E79" s="29">
        <f t="shared" si="2"/>
        <v>480617.8357</v>
      </c>
      <c r="F79" s="29">
        <f t="shared" si="3"/>
        <v>28116143.39</v>
      </c>
      <c r="G79" s="29">
        <f t="shared" si="4"/>
        <v>1672910532</v>
      </c>
    </row>
    <row r="80" ht="15.75" customHeight="1">
      <c r="B80" s="26">
        <v>60.0</v>
      </c>
      <c r="C80" s="27">
        <v>7090877.0</v>
      </c>
      <c r="D80" s="28">
        <f t="shared" si="5"/>
        <v>59.5</v>
      </c>
      <c r="E80" s="29">
        <f t="shared" si="2"/>
        <v>388988.4062</v>
      </c>
      <c r="F80" s="29">
        <f t="shared" si="3"/>
        <v>23144810.17</v>
      </c>
      <c r="G80" s="29">
        <f t="shared" si="4"/>
        <v>1400261015</v>
      </c>
    </row>
    <row r="81" ht="15.75" customHeight="1">
      <c r="B81" s="26">
        <v>61.0</v>
      </c>
      <c r="C81" s="27">
        <v>5972904.0</v>
      </c>
      <c r="D81" s="28">
        <f t="shared" si="5"/>
        <v>60.5</v>
      </c>
      <c r="E81" s="29">
        <f t="shared" si="2"/>
        <v>312056.2899</v>
      </c>
      <c r="F81" s="29">
        <f t="shared" si="3"/>
        <v>18879405.54</v>
      </c>
      <c r="G81" s="29">
        <f t="shared" si="4"/>
        <v>1161083441</v>
      </c>
    </row>
    <row r="82" ht="15.75" customHeight="1">
      <c r="B82" s="26">
        <v>62.0</v>
      </c>
      <c r="C82" s="27">
        <v>4984448.0</v>
      </c>
      <c r="D82" s="28">
        <f t="shared" si="5"/>
        <v>61.5</v>
      </c>
      <c r="E82" s="29">
        <f t="shared" si="2"/>
        <v>248013.4175</v>
      </c>
      <c r="F82" s="29">
        <f t="shared" si="3"/>
        <v>15252825.18</v>
      </c>
      <c r="G82" s="29">
        <f t="shared" si="4"/>
        <v>953301573.6</v>
      </c>
    </row>
    <row r="83" ht="15.75" customHeight="1">
      <c r="B83" s="26">
        <v>63.0</v>
      </c>
      <c r="C83" s="27">
        <v>4118833.0</v>
      </c>
      <c r="D83" s="28">
        <f t="shared" si="5"/>
        <v>62.5</v>
      </c>
      <c r="E83" s="29">
        <f t="shared" si="2"/>
        <v>195183.4507</v>
      </c>
      <c r="F83" s="29">
        <f t="shared" si="3"/>
        <v>12198965.67</v>
      </c>
      <c r="G83" s="29">
        <f t="shared" si="4"/>
        <v>774634320</v>
      </c>
    </row>
    <row r="84" ht="15.75" customHeight="1">
      <c r="B84" s="26">
        <v>64.0</v>
      </c>
      <c r="C84" s="27">
        <v>3368321.0</v>
      </c>
      <c r="D84" s="28">
        <f t="shared" si="5"/>
        <v>63.5</v>
      </c>
      <c r="E84" s="29">
        <f t="shared" si="2"/>
        <v>152017.2886</v>
      </c>
      <c r="F84" s="29">
        <f t="shared" si="3"/>
        <v>9653097.823</v>
      </c>
      <c r="G84" s="29">
        <f t="shared" si="4"/>
        <v>622624809.6</v>
      </c>
    </row>
    <row r="85" ht="15.75" customHeight="1">
      <c r="B85" s="26">
        <v>65.0</v>
      </c>
      <c r="C85" s="27">
        <v>2724444.0</v>
      </c>
      <c r="D85" s="28">
        <f t="shared" si="5"/>
        <v>64.5</v>
      </c>
      <c r="E85" s="29">
        <f t="shared" si="2"/>
        <v>117103.0201</v>
      </c>
      <c r="F85" s="29">
        <f t="shared" si="3"/>
        <v>7553144.793</v>
      </c>
      <c r="G85" s="29">
        <f t="shared" si="4"/>
        <v>494730984</v>
      </c>
    </row>
    <row r="86" ht="15.75" customHeight="1">
      <c r="B86" s="26">
        <v>66.0</v>
      </c>
      <c r="C86" s="27">
        <v>2178230.0</v>
      </c>
      <c r="D86" s="28">
        <f t="shared" si="5"/>
        <v>65.5</v>
      </c>
      <c r="E86" s="29">
        <f t="shared" si="2"/>
        <v>89167.10079</v>
      </c>
      <c r="F86" s="29">
        <f t="shared" si="3"/>
        <v>5840445.102</v>
      </c>
      <c r="G86" s="29">
        <f t="shared" si="4"/>
        <v>388389599.3</v>
      </c>
    </row>
    <row r="87" ht="15.75" customHeight="1">
      <c r="B87" s="26">
        <v>67.0</v>
      </c>
      <c r="C87" s="27">
        <v>1720342.0</v>
      </c>
      <c r="D87" s="28">
        <f t="shared" si="5"/>
        <v>66.5</v>
      </c>
      <c r="E87" s="29">
        <f t="shared" si="2"/>
        <v>67069.70623</v>
      </c>
      <c r="F87" s="29">
        <f t="shared" si="3"/>
        <v>4460135.464</v>
      </c>
      <c r="G87" s="29">
        <f t="shared" si="4"/>
        <v>301059143.8</v>
      </c>
    </row>
    <row r="88" ht="15.75" customHeight="1">
      <c r="B88" s="26">
        <v>68.0</v>
      </c>
      <c r="C88" s="27">
        <v>1341281.0</v>
      </c>
      <c r="D88" s="28">
        <f t="shared" si="5"/>
        <v>67.5</v>
      </c>
      <c r="E88" s="29">
        <f t="shared" si="2"/>
        <v>49801.4612</v>
      </c>
      <c r="F88" s="29">
        <f t="shared" si="3"/>
        <v>3361598.631</v>
      </c>
      <c r="G88" s="29">
        <f t="shared" si="4"/>
        <v>230269506.2</v>
      </c>
    </row>
    <row r="89" ht="15.75" customHeight="1">
      <c r="B89" s="26">
        <v>69.0</v>
      </c>
      <c r="C89" s="27">
        <v>1031616.0</v>
      </c>
      <c r="D89" s="28">
        <f t="shared" si="5"/>
        <v>68.5</v>
      </c>
      <c r="E89" s="29">
        <f t="shared" si="2"/>
        <v>36479.68529</v>
      </c>
      <c r="F89" s="29">
        <f t="shared" si="3"/>
        <v>2498858.442</v>
      </c>
      <c r="G89" s="29">
        <f t="shared" si="4"/>
        <v>173670661.7</v>
      </c>
    </row>
    <row r="90" ht="15.75" customHeight="1">
      <c r="B90" s="26">
        <v>70.0</v>
      </c>
      <c r="C90" s="27">
        <v>782163.0</v>
      </c>
      <c r="D90" s="28">
        <f t="shared" si="5"/>
        <v>69.5</v>
      </c>
      <c r="E90" s="29">
        <f t="shared" si="2"/>
        <v>26341.52915</v>
      </c>
      <c r="F90" s="29">
        <f t="shared" si="3"/>
        <v>1830736.276</v>
      </c>
      <c r="G90" s="29">
        <f t="shared" si="4"/>
        <v>129066907.5</v>
      </c>
    </row>
    <row r="91" ht="15.75" customHeight="1">
      <c r="B91" s="26">
        <v>71.0</v>
      </c>
      <c r="C91" s="27">
        <v>584162.0</v>
      </c>
      <c r="D91" s="28">
        <f t="shared" si="5"/>
        <v>70.5</v>
      </c>
      <c r="E91" s="29">
        <f t="shared" si="2"/>
        <v>18736.46767</v>
      </c>
      <c r="F91" s="29">
        <f t="shared" si="3"/>
        <v>1320920.971</v>
      </c>
      <c r="G91" s="29">
        <f t="shared" si="4"/>
        <v>94445849.42</v>
      </c>
    </row>
    <row r="92" ht="15.75" customHeight="1">
      <c r="B92" s="26">
        <v>72.0</v>
      </c>
      <c r="C92" s="27">
        <v>429429.0</v>
      </c>
      <c r="D92" s="28">
        <f t="shared" si="5"/>
        <v>71.5</v>
      </c>
      <c r="E92" s="29">
        <f t="shared" si="2"/>
        <v>13117.6635</v>
      </c>
      <c r="F92" s="29">
        <f t="shared" si="3"/>
        <v>937912.9406</v>
      </c>
      <c r="G92" s="29">
        <f t="shared" si="4"/>
        <v>67998688.19</v>
      </c>
    </row>
    <row r="93" ht="15.75" customHeight="1">
      <c r="B93" s="26">
        <v>73.0</v>
      </c>
      <c r="C93" s="27">
        <v>310471.0</v>
      </c>
      <c r="D93" s="28">
        <f t="shared" si="5"/>
        <v>72.5</v>
      </c>
      <c r="E93" s="29">
        <f t="shared" si="2"/>
        <v>9032.268888</v>
      </c>
      <c r="F93" s="29">
        <f t="shared" si="3"/>
        <v>654839.4944</v>
      </c>
      <c r="G93" s="29">
        <f t="shared" si="4"/>
        <v>48130702.84</v>
      </c>
    </row>
    <row r="94" ht="15.75" customHeight="1">
      <c r="B94" s="26">
        <v>74.0</v>
      </c>
      <c r="C94" s="27">
        <v>220569.0</v>
      </c>
      <c r="D94" s="28">
        <f t="shared" si="5"/>
        <v>73.5</v>
      </c>
      <c r="E94" s="29">
        <f t="shared" si="2"/>
        <v>6111.26326</v>
      </c>
      <c r="F94" s="29">
        <f t="shared" si="3"/>
        <v>449177.8496</v>
      </c>
      <c r="G94" s="29">
        <f t="shared" si="4"/>
        <v>33463749.8</v>
      </c>
    </row>
    <row r="95" ht="15.75" customHeight="1">
      <c r="B95" s="26">
        <v>75.0</v>
      </c>
      <c r="C95" s="27">
        <v>153843.0</v>
      </c>
      <c r="D95" s="28">
        <f t="shared" si="5"/>
        <v>74.5</v>
      </c>
      <c r="E95" s="29">
        <f t="shared" si="2"/>
        <v>4059.522562</v>
      </c>
      <c r="F95" s="29">
        <f t="shared" si="3"/>
        <v>302434.4309</v>
      </c>
      <c r="G95" s="29">
        <f t="shared" si="4"/>
        <v>22833799.53</v>
      </c>
    </row>
    <row r="96" ht="15.75" customHeight="1">
      <c r="B96" s="26">
        <v>76.0</v>
      </c>
      <c r="C96" s="27">
        <v>105256.0</v>
      </c>
      <c r="D96" s="28">
        <f t="shared" si="5"/>
        <v>75.5</v>
      </c>
      <c r="E96" s="29">
        <f t="shared" si="2"/>
        <v>2645.177268</v>
      </c>
      <c r="F96" s="29">
        <f t="shared" si="3"/>
        <v>199710.8838</v>
      </c>
      <c r="G96" s="29">
        <f t="shared" si="4"/>
        <v>15277882.61</v>
      </c>
    </row>
    <row r="97" ht="15.75" customHeight="1">
      <c r="B97" s="26">
        <v>77.0</v>
      </c>
      <c r="C97" s="27">
        <v>70574.0</v>
      </c>
      <c r="D97" s="28">
        <f t="shared" si="5"/>
        <v>76.5</v>
      </c>
      <c r="E97" s="29">
        <f t="shared" si="2"/>
        <v>1689.131085</v>
      </c>
      <c r="F97" s="29">
        <f t="shared" si="3"/>
        <v>129218.528</v>
      </c>
      <c r="G97" s="29">
        <f t="shared" si="4"/>
        <v>10014435.92</v>
      </c>
    </row>
    <row r="98" ht="15.75" customHeight="1">
      <c r="B98" s="26">
        <v>78.0</v>
      </c>
      <c r="C98" s="27">
        <v>46331.0</v>
      </c>
      <c r="D98" s="28">
        <f t="shared" si="5"/>
        <v>77.5</v>
      </c>
      <c r="E98" s="29">
        <f t="shared" si="2"/>
        <v>1056.09016</v>
      </c>
      <c r="F98" s="29">
        <f t="shared" si="3"/>
        <v>81846.98739</v>
      </c>
      <c r="G98" s="29">
        <f t="shared" si="4"/>
        <v>6424988.51</v>
      </c>
    </row>
    <row r="99" ht="15.75" customHeight="1">
      <c r="B99" s="26">
        <v>79.0</v>
      </c>
      <c r="C99" s="27">
        <v>29750.0</v>
      </c>
      <c r="D99" s="28">
        <f t="shared" si="5"/>
        <v>78.5</v>
      </c>
      <c r="E99" s="29">
        <f t="shared" si="2"/>
        <v>645.8430539</v>
      </c>
      <c r="F99" s="29">
        <f t="shared" si="3"/>
        <v>50698.67973</v>
      </c>
      <c r="G99" s="29">
        <f t="shared" si="4"/>
        <v>4030545.039</v>
      </c>
    </row>
    <row r="100" ht="15.75" customHeight="1">
      <c r="B100" s="26">
        <v>80.0</v>
      </c>
      <c r="C100" s="27">
        <v>18672.0</v>
      </c>
      <c r="D100" s="28">
        <f t="shared" si="5"/>
        <v>79.5</v>
      </c>
      <c r="E100" s="29">
        <f t="shared" si="2"/>
        <v>386.0482274</v>
      </c>
      <c r="F100" s="29">
        <f t="shared" si="3"/>
        <v>30690.83408</v>
      </c>
      <c r="G100" s="29">
        <f t="shared" si="4"/>
        <v>2470612.143</v>
      </c>
    </row>
    <row r="101" ht="15.75" customHeight="1">
      <c r="B101" s="26">
        <v>81.0</v>
      </c>
      <c r="C101" s="27">
        <v>11447.0</v>
      </c>
      <c r="D101" s="28">
        <f t="shared" si="5"/>
        <v>80.5</v>
      </c>
      <c r="E101" s="29">
        <f t="shared" si="2"/>
        <v>225.3995827</v>
      </c>
      <c r="F101" s="29">
        <f t="shared" si="3"/>
        <v>18144.66641</v>
      </c>
      <c r="G101" s="29">
        <f t="shared" si="4"/>
        <v>1478790.312</v>
      </c>
    </row>
    <row r="102" ht="15.75" customHeight="1">
      <c r="B102" s="26">
        <v>82.0</v>
      </c>
      <c r="C102" s="27">
        <v>6847.0</v>
      </c>
      <c r="D102" s="28">
        <f t="shared" si="5"/>
        <v>81.5</v>
      </c>
      <c r="E102" s="29">
        <f t="shared" si="2"/>
        <v>128.4021967</v>
      </c>
      <c r="F102" s="29">
        <f t="shared" si="3"/>
        <v>10464.77903</v>
      </c>
      <c r="G102" s="29">
        <f t="shared" si="4"/>
        <v>863344.27</v>
      </c>
    </row>
    <row r="103" ht="15.75" customHeight="1">
      <c r="B103" s="26">
        <v>83.0</v>
      </c>
      <c r="C103" s="27">
        <v>3995.0</v>
      </c>
      <c r="D103" s="28">
        <f t="shared" si="5"/>
        <v>82.5</v>
      </c>
      <c r="E103" s="29">
        <f t="shared" si="2"/>
        <v>71.35092544</v>
      </c>
      <c r="F103" s="29">
        <f t="shared" si="3"/>
        <v>5886.451349</v>
      </c>
      <c r="G103" s="29">
        <f t="shared" si="4"/>
        <v>491518.6876</v>
      </c>
    </row>
    <row r="104" ht="15.75" customHeight="1">
      <c r="B104" s="26">
        <v>84.0</v>
      </c>
      <c r="C104" s="27">
        <v>2274.0</v>
      </c>
      <c r="D104" s="28">
        <f t="shared" si="5"/>
        <v>83.5</v>
      </c>
      <c r="E104" s="29">
        <f t="shared" si="2"/>
        <v>38.67977935</v>
      </c>
      <c r="F104" s="29">
        <f t="shared" si="3"/>
        <v>3229.761576</v>
      </c>
      <c r="G104" s="29">
        <f t="shared" si="4"/>
        <v>272914.8532</v>
      </c>
    </row>
    <row r="105" ht="15.75" customHeight="1">
      <c r="B105" s="26">
        <v>85.0</v>
      </c>
      <c r="C105" s="27">
        <v>1263.0</v>
      </c>
      <c r="D105" s="28">
        <f t="shared" si="5"/>
        <v>84.5</v>
      </c>
      <c r="E105" s="29">
        <f t="shared" si="2"/>
        <v>20.46009186</v>
      </c>
      <c r="F105" s="29">
        <f t="shared" si="3"/>
        <v>1728.877762</v>
      </c>
      <c r="G105" s="29">
        <f t="shared" si="4"/>
        <v>147819.0486</v>
      </c>
    </row>
    <row r="106" ht="15.75" customHeight="1">
      <c r="B106" s="26">
        <v>86.0</v>
      </c>
      <c r="C106" s="27">
        <v>685.0</v>
      </c>
      <c r="D106" s="28">
        <f t="shared" si="5"/>
        <v>85.5</v>
      </c>
      <c r="E106" s="29">
        <f t="shared" si="2"/>
        <v>10.56830896</v>
      </c>
      <c r="F106" s="29">
        <f t="shared" si="3"/>
        <v>903.5904157</v>
      </c>
      <c r="G106" s="29">
        <f t="shared" si="4"/>
        <v>78160.57096</v>
      </c>
    </row>
    <row r="107" ht="15.75" customHeight="1">
      <c r="B107" s="26">
        <v>87.0</v>
      </c>
      <c r="C107" s="27">
        <v>363.0</v>
      </c>
      <c r="D107" s="28">
        <f t="shared" si="5"/>
        <v>86.5</v>
      </c>
      <c r="E107" s="29">
        <f t="shared" si="2"/>
        <v>5.333745083</v>
      </c>
      <c r="F107" s="29">
        <f t="shared" si="3"/>
        <v>461.3689497</v>
      </c>
      <c r="G107" s="29">
        <f t="shared" si="4"/>
        <v>40369.7831</v>
      </c>
    </row>
    <row r="108" ht="15.75" customHeight="1">
      <c r="B108" s="26">
        <v>88.0</v>
      </c>
      <c r="C108" s="27">
        <v>187.0</v>
      </c>
      <c r="D108" s="28">
        <f t="shared" si="5"/>
        <v>87.5</v>
      </c>
      <c r="E108" s="29">
        <f t="shared" si="2"/>
        <v>2.616844629</v>
      </c>
      <c r="F108" s="29">
        <f t="shared" si="3"/>
        <v>228.9739051</v>
      </c>
      <c r="G108" s="29">
        <f t="shared" si="4"/>
        <v>20264.1906</v>
      </c>
    </row>
    <row r="109" ht="15.75" customHeight="1">
      <c r="B109" s="26">
        <v>89.0</v>
      </c>
      <c r="C109" s="27">
        <v>94.0</v>
      </c>
      <c r="D109" s="28">
        <f t="shared" si="5"/>
        <v>88.5</v>
      </c>
      <c r="E109" s="29">
        <f t="shared" si="2"/>
        <v>1.252780215</v>
      </c>
      <c r="F109" s="29">
        <f t="shared" si="3"/>
        <v>110.871049</v>
      </c>
      <c r="G109" s="29">
        <f t="shared" si="4"/>
        <v>9922.958886</v>
      </c>
    </row>
    <row r="110" ht="15.75" customHeight="1">
      <c r="B110" s="26">
        <v>90.0</v>
      </c>
      <c r="C110" s="27">
        <v>45.0</v>
      </c>
      <c r="D110" s="28">
        <f t="shared" si="5"/>
        <v>89.5</v>
      </c>
      <c r="E110" s="29">
        <f t="shared" si="2"/>
        <v>0.5711763897</v>
      </c>
      <c r="F110" s="29">
        <f t="shared" si="3"/>
        <v>51.12028688</v>
      </c>
      <c r="G110" s="29">
        <f t="shared" si="4"/>
        <v>4626.385962</v>
      </c>
    </row>
    <row r="111" ht="15.75" customHeight="1">
      <c r="B111" s="26">
        <v>91.0</v>
      </c>
      <c r="C111" s="27">
        <v>21.0</v>
      </c>
      <c r="D111" s="28">
        <f t="shared" si="5"/>
        <v>90.5</v>
      </c>
      <c r="E111" s="29">
        <f t="shared" si="2"/>
        <v>0.2538561732</v>
      </c>
      <c r="F111" s="29">
        <f t="shared" si="3"/>
        <v>22.97398367</v>
      </c>
      <c r="G111" s="29">
        <f t="shared" si="4"/>
        <v>2102.119506</v>
      </c>
    </row>
    <row r="112" ht="15.75" customHeight="1">
      <c r="B112" s="26">
        <v>92.0</v>
      </c>
      <c r="C112" s="27">
        <v>9.0</v>
      </c>
      <c r="D112" s="28">
        <f t="shared" si="5"/>
        <v>91.5</v>
      </c>
      <c r="E112" s="29">
        <f t="shared" si="2"/>
        <v>0.1036147646</v>
      </c>
      <c r="F112" s="29">
        <f t="shared" si="3"/>
        <v>9.480750958</v>
      </c>
      <c r="G112" s="29">
        <f t="shared" si="4"/>
        <v>876.9694636</v>
      </c>
    </row>
    <row r="113" ht="15.75" customHeight="1">
      <c r="B113" s="26">
        <v>93.0</v>
      </c>
      <c r="C113" s="27">
        <v>4.0</v>
      </c>
      <c r="D113" s="28">
        <f t="shared" si="5"/>
        <v>92.5</v>
      </c>
      <c r="E113" s="29">
        <f t="shared" si="2"/>
        <v>0.0438581014</v>
      </c>
      <c r="F113" s="29">
        <f t="shared" si="3"/>
        <v>4.05687438</v>
      </c>
      <c r="G113" s="29">
        <f t="shared" si="4"/>
        <v>379.3177545</v>
      </c>
    </row>
    <row r="114" ht="15.75" customHeight="1">
      <c r="B114" s="26">
        <v>94.0</v>
      </c>
      <c r="C114" s="27">
        <v>2.0</v>
      </c>
      <c r="D114" s="28">
        <f t="shared" si="5"/>
        <v>93.5</v>
      </c>
      <c r="E114" s="29">
        <f t="shared" si="2"/>
        <v>0.02088481019</v>
      </c>
      <c r="F114" s="29">
        <f t="shared" si="3"/>
        <v>1.952729753</v>
      </c>
      <c r="G114" s="29">
        <f t="shared" si="4"/>
        <v>184.5329617</v>
      </c>
    </row>
    <row r="115" ht="15.75" customHeight="1">
      <c r="B115" s="26">
        <v>95.0</v>
      </c>
      <c r="C115" s="27">
        <v>1.0</v>
      </c>
      <c r="D115" s="28">
        <f t="shared" si="5"/>
        <v>94.5</v>
      </c>
      <c r="E115" s="29">
        <f t="shared" si="2"/>
        <v>0.009945147711</v>
      </c>
      <c r="F115" s="29">
        <f t="shared" si="3"/>
        <v>0.9398164587</v>
      </c>
      <c r="G115" s="29">
        <f t="shared" si="4"/>
        <v>89.7524718</v>
      </c>
    </row>
    <row r="116" ht="15.75" customHeight="1">
      <c r="B116" s="26">
        <v>96.0</v>
      </c>
      <c r="C116" s="27">
        <v>0.0</v>
      </c>
      <c r="D116" s="28">
        <f t="shared" si="5"/>
        <v>95.5</v>
      </c>
      <c r="E116" s="29">
        <f t="shared" si="2"/>
        <v>0</v>
      </c>
      <c r="F116" s="29">
        <f t="shared" si="3"/>
        <v>0</v>
      </c>
      <c r="G116" s="29">
        <f t="shared" si="4"/>
        <v>0</v>
      </c>
    </row>
    <row r="117" ht="15.75" customHeight="1">
      <c r="B117" s="26">
        <v>97.0</v>
      </c>
      <c r="C117" s="27">
        <v>0.0</v>
      </c>
      <c r="D117" s="28">
        <f t="shared" si="5"/>
        <v>96.5</v>
      </c>
      <c r="E117" s="29">
        <f t="shared" si="2"/>
        <v>0</v>
      </c>
      <c r="F117" s="29">
        <f t="shared" si="3"/>
        <v>0</v>
      </c>
      <c r="G117" s="29">
        <f t="shared" si="4"/>
        <v>0</v>
      </c>
    </row>
    <row r="118" ht="15.75" customHeight="1">
      <c r="B118" s="26">
        <v>98.0</v>
      </c>
      <c r="C118" s="27">
        <v>0.0</v>
      </c>
      <c r="D118" s="28">
        <f t="shared" si="5"/>
        <v>97.5</v>
      </c>
      <c r="E118" s="29">
        <f t="shared" si="2"/>
        <v>0</v>
      </c>
      <c r="F118" s="29">
        <f t="shared" si="3"/>
        <v>0</v>
      </c>
      <c r="G118" s="29">
        <f t="shared" si="4"/>
        <v>0</v>
      </c>
    </row>
    <row r="119" ht="15.75" customHeight="1">
      <c r="B119" s="26">
        <v>99.0</v>
      </c>
      <c r="C119" s="27">
        <v>0.0</v>
      </c>
      <c r="D119" s="28">
        <f t="shared" si="5"/>
        <v>98.5</v>
      </c>
      <c r="E119" s="29">
        <f t="shared" si="2"/>
        <v>0</v>
      </c>
      <c r="F119" s="29">
        <f t="shared" si="3"/>
        <v>0</v>
      </c>
      <c r="G119" s="29">
        <f t="shared" si="4"/>
        <v>0</v>
      </c>
    </row>
    <row r="120" ht="15.75" customHeight="1">
      <c r="B120" s="26">
        <v>100.0</v>
      </c>
      <c r="C120" s="27">
        <v>0.0</v>
      </c>
      <c r="D120" s="28">
        <f t="shared" si="5"/>
        <v>99.5</v>
      </c>
      <c r="E120" s="29">
        <f t="shared" si="2"/>
        <v>0</v>
      </c>
      <c r="F120" s="29">
        <f t="shared" si="3"/>
        <v>0</v>
      </c>
      <c r="G120" s="29">
        <f t="shared" si="4"/>
        <v>0</v>
      </c>
    </row>
    <row r="121" ht="15.75" customHeight="1">
      <c r="B121" s="26">
        <v>101.0</v>
      </c>
      <c r="C121" s="27">
        <v>0.0</v>
      </c>
      <c r="D121" s="28">
        <f t="shared" si="5"/>
        <v>100.5</v>
      </c>
      <c r="E121" s="29">
        <f t="shared" si="2"/>
        <v>0</v>
      </c>
      <c r="F121" s="29">
        <f t="shared" si="3"/>
        <v>0</v>
      </c>
      <c r="G121" s="29">
        <f t="shared" si="4"/>
        <v>0</v>
      </c>
    </row>
    <row r="122" ht="15.75" customHeight="1">
      <c r="B122" s="26">
        <v>102.0</v>
      </c>
      <c r="C122" s="27">
        <v>0.0</v>
      </c>
      <c r="D122" s="28">
        <f t="shared" si="5"/>
        <v>101.5</v>
      </c>
      <c r="E122" s="29">
        <f t="shared" si="2"/>
        <v>0</v>
      </c>
      <c r="F122" s="29">
        <f t="shared" si="3"/>
        <v>0</v>
      </c>
      <c r="G122" s="29">
        <f t="shared" si="4"/>
        <v>0</v>
      </c>
    </row>
    <row r="123" ht="15.75" customHeight="1">
      <c r="B123" s="26">
        <v>103.0</v>
      </c>
      <c r="C123" s="27">
        <v>0.0</v>
      </c>
      <c r="D123" s="28">
        <f t="shared" si="5"/>
        <v>102.5</v>
      </c>
      <c r="E123" s="29">
        <f t="shared" si="2"/>
        <v>0</v>
      </c>
      <c r="F123" s="29">
        <f t="shared" si="3"/>
        <v>0</v>
      </c>
      <c r="G123" s="29">
        <f t="shared" si="4"/>
        <v>0</v>
      </c>
    </row>
    <row r="124" ht="15.75" customHeight="1">
      <c r="B124" s="26">
        <v>104.0</v>
      </c>
      <c r="C124" s="27">
        <v>0.0</v>
      </c>
      <c r="D124" s="28">
        <f t="shared" si="5"/>
        <v>103.5</v>
      </c>
      <c r="E124" s="29">
        <f t="shared" si="2"/>
        <v>0</v>
      </c>
      <c r="F124" s="29">
        <f t="shared" si="3"/>
        <v>0</v>
      </c>
      <c r="G124" s="29">
        <f t="shared" si="4"/>
        <v>0</v>
      </c>
    </row>
    <row r="125" ht="15.75" customHeight="1">
      <c r="B125" s="26">
        <v>105.0</v>
      </c>
      <c r="C125" s="27">
        <v>0.0</v>
      </c>
      <c r="D125" s="28">
        <f t="shared" si="5"/>
        <v>104.5</v>
      </c>
      <c r="E125" s="29">
        <f t="shared" si="2"/>
        <v>0</v>
      </c>
      <c r="F125" s="29">
        <f t="shared" si="3"/>
        <v>0</v>
      </c>
      <c r="G125" s="29">
        <f t="shared" si="4"/>
        <v>0</v>
      </c>
    </row>
    <row r="126" ht="15.75" customHeight="1">
      <c r="B126" s="26">
        <v>106.0</v>
      </c>
      <c r="C126" s="27">
        <v>0.0</v>
      </c>
      <c r="D126" s="28">
        <f t="shared" si="5"/>
        <v>105.5</v>
      </c>
      <c r="E126" s="29">
        <f t="shared" si="2"/>
        <v>0</v>
      </c>
      <c r="F126" s="29">
        <f t="shared" si="3"/>
        <v>0</v>
      </c>
      <c r="G126" s="29">
        <f t="shared" si="4"/>
        <v>0</v>
      </c>
    </row>
    <row r="127" ht="15.75" customHeight="1">
      <c r="B127" s="26">
        <v>107.0</v>
      </c>
      <c r="C127" s="27">
        <v>0.0</v>
      </c>
      <c r="D127" s="28">
        <f t="shared" si="5"/>
        <v>106.5</v>
      </c>
      <c r="E127" s="29">
        <f t="shared" si="2"/>
        <v>0</v>
      </c>
      <c r="F127" s="29">
        <f t="shared" si="3"/>
        <v>0</v>
      </c>
      <c r="G127" s="29">
        <f t="shared" si="4"/>
        <v>0</v>
      </c>
    </row>
    <row r="128" ht="15.75" customHeight="1">
      <c r="B128" s="26">
        <v>108.0</v>
      </c>
      <c r="C128" s="27">
        <v>0.0</v>
      </c>
      <c r="D128" s="28">
        <f t="shared" si="5"/>
        <v>107.5</v>
      </c>
      <c r="E128" s="29">
        <f t="shared" si="2"/>
        <v>0</v>
      </c>
      <c r="F128" s="29">
        <f t="shared" si="3"/>
        <v>0</v>
      </c>
      <c r="G128" s="29">
        <f t="shared" si="4"/>
        <v>0</v>
      </c>
    </row>
    <row r="129" ht="15.75" customHeight="1">
      <c r="B129" s="26">
        <v>109.0</v>
      </c>
      <c r="C129" s="27">
        <v>0.0</v>
      </c>
      <c r="D129" s="28">
        <f t="shared" si="5"/>
        <v>108.5</v>
      </c>
      <c r="E129" s="29">
        <f t="shared" si="2"/>
        <v>0</v>
      </c>
      <c r="F129" s="29">
        <f t="shared" si="3"/>
        <v>0</v>
      </c>
      <c r="G129" s="29">
        <f t="shared" si="4"/>
        <v>0</v>
      </c>
    </row>
    <row r="130" ht="15.75" customHeight="1">
      <c r="B130" s="26">
        <v>110.0</v>
      </c>
      <c r="C130" s="27">
        <v>0.0</v>
      </c>
      <c r="D130" s="28">
        <f t="shared" si="5"/>
        <v>109.5</v>
      </c>
      <c r="E130" s="29">
        <f t="shared" si="2"/>
        <v>0</v>
      </c>
      <c r="F130" s="29">
        <f t="shared" si="3"/>
        <v>0</v>
      </c>
      <c r="G130" s="29">
        <f t="shared" si="4"/>
        <v>0</v>
      </c>
    </row>
    <row r="131" ht="15.75" customHeight="1">
      <c r="B131" s="26">
        <v>111.0</v>
      </c>
      <c r="C131" s="27">
        <v>0.0</v>
      </c>
      <c r="D131" s="28">
        <f t="shared" si="5"/>
        <v>110.5</v>
      </c>
      <c r="E131" s="29">
        <f t="shared" si="2"/>
        <v>0</v>
      </c>
      <c r="F131" s="29">
        <f t="shared" si="3"/>
        <v>0</v>
      </c>
      <c r="G131" s="29">
        <f t="shared" si="4"/>
        <v>0</v>
      </c>
    </row>
    <row r="132" ht="15.75" customHeight="1">
      <c r="B132" s="26">
        <v>112.0</v>
      </c>
      <c r="C132" s="27">
        <v>0.0</v>
      </c>
      <c r="D132" s="28">
        <f t="shared" si="5"/>
        <v>111.5</v>
      </c>
      <c r="E132" s="29">
        <f t="shared" si="2"/>
        <v>0</v>
      </c>
      <c r="F132" s="29">
        <f t="shared" si="3"/>
        <v>0</v>
      </c>
      <c r="G132" s="29">
        <f t="shared" si="4"/>
        <v>0</v>
      </c>
    </row>
    <row r="133" ht="15.75" customHeight="1">
      <c r="B133" s="26">
        <v>113.0</v>
      </c>
      <c r="C133" s="27">
        <v>0.0</v>
      </c>
      <c r="D133" s="28">
        <f t="shared" si="5"/>
        <v>112.5</v>
      </c>
      <c r="E133" s="29">
        <f t="shared" si="2"/>
        <v>0</v>
      </c>
      <c r="F133" s="29">
        <f t="shared" si="3"/>
        <v>0</v>
      </c>
      <c r="G133" s="29">
        <f t="shared" si="4"/>
        <v>0</v>
      </c>
    </row>
    <row r="134" ht="15.75" customHeight="1">
      <c r="B134" s="26">
        <v>114.0</v>
      </c>
      <c r="C134" s="27">
        <v>0.0</v>
      </c>
      <c r="D134" s="28">
        <f t="shared" si="5"/>
        <v>113.5</v>
      </c>
      <c r="E134" s="29">
        <f t="shared" si="2"/>
        <v>0</v>
      </c>
      <c r="F134" s="29">
        <f t="shared" si="3"/>
        <v>0</v>
      </c>
      <c r="G134" s="29">
        <f t="shared" si="4"/>
        <v>0</v>
      </c>
    </row>
    <row r="135" ht="15.75" customHeight="1">
      <c r="B135" s="26">
        <v>115.0</v>
      </c>
      <c r="C135" s="27">
        <v>0.0</v>
      </c>
      <c r="D135" s="28">
        <f t="shared" si="5"/>
        <v>114.5</v>
      </c>
      <c r="E135" s="29">
        <f t="shared" si="2"/>
        <v>0</v>
      </c>
      <c r="F135" s="29">
        <f t="shared" si="3"/>
        <v>0</v>
      </c>
      <c r="G135" s="29">
        <f t="shared" si="4"/>
        <v>0</v>
      </c>
    </row>
    <row r="136" ht="15.75" customHeight="1">
      <c r="B136" s="26">
        <v>116.0</v>
      </c>
      <c r="C136" s="27">
        <v>0.0</v>
      </c>
      <c r="D136" s="28">
        <f t="shared" si="5"/>
        <v>115.5</v>
      </c>
      <c r="E136" s="29">
        <f t="shared" si="2"/>
        <v>0</v>
      </c>
      <c r="F136" s="29">
        <f t="shared" si="3"/>
        <v>0</v>
      </c>
      <c r="G136" s="29">
        <f t="shared" si="4"/>
        <v>0</v>
      </c>
    </row>
    <row r="137" ht="15.75" customHeight="1">
      <c r="B137" s="26">
        <v>117.0</v>
      </c>
      <c r="C137" s="27">
        <v>0.0</v>
      </c>
      <c r="D137" s="28">
        <f t="shared" si="5"/>
        <v>116.5</v>
      </c>
      <c r="E137" s="29">
        <f t="shared" si="2"/>
        <v>0</v>
      </c>
      <c r="F137" s="29">
        <f t="shared" si="3"/>
        <v>0</v>
      </c>
      <c r="G137" s="29">
        <f t="shared" si="4"/>
        <v>0</v>
      </c>
    </row>
    <row r="138" ht="15.75" customHeight="1">
      <c r="B138" s="26">
        <v>118.0</v>
      </c>
      <c r="C138" s="27">
        <v>0.0</v>
      </c>
      <c r="D138" s="28">
        <f t="shared" si="5"/>
        <v>117.5</v>
      </c>
      <c r="E138" s="29">
        <f t="shared" si="2"/>
        <v>0</v>
      </c>
      <c r="F138" s="29">
        <f t="shared" si="3"/>
        <v>0</v>
      </c>
      <c r="G138" s="29">
        <f t="shared" si="4"/>
        <v>0</v>
      </c>
    </row>
    <row r="139" ht="15.75" customHeight="1">
      <c r="B139" s="26">
        <v>119.0</v>
      </c>
      <c r="C139" s="27">
        <v>0.0</v>
      </c>
      <c r="D139" s="28">
        <f t="shared" si="5"/>
        <v>118.5</v>
      </c>
      <c r="E139" s="29">
        <f t="shared" si="2"/>
        <v>0</v>
      </c>
      <c r="F139" s="29">
        <f t="shared" si="3"/>
        <v>0</v>
      </c>
      <c r="G139" s="29">
        <f t="shared" si="4"/>
        <v>0</v>
      </c>
    </row>
    <row r="140" ht="15.75" customHeight="1">
      <c r="B140" s="26">
        <v>120.0</v>
      </c>
      <c r="C140" s="27">
        <v>0.0</v>
      </c>
      <c r="D140" s="28">
        <f t="shared" si="5"/>
        <v>119.5</v>
      </c>
      <c r="E140" s="29">
        <f t="shared" si="2"/>
        <v>0</v>
      </c>
      <c r="F140" s="29">
        <f t="shared" si="3"/>
        <v>0</v>
      </c>
      <c r="G140" s="29">
        <f t="shared" si="4"/>
        <v>0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G2"/>
    <mergeCell ref="B7:G7"/>
    <mergeCell ref="B9:C9"/>
    <mergeCell ref="B10:C10"/>
    <mergeCell ref="B11:C11"/>
    <mergeCell ref="B12:C12"/>
    <mergeCell ref="B14:G14"/>
    <mergeCell ref="E18:G18"/>
  </mergeCells>
  <printOptions/>
  <pageMargins bottom="0.75" footer="0.0" header="0.0" left="0.7" right="0.7" top="0.75"/>
  <pageSetup orientation="portrait"/>
  <headerFooter>
    <oddFooter>&amp;L&amp;F &amp;A&amp;C&amp;P of &amp;R&amp;D &amp;T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2020-08-28T00:06:59Z</dcterms:created>
  <dc:creator>Sean G</dc:creator>
</cp:coreProperties>
</file>