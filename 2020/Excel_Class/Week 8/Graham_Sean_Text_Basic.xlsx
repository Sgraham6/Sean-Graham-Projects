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8\"/>
    </mc:Choice>
  </mc:AlternateContent>
  <xr:revisionPtr revIDLastSave="0" documentId="8_{4324AC00-6AB2-4AB1-936D-C90351A75EC9}" xr6:coauthVersionLast="45" xr6:coauthVersionMax="45" xr10:uidLastSave="{00000000-0000-0000-0000-000000000000}"/>
  <bookViews>
    <workbookView xWindow="810" yWindow="-120" windowWidth="19800" windowHeight="11760" activeTab="1" xr2:uid="{18C3A6FA-AE87-40BA-80EC-E08DB7371880}"/>
  </bookViews>
  <sheets>
    <sheet name="Records" sheetId="1" r:id="rId1"/>
    <sheet name="SB Input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_xlnm.Print_Area" localSheetId="1">'SB Input'!$A$1:$K$41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8" i="2" l="1"/>
  <c r="C27" i="2" s="1"/>
  <c r="C23" i="2" l="1"/>
  <c r="C22" i="2"/>
  <c r="C21" i="2"/>
  <c r="H38" i="2"/>
  <c r="G38" i="2"/>
  <c r="C33" i="2"/>
  <c r="I65" i="2"/>
  <c r="I58" i="2"/>
  <c r="I60" i="2" s="1"/>
  <c r="I55" i="2"/>
  <c r="I56" i="2" s="1"/>
  <c r="I57" i="2" s="1"/>
  <c r="C30" i="2" s="1"/>
  <c r="I47" i="2"/>
  <c r="I48" i="2" s="1"/>
  <c r="I49" i="2" s="1"/>
  <c r="I50" i="2" s="1"/>
  <c r="I51" i="2" s="1"/>
  <c r="I52" i="2" s="1"/>
  <c r="I53" i="2" s="1"/>
  <c r="I54" i="2" s="1"/>
  <c r="G27" i="2" s="1"/>
  <c r="I69" i="2" l="1"/>
  <c r="I70" i="2"/>
  <c r="I67" i="2"/>
  <c r="I61" i="2"/>
  <c r="I62" i="2" s="1"/>
  <c r="I63" i="2" s="1"/>
  <c r="I59" i="2"/>
  <c r="I71" i="2" l="1"/>
  <c r="H35" i="2" s="1"/>
  <c r="I68" i="2"/>
  <c r="G35" i="2" s="1"/>
  <c r="I66" i="2"/>
  <c r="C35" i="2" s="1"/>
  <c r="I64" i="2"/>
  <c r="G30" i="2" s="1"/>
</calcChain>
</file>

<file path=xl/sharedStrings.xml><?xml version="1.0" encoding="utf-8"?>
<sst xmlns="http://schemas.openxmlformats.org/spreadsheetml/2006/main" count="109" uniqueCount="92">
  <si>
    <t>Grading Policy</t>
  </si>
  <si>
    <t>Grade</t>
  </si>
  <si>
    <t>Percentage</t>
  </si>
  <si>
    <t>A</t>
  </si>
  <si>
    <t>to</t>
  </si>
  <si>
    <t>A-</t>
  </si>
  <si>
    <t>B+</t>
  </si>
  <si>
    <t>B</t>
  </si>
  <si>
    <t>B-</t>
  </si>
  <si>
    <t>C+</t>
  </si>
  <si>
    <t>C</t>
  </si>
  <si>
    <t>C-</t>
  </si>
  <si>
    <t>D</t>
  </si>
  <si>
    <t>F</t>
  </si>
  <si>
    <t>Total</t>
  </si>
  <si>
    <t>Quizzes</t>
  </si>
  <si>
    <t>Homework</t>
  </si>
  <si>
    <t>Name</t>
  </si>
  <si>
    <t>Points</t>
  </si>
  <si>
    <t>Final</t>
  </si>
  <si>
    <t>Mid-Term</t>
  </si>
  <si>
    <t>Klendshoj,Roxanne L</t>
  </si>
  <si>
    <t>Doll Woolley,Jeanne M</t>
  </si>
  <si>
    <t>Bartho,Jerome F</t>
  </si>
  <si>
    <t>Benson,Scott G</t>
  </si>
  <si>
    <t>Aho,Diane M</t>
  </si>
  <si>
    <t>Larson,DeeAnn S</t>
  </si>
  <si>
    <t>Nelson,Susann K</t>
  </si>
  <si>
    <t>Asche,Tracy A</t>
  </si>
  <si>
    <t>Carlson,Robert L</t>
  </si>
  <si>
    <t>Donovan,Richard G</t>
  </si>
  <si>
    <t>Shapiro,Susan R</t>
  </si>
  <si>
    <t>Johnson,Bruce D</t>
  </si>
  <si>
    <t>Input Information For Schedule SB</t>
  </si>
  <si>
    <t>Plan Year Starting Date</t>
  </si>
  <si>
    <t>Client Name</t>
  </si>
  <si>
    <t>EIN</t>
  </si>
  <si>
    <t>Plan Number (PN)</t>
  </si>
  <si>
    <r>
      <t xml:space="preserve">Enrolled Actuary </t>
    </r>
    <r>
      <rPr>
        <sz val="9"/>
        <color theme="1"/>
        <rFont val="Calibri"/>
        <family val="2"/>
        <scheme val="minor"/>
      </rPr>
      <t>(First name (middle name) Last name)</t>
    </r>
  </si>
  <si>
    <t>Enrollment #</t>
  </si>
  <si>
    <t>Telephone #</t>
  </si>
  <si>
    <t>Firm Name</t>
  </si>
  <si>
    <t>Address Line 1 (street number and name)</t>
  </si>
  <si>
    <t>Address Line 2 (City, State, &amp; Zip code)</t>
  </si>
  <si>
    <t>XYZ, Inc.</t>
  </si>
  <si>
    <t>Pension Plan</t>
  </si>
  <si>
    <t>99-3456789</t>
  </si>
  <si>
    <t>Hillary Clintonwife</t>
  </si>
  <si>
    <t>05-08788</t>
  </si>
  <si>
    <t>(201) 903.2300</t>
  </si>
  <si>
    <t>Mellon Consultants, LLC</t>
  </si>
  <si>
    <t>500 Plaza Drive</t>
  </si>
  <si>
    <t>St. Louis, MO 07097</t>
  </si>
  <si>
    <t>Output Exhibit</t>
  </si>
  <si>
    <t>Certification Selection:</t>
  </si>
  <si>
    <t>Telephone Number</t>
  </si>
  <si>
    <t>Enrollment Number</t>
  </si>
  <si>
    <t>Print or type last name</t>
  </si>
  <si>
    <t>Print or type first name</t>
  </si>
  <si>
    <t>Street Address</t>
  </si>
  <si>
    <t>City</t>
  </si>
  <si>
    <t>State</t>
  </si>
  <si>
    <t>Zip Code</t>
  </si>
  <si>
    <t>Signature of Enrolled Actuary</t>
  </si>
  <si>
    <t>Day</t>
  </si>
  <si>
    <t>Month</t>
  </si>
  <si>
    <t>Year</t>
  </si>
  <si>
    <t>-</t>
  </si>
  <si>
    <t>.</t>
  </si>
  <si>
    <t>(</t>
  </si>
  <si>
    <t>)</t>
  </si>
  <si>
    <t xml:space="preserve"> </t>
  </si>
  <si>
    <t>Phone Number</t>
  </si>
  <si>
    <t>replacing</t>
  </si>
  <si>
    <t>space</t>
  </si>
  <si>
    <t>bracket (</t>
  </si>
  <si>
    <t>bracket )</t>
  </si>
  <si>
    <t>period</t>
  </si>
  <si>
    <t>hyphen</t>
  </si>
  <si>
    <t>First name</t>
  </si>
  <si>
    <t>Position of first space</t>
  </si>
  <si>
    <t>Last name (assuming last name is one word)</t>
  </si>
  <si>
    <t># of characters</t>
  </si>
  <si>
    <t>Replace spaces by zero length sequence</t>
  </si>
  <si>
    <t># of spaces</t>
  </si>
  <si>
    <t>Replace the last space by $</t>
  </si>
  <si>
    <t>Position of the last space</t>
  </si>
  <si>
    <t>Input:</t>
  </si>
  <si>
    <t>Zip code</t>
  </si>
  <si>
    <t>Position of last space</t>
  </si>
  <si>
    <t>Position of the Comma</t>
  </si>
  <si>
    <t>For Internal Use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</si>
</sst>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8" fillId="0" borderId="0" applyNumberFormat="0" applyFill="0" applyBorder="0" applyAlignment="0" applyProtection="0"/>
  </cellStyleXfs>
  <cellXfs count="67">
    <xf numFmtId="0" fontId="0" fillId="0" borderId="0" xfId="0"/>
    <xf numFmtId="0" fontId="1" fillId="0" borderId="0" xfId="1"/>
    <xf numFmtId="0" fontId="2" fillId="0" borderId="4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center" vertical="top" wrapText="1"/>
    </xf>
    <xf numFmtId="0" fontId="1" fillId="0" borderId="6" xfId="1" applyBorder="1"/>
    <xf numFmtId="0" fontId="3" fillId="0" borderId="7" xfId="1" applyFont="1" applyBorder="1" applyAlignment="1">
      <alignment horizontal="left" vertical="top" wrapText="1"/>
    </xf>
    <xf numFmtId="0" fontId="4" fillId="0" borderId="0" xfId="1" applyFont="1" applyAlignment="1">
      <alignment horizontal="center" vertical="top" wrapText="1"/>
    </xf>
    <xf numFmtId="10" fontId="4" fillId="0" borderId="0" xfId="1" applyNumberFormat="1" applyFont="1" applyAlignment="1">
      <alignment horizontal="right" vertical="top" wrapText="1"/>
    </xf>
    <xf numFmtId="164" fontId="4" fillId="0" borderId="0" xfId="1" applyNumberFormat="1" applyFont="1" applyAlignment="1">
      <alignment horizontal="left" vertical="top" wrapText="1"/>
    </xf>
    <xf numFmtId="0" fontId="3" fillId="0" borderId="8" xfId="1" applyFont="1" applyBorder="1" applyAlignment="1">
      <alignment horizontal="left" vertical="top" wrapText="1"/>
    </xf>
    <xf numFmtId="10" fontId="4" fillId="0" borderId="0" xfId="1" applyNumberFormat="1" applyFont="1" applyAlignment="1">
      <alignment horizontal="left" vertical="top" wrapText="1"/>
    </xf>
    <xf numFmtId="0" fontId="3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center" vertical="top" wrapText="1"/>
    </xf>
    <xf numFmtId="10" fontId="4" fillId="0" borderId="10" xfId="1" applyNumberFormat="1" applyFont="1" applyBorder="1" applyAlignment="1">
      <alignment horizontal="right" vertical="top" wrapText="1"/>
    </xf>
    <xf numFmtId="10" fontId="4" fillId="0" borderId="10" xfId="1" applyNumberFormat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0" fontId="5" fillId="0" borderId="0" xfId="2"/>
    <xf numFmtId="0" fontId="6" fillId="0" borderId="0" xfId="2" applyFont="1" applyAlignment="1">
      <alignment horizontal="center"/>
    </xf>
    <xf numFmtId="0" fontId="7" fillId="0" borderId="0" xfId="2" applyFont="1"/>
    <xf numFmtId="0" fontId="7" fillId="0" borderId="0" xfId="2" applyFont="1" applyAlignment="1">
      <alignment horizontal="center"/>
    </xf>
    <xf numFmtId="0" fontId="5" fillId="3" borderId="0" xfId="2" applyFill="1"/>
    <xf numFmtId="0" fontId="8" fillId="3" borderId="0" xfId="3" applyFill="1" applyAlignment="1" applyProtection="1"/>
    <xf numFmtId="0" fontId="5" fillId="0" borderId="0" xfId="2" applyAlignment="1">
      <alignment horizontal="center"/>
    </xf>
    <xf numFmtId="0" fontId="5" fillId="3" borderId="0" xfId="2" applyFill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4" borderId="0" xfId="0" applyFill="1" applyBorder="1"/>
    <xf numFmtId="0" fontId="0" fillId="4" borderId="0" xfId="0" applyFill="1" applyBorder="1" applyAlignment="1">
      <alignment horizontal="right"/>
    </xf>
    <xf numFmtId="14" fontId="0" fillId="4" borderId="0" xfId="0" applyNumberFormat="1" applyFill="1" applyBorder="1" applyAlignment="1">
      <alignment horizontal="right"/>
    </xf>
    <xf numFmtId="0" fontId="12" fillId="0" borderId="0" xfId="0" applyFont="1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4" fillId="0" borderId="0" xfId="0" applyFont="1" applyBorder="1"/>
    <xf numFmtId="0" fontId="0" fillId="0" borderId="0" xfId="0" applyAlignment="1">
      <alignment horizontal="right"/>
    </xf>
    <xf numFmtId="0" fontId="14" fillId="0" borderId="13" xfId="0" applyFont="1" applyBorder="1" applyAlignment="1">
      <alignment horizontal="center"/>
    </xf>
    <xf numFmtId="0" fontId="2" fillId="2" borderId="1" xfId="1" applyFont="1" applyFill="1" applyBorder="1" applyAlignment="1">
      <alignment horizontal="center" vertical="top" wrapText="1"/>
    </xf>
    <xf numFmtId="0" fontId="2" fillId="2" borderId="2" xfId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horizontal="center" vertical="top" wrapText="1"/>
    </xf>
    <xf numFmtId="0" fontId="3" fillId="0" borderId="5" xfId="1" applyFont="1" applyBorder="1" applyAlignment="1">
      <alignment horizontal="center" vertical="top" wrapText="1"/>
    </xf>
    <xf numFmtId="0" fontId="6" fillId="0" borderId="12" xfId="2" applyFont="1" applyBorder="1" applyAlignment="1">
      <alignment horizontal="center"/>
    </xf>
    <xf numFmtId="0" fontId="14" fillId="0" borderId="1" xfId="0" applyFont="1" applyBorder="1" applyAlignment="1">
      <alignment horizontal="right"/>
    </xf>
    <xf numFmtId="0" fontId="14" fillId="0" borderId="2" xfId="0" applyFont="1" applyBorder="1" applyAlignment="1">
      <alignment horizontal="right"/>
    </xf>
    <xf numFmtId="0" fontId="14" fillId="0" borderId="3" xfId="0" applyFont="1" applyBorder="1" applyAlignment="1">
      <alignment horizontal="right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</cellXfs>
  <cellStyles count="4">
    <cellStyle name="Hyperlink 2" xfId="3" xr:uid="{32F3FF97-319C-49C3-94C0-0F799D9CE16D}"/>
    <cellStyle name="Normal" xfId="0" builtinId="0"/>
    <cellStyle name="Normal 2" xfId="2" xr:uid="{88A00D05-5F60-4F8B-B9D7-FDEF28E89125}"/>
    <cellStyle name="Normal 4" xfId="1" xr:uid="{AE487521-84D8-4783-85A0-5DDE78F98A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DD72-3DE3-44EB-91E5-22B8D3E24CDF}">
  <dimension ref="A1:X27"/>
  <sheetViews>
    <sheetView workbookViewId="0">
      <selection activeCell="F12" sqref="F12"/>
    </sheetView>
  </sheetViews>
  <sheetFormatPr defaultColWidth="8.85546875" defaultRowHeight="15" x14ac:dyDescent="0.25"/>
  <cols>
    <col min="1" max="5" width="8.85546875" style="1"/>
    <col min="6" max="6" width="1.7109375" style="1" customWidth="1"/>
    <col min="7" max="16384" width="8.85546875" style="1"/>
  </cols>
  <sheetData>
    <row r="1" spans="1:24" ht="16.5" thickBot="1" x14ac:dyDescent="0.3">
      <c r="A1" s="40" t="s">
        <v>0</v>
      </c>
      <c r="B1" s="41"/>
      <c r="C1" s="41"/>
      <c r="D1" s="41"/>
      <c r="E1" s="41"/>
      <c r="F1" s="42"/>
    </row>
    <row r="2" spans="1:24" ht="16.5" thickBot="1" x14ac:dyDescent="0.3">
      <c r="A2" s="2"/>
      <c r="B2" s="3" t="s">
        <v>1</v>
      </c>
      <c r="C2" s="43" t="s">
        <v>2</v>
      </c>
      <c r="D2" s="43"/>
      <c r="E2" s="43"/>
      <c r="F2" s="4"/>
    </row>
    <row r="3" spans="1:24" ht="15.75" thickTop="1" x14ac:dyDescent="0.25">
      <c r="A3" s="5"/>
      <c r="B3" s="6" t="s">
        <v>3</v>
      </c>
      <c r="C3" s="7">
        <v>0.95</v>
      </c>
      <c r="D3" s="6" t="s">
        <v>4</v>
      </c>
      <c r="E3" s="8">
        <v>1</v>
      </c>
      <c r="F3" s="9"/>
    </row>
    <row r="4" spans="1:24" x14ac:dyDescent="0.25">
      <c r="A4" s="5"/>
      <c r="B4" s="6" t="s">
        <v>5</v>
      </c>
      <c r="C4" s="7">
        <v>0.92</v>
      </c>
      <c r="D4" s="6" t="s">
        <v>4</v>
      </c>
      <c r="E4" s="10">
        <v>0.94989999999999997</v>
      </c>
      <c r="F4" s="9"/>
    </row>
    <row r="5" spans="1:24" x14ac:dyDescent="0.25">
      <c r="A5" s="5"/>
      <c r="B5" s="6" t="s">
        <v>6</v>
      </c>
      <c r="C5" s="7">
        <v>0.9</v>
      </c>
      <c r="D5" s="6" t="s">
        <v>4</v>
      </c>
      <c r="E5" s="10">
        <v>0.91990000000000005</v>
      </c>
      <c r="F5" s="9"/>
    </row>
    <row r="6" spans="1:24" x14ac:dyDescent="0.25">
      <c r="A6" s="5"/>
      <c r="B6" s="6" t="s">
        <v>7</v>
      </c>
      <c r="C6" s="7">
        <v>0.85</v>
      </c>
      <c r="D6" s="6" t="s">
        <v>4</v>
      </c>
      <c r="E6" s="10">
        <v>0.89990000000000003</v>
      </c>
      <c r="F6" s="9"/>
    </row>
    <row r="7" spans="1:24" x14ac:dyDescent="0.25">
      <c r="A7" s="5"/>
      <c r="B7" s="6" t="s">
        <v>8</v>
      </c>
      <c r="C7" s="7">
        <v>0.82</v>
      </c>
      <c r="D7" s="6" t="s">
        <v>4</v>
      </c>
      <c r="E7" s="10">
        <v>0.84989999999999999</v>
      </c>
      <c r="F7" s="9"/>
    </row>
    <row r="8" spans="1:24" x14ac:dyDescent="0.25">
      <c r="A8" s="5"/>
      <c r="B8" s="6" t="s">
        <v>9</v>
      </c>
      <c r="C8" s="7">
        <v>0.8</v>
      </c>
      <c r="D8" s="6" t="s">
        <v>4</v>
      </c>
      <c r="E8" s="10">
        <v>0.81989999999999996</v>
      </c>
      <c r="F8" s="9"/>
    </row>
    <row r="9" spans="1:24" x14ac:dyDescent="0.25">
      <c r="A9" s="5"/>
      <c r="B9" s="6" t="s">
        <v>10</v>
      </c>
      <c r="C9" s="7">
        <v>0.77</v>
      </c>
      <c r="D9" s="6" t="s">
        <v>4</v>
      </c>
      <c r="E9" s="10">
        <v>0.79990000000000006</v>
      </c>
      <c r="F9" s="9"/>
    </row>
    <row r="10" spans="1:24" x14ac:dyDescent="0.25">
      <c r="A10" s="5"/>
      <c r="B10" s="6" t="s">
        <v>11</v>
      </c>
      <c r="C10" s="7">
        <v>0.75</v>
      </c>
      <c r="D10" s="6" t="s">
        <v>4</v>
      </c>
      <c r="E10" s="10">
        <v>0.76990000000000003</v>
      </c>
      <c r="F10" s="9"/>
    </row>
    <row r="11" spans="1:24" x14ac:dyDescent="0.25">
      <c r="A11" s="5"/>
      <c r="B11" s="6" t="s">
        <v>12</v>
      </c>
      <c r="C11" s="7">
        <v>0.65</v>
      </c>
      <c r="D11" s="6" t="s">
        <v>4</v>
      </c>
      <c r="E11" s="10">
        <v>0.74990000000000001</v>
      </c>
      <c r="F11" s="9"/>
    </row>
    <row r="12" spans="1:24" ht="15.75" thickBot="1" x14ac:dyDescent="0.3">
      <c r="A12" s="11"/>
      <c r="B12" s="12" t="s">
        <v>13</v>
      </c>
      <c r="C12" s="13">
        <v>0</v>
      </c>
      <c r="D12" s="12" t="s">
        <v>4</v>
      </c>
      <c r="E12" s="14">
        <v>0.64990000000000003</v>
      </c>
      <c r="F12" s="15"/>
    </row>
    <row r="14" spans="1:24" x14ac:dyDescent="0.25">
      <c r="A14" s="16"/>
      <c r="B14" s="16"/>
      <c r="C14" s="17" t="s">
        <v>14</v>
      </c>
      <c r="D14" s="16"/>
      <c r="E14" s="16"/>
      <c r="F14" s="17"/>
      <c r="G14" s="44" t="s">
        <v>15</v>
      </c>
      <c r="H14" s="44"/>
      <c r="I14" s="44"/>
      <c r="J14" s="44"/>
      <c r="K14" s="44"/>
      <c r="L14" s="44"/>
      <c r="M14" s="44" t="s">
        <v>16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</row>
    <row r="15" spans="1:24" x14ac:dyDescent="0.25">
      <c r="A15" s="18" t="s">
        <v>17</v>
      </c>
      <c r="B15" s="18"/>
      <c r="C15" s="19" t="s">
        <v>18</v>
      </c>
      <c r="D15" s="19" t="s">
        <v>19</v>
      </c>
      <c r="E15" s="19" t="s">
        <v>20</v>
      </c>
      <c r="F15" s="19"/>
      <c r="G15" s="19">
        <v>1</v>
      </c>
      <c r="H15" s="19">
        <v>2</v>
      </c>
      <c r="I15" s="19">
        <v>3</v>
      </c>
      <c r="J15" s="19">
        <v>4</v>
      </c>
      <c r="K15" s="19">
        <v>5</v>
      </c>
      <c r="L15" s="19" t="s">
        <v>14</v>
      </c>
      <c r="M15" s="19">
        <v>1</v>
      </c>
      <c r="N15" s="19">
        <v>2</v>
      </c>
      <c r="O15" s="19">
        <v>3</v>
      </c>
      <c r="P15" s="19">
        <v>4</v>
      </c>
      <c r="Q15" s="19">
        <v>5</v>
      </c>
      <c r="R15" s="19">
        <v>6</v>
      </c>
      <c r="S15" s="19">
        <v>7</v>
      </c>
      <c r="T15" s="19">
        <v>8</v>
      </c>
      <c r="U15" s="19">
        <v>9</v>
      </c>
      <c r="V15" s="19">
        <v>10</v>
      </c>
      <c r="W15" s="19">
        <v>11</v>
      </c>
      <c r="X15" s="19" t="s">
        <v>14</v>
      </c>
    </row>
    <row r="16" spans="1:24" x14ac:dyDescent="0.25">
      <c r="A16" s="20" t="s">
        <v>21</v>
      </c>
      <c r="B16" s="21"/>
      <c r="C16" s="22">
        <v>488</v>
      </c>
      <c r="D16" s="23">
        <v>195</v>
      </c>
      <c r="E16" s="23">
        <v>98</v>
      </c>
      <c r="F16" s="22"/>
      <c r="G16" s="23">
        <v>24</v>
      </c>
      <c r="H16" s="23">
        <v>23</v>
      </c>
      <c r="I16" s="23">
        <v>18</v>
      </c>
      <c r="J16" s="23">
        <v>23</v>
      </c>
      <c r="K16" s="23">
        <v>21</v>
      </c>
      <c r="L16" s="22">
        <v>109</v>
      </c>
      <c r="M16" s="23">
        <v>10</v>
      </c>
      <c r="N16" s="23">
        <v>9</v>
      </c>
      <c r="O16" s="23">
        <v>7</v>
      </c>
      <c r="P16" s="23">
        <v>8</v>
      </c>
      <c r="Q16" s="23">
        <v>6</v>
      </c>
      <c r="R16" s="23">
        <v>8</v>
      </c>
      <c r="S16" s="23">
        <v>7</v>
      </c>
      <c r="T16" s="23">
        <v>6</v>
      </c>
      <c r="U16" s="23">
        <v>8</v>
      </c>
      <c r="V16" s="23">
        <v>10</v>
      </c>
      <c r="W16" s="23">
        <v>7</v>
      </c>
      <c r="X16" s="22">
        <v>86</v>
      </c>
    </row>
    <row r="17" spans="1:24" x14ac:dyDescent="0.25">
      <c r="A17" s="20" t="s">
        <v>22</v>
      </c>
      <c r="B17" s="21"/>
      <c r="C17" s="22">
        <v>439</v>
      </c>
      <c r="D17" s="23">
        <v>190</v>
      </c>
      <c r="E17" s="23">
        <v>96</v>
      </c>
      <c r="F17" s="22"/>
      <c r="G17" s="23">
        <v>23</v>
      </c>
      <c r="H17" s="23">
        <v>22</v>
      </c>
      <c r="I17" s="23">
        <v>17</v>
      </c>
      <c r="J17" s="23">
        <v>22</v>
      </c>
      <c r="K17" s="23">
        <v>20</v>
      </c>
      <c r="L17" s="22">
        <v>104</v>
      </c>
      <c r="M17" s="23">
        <v>9</v>
      </c>
      <c r="N17" s="23">
        <v>8</v>
      </c>
      <c r="O17" s="23">
        <v>0</v>
      </c>
      <c r="P17" s="23">
        <v>7</v>
      </c>
      <c r="Q17" s="23">
        <v>0</v>
      </c>
      <c r="R17" s="23">
        <v>2</v>
      </c>
      <c r="S17" s="23">
        <v>5</v>
      </c>
      <c r="T17" s="23">
        <v>4</v>
      </c>
      <c r="U17" s="23">
        <v>6</v>
      </c>
      <c r="V17" s="23">
        <v>8</v>
      </c>
      <c r="W17" s="23"/>
      <c r="X17" s="22">
        <v>49</v>
      </c>
    </row>
    <row r="18" spans="1:24" x14ac:dyDescent="0.25">
      <c r="A18" s="20" t="s">
        <v>23</v>
      </c>
      <c r="B18" s="21"/>
      <c r="C18" s="22">
        <v>458</v>
      </c>
      <c r="D18" s="23">
        <v>185</v>
      </c>
      <c r="E18" s="23">
        <v>94</v>
      </c>
      <c r="F18" s="22"/>
      <c r="G18" s="23">
        <v>22</v>
      </c>
      <c r="H18" s="23">
        <v>25</v>
      </c>
      <c r="I18" s="23">
        <v>25</v>
      </c>
      <c r="J18" s="23">
        <v>25</v>
      </c>
      <c r="K18" s="23">
        <v>25</v>
      </c>
      <c r="L18" s="22">
        <v>122</v>
      </c>
      <c r="M18" s="23">
        <v>8</v>
      </c>
      <c r="N18" s="23">
        <v>7</v>
      </c>
      <c r="O18" s="23">
        <v>9</v>
      </c>
      <c r="P18" s="23">
        <v>7</v>
      </c>
      <c r="Q18" s="23">
        <v>10</v>
      </c>
      <c r="R18" s="23">
        <v>7</v>
      </c>
      <c r="S18" s="23">
        <v>3</v>
      </c>
      <c r="T18" s="23">
        <v>2</v>
      </c>
      <c r="U18" s="23">
        <v>4</v>
      </c>
      <c r="V18" s="23"/>
      <c r="W18" s="23"/>
      <c r="X18" s="22">
        <v>57</v>
      </c>
    </row>
    <row r="19" spans="1:24" x14ac:dyDescent="0.25">
      <c r="A19" s="20" t="s">
        <v>24</v>
      </c>
      <c r="B19" s="21"/>
      <c r="C19" s="22">
        <v>430</v>
      </c>
      <c r="D19" s="23">
        <v>180</v>
      </c>
      <c r="E19" s="23">
        <v>92</v>
      </c>
      <c r="F19" s="22"/>
      <c r="G19" s="23">
        <v>21</v>
      </c>
      <c r="H19" s="23">
        <v>20</v>
      </c>
      <c r="I19" s="23">
        <v>25</v>
      </c>
      <c r="J19" s="23">
        <v>20</v>
      </c>
      <c r="K19" s="23">
        <v>22</v>
      </c>
      <c r="L19" s="22">
        <v>108</v>
      </c>
      <c r="M19" s="23">
        <v>7</v>
      </c>
      <c r="N19" s="23">
        <v>6</v>
      </c>
      <c r="O19" s="23">
        <v>8</v>
      </c>
      <c r="P19" s="23">
        <v>10</v>
      </c>
      <c r="Q19" s="23">
        <v>7</v>
      </c>
      <c r="R19" s="23">
        <v>9</v>
      </c>
      <c r="S19" s="23">
        <v>2</v>
      </c>
      <c r="T19" s="23">
        <v>1</v>
      </c>
      <c r="U19" s="23"/>
      <c r="V19" s="23"/>
      <c r="W19" s="23"/>
      <c r="X19" s="22">
        <v>50</v>
      </c>
    </row>
    <row r="20" spans="1:24" x14ac:dyDescent="0.25">
      <c r="A20" s="20" t="s">
        <v>25</v>
      </c>
      <c r="B20" s="21"/>
      <c r="C20" s="22">
        <v>458</v>
      </c>
      <c r="D20" s="23">
        <v>198</v>
      </c>
      <c r="E20" s="23">
        <v>90</v>
      </c>
      <c r="F20" s="22"/>
      <c r="G20" s="23">
        <v>25</v>
      </c>
      <c r="H20" s="23">
        <v>25</v>
      </c>
      <c r="I20" s="23">
        <v>25</v>
      </c>
      <c r="J20" s="23">
        <v>25</v>
      </c>
      <c r="K20" s="23">
        <v>21</v>
      </c>
      <c r="L20" s="22">
        <v>121</v>
      </c>
      <c r="M20" s="23">
        <v>6</v>
      </c>
      <c r="N20" s="23">
        <v>5</v>
      </c>
      <c r="O20" s="23">
        <v>7</v>
      </c>
      <c r="P20" s="23">
        <v>9</v>
      </c>
      <c r="Q20" s="23">
        <v>6</v>
      </c>
      <c r="R20" s="23">
        <v>8</v>
      </c>
      <c r="S20" s="23">
        <v>8</v>
      </c>
      <c r="T20" s="23"/>
      <c r="U20" s="23"/>
      <c r="V20" s="23"/>
      <c r="W20" s="23"/>
      <c r="X20" s="22">
        <v>49</v>
      </c>
    </row>
    <row r="21" spans="1:24" x14ac:dyDescent="0.25">
      <c r="A21" s="20" t="s">
        <v>26</v>
      </c>
      <c r="B21" s="21"/>
      <c r="C21" s="22">
        <v>391</v>
      </c>
      <c r="D21" s="23">
        <v>170</v>
      </c>
      <c r="E21" s="23">
        <v>88</v>
      </c>
      <c r="F21" s="22"/>
      <c r="G21" s="23">
        <v>19</v>
      </c>
      <c r="H21" s="23">
        <v>18</v>
      </c>
      <c r="I21" s="23">
        <v>23</v>
      </c>
      <c r="J21" s="23">
        <v>18</v>
      </c>
      <c r="K21" s="23">
        <v>20</v>
      </c>
      <c r="L21" s="22">
        <v>98</v>
      </c>
      <c r="M21" s="23">
        <v>5</v>
      </c>
      <c r="N21" s="23">
        <v>4</v>
      </c>
      <c r="O21" s="23">
        <v>6</v>
      </c>
      <c r="P21" s="23">
        <v>8</v>
      </c>
      <c r="Q21" s="23">
        <v>5</v>
      </c>
      <c r="R21" s="23">
        <v>7</v>
      </c>
      <c r="S21" s="23"/>
      <c r="T21" s="23"/>
      <c r="U21" s="23"/>
      <c r="V21" s="23"/>
      <c r="W21" s="23"/>
      <c r="X21" s="22">
        <v>35</v>
      </c>
    </row>
    <row r="22" spans="1:24" x14ac:dyDescent="0.25">
      <c r="A22" s="20" t="s">
        <v>27</v>
      </c>
      <c r="B22" s="21"/>
      <c r="C22" s="22">
        <v>420</v>
      </c>
      <c r="D22" s="23">
        <v>200</v>
      </c>
      <c r="E22" s="23">
        <v>86</v>
      </c>
      <c r="F22" s="22"/>
      <c r="G22" s="23">
        <v>18</v>
      </c>
      <c r="H22" s="23">
        <v>17</v>
      </c>
      <c r="I22" s="23">
        <v>22</v>
      </c>
      <c r="J22" s="23">
        <v>17</v>
      </c>
      <c r="K22" s="23">
        <v>19</v>
      </c>
      <c r="L22" s="22">
        <v>93</v>
      </c>
      <c r="M22" s="23">
        <v>10</v>
      </c>
      <c r="N22" s="23">
        <v>6</v>
      </c>
      <c r="O22" s="23">
        <v>8</v>
      </c>
      <c r="P22" s="23">
        <v>10</v>
      </c>
      <c r="Q22" s="23">
        <v>7</v>
      </c>
      <c r="R22" s="23"/>
      <c r="S22" s="23"/>
      <c r="T22" s="23"/>
      <c r="U22" s="23"/>
      <c r="V22" s="23"/>
      <c r="W22" s="23"/>
      <c r="X22" s="22">
        <v>41</v>
      </c>
    </row>
    <row r="23" spans="1:24" x14ac:dyDescent="0.25">
      <c r="A23" s="20" t="s">
        <v>28</v>
      </c>
      <c r="B23" s="21"/>
      <c r="C23" s="22">
        <v>319</v>
      </c>
      <c r="D23" s="23">
        <v>160</v>
      </c>
      <c r="E23" s="23">
        <v>84</v>
      </c>
      <c r="F23" s="22"/>
      <c r="G23" s="23">
        <v>17</v>
      </c>
      <c r="H23" s="23">
        <v>16</v>
      </c>
      <c r="I23" s="23">
        <v>25</v>
      </c>
      <c r="J23" s="23"/>
      <c r="K23" s="23">
        <v>2</v>
      </c>
      <c r="L23" s="22">
        <v>60</v>
      </c>
      <c r="M23" s="23">
        <v>3</v>
      </c>
      <c r="N23" s="23">
        <v>2</v>
      </c>
      <c r="O23" s="23">
        <v>4</v>
      </c>
      <c r="P23" s="23">
        <v>6</v>
      </c>
      <c r="Q23" s="23"/>
      <c r="R23" s="23"/>
      <c r="S23" s="23"/>
      <c r="T23" s="23"/>
      <c r="U23" s="23"/>
      <c r="V23" s="23"/>
      <c r="W23" s="23"/>
      <c r="X23" s="22">
        <v>15</v>
      </c>
    </row>
    <row r="24" spans="1:24" x14ac:dyDescent="0.25">
      <c r="A24" s="20" t="s">
        <v>29</v>
      </c>
      <c r="B24" s="21"/>
      <c r="C24" s="22">
        <v>416</v>
      </c>
      <c r="D24" s="23">
        <v>200</v>
      </c>
      <c r="E24" s="23">
        <v>100</v>
      </c>
      <c r="F24" s="22"/>
      <c r="G24" s="23">
        <v>16</v>
      </c>
      <c r="H24" s="23">
        <v>15</v>
      </c>
      <c r="I24" s="23">
        <v>20</v>
      </c>
      <c r="J24" s="23">
        <v>25</v>
      </c>
      <c r="K24" s="23">
        <v>23</v>
      </c>
      <c r="L24" s="22">
        <v>99</v>
      </c>
      <c r="M24" s="23">
        <v>10</v>
      </c>
      <c r="N24" s="23">
        <v>2</v>
      </c>
      <c r="O24" s="23">
        <v>5</v>
      </c>
      <c r="P24" s="23"/>
      <c r="Q24" s="23"/>
      <c r="R24" s="23"/>
      <c r="S24" s="23"/>
      <c r="T24" s="23"/>
      <c r="U24" s="23"/>
      <c r="V24" s="23"/>
      <c r="W24" s="23"/>
      <c r="X24" s="22">
        <v>17</v>
      </c>
    </row>
    <row r="25" spans="1:24" x14ac:dyDescent="0.25">
      <c r="A25" s="20" t="s">
        <v>30</v>
      </c>
      <c r="B25" s="21"/>
      <c r="C25" s="22">
        <v>305</v>
      </c>
      <c r="D25" s="23">
        <v>180</v>
      </c>
      <c r="E25" s="23">
        <v>90</v>
      </c>
      <c r="F25" s="22"/>
      <c r="G25" s="23">
        <v>15</v>
      </c>
      <c r="H25" s="23"/>
      <c r="I25" s="23"/>
      <c r="J25" s="23"/>
      <c r="K25" s="23"/>
      <c r="L25" s="22">
        <v>15</v>
      </c>
      <c r="M25" s="23">
        <v>10</v>
      </c>
      <c r="N25" s="23">
        <v>10</v>
      </c>
      <c r="O25" s="23"/>
      <c r="P25" s="23"/>
      <c r="Q25" s="23"/>
      <c r="R25" s="23"/>
      <c r="S25" s="23"/>
      <c r="T25" s="23"/>
      <c r="U25" s="23"/>
      <c r="V25" s="23"/>
      <c r="W25" s="23"/>
      <c r="X25" s="22">
        <v>20</v>
      </c>
    </row>
    <row r="26" spans="1:24" x14ac:dyDescent="0.25">
      <c r="A26" s="20" t="s">
        <v>31</v>
      </c>
      <c r="B26" s="21"/>
      <c r="C26" s="22">
        <v>234</v>
      </c>
      <c r="D26" s="23">
        <v>145</v>
      </c>
      <c r="E26" s="23">
        <v>78</v>
      </c>
      <c r="F26" s="22"/>
      <c r="G26" s="23"/>
      <c r="H26" s="23"/>
      <c r="I26" s="23"/>
      <c r="J26" s="23"/>
      <c r="K26" s="23">
        <v>2</v>
      </c>
      <c r="L26" s="22">
        <v>2</v>
      </c>
      <c r="M26" s="23">
        <v>9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2">
        <v>9</v>
      </c>
    </row>
    <row r="27" spans="1:24" x14ac:dyDescent="0.25">
      <c r="A27" s="20" t="s">
        <v>32</v>
      </c>
      <c r="B27" s="21"/>
      <c r="C27" s="22">
        <v>447</v>
      </c>
      <c r="D27" s="23">
        <v>200</v>
      </c>
      <c r="E27" s="23">
        <v>100</v>
      </c>
      <c r="F27" s="22"/>
      <c r="G27" s="23">
        <v>13</v>
      </c>
      <c r="H27" s="23">
        <v>12</v>
      </c>
      <c r="I27" s="23">
        <v>17</v>
      </c>
      <c r="J27" s="23">
        <v>22</v>
      </c>
      <c r="K27" s="23">
        <v>20</v>
      </c>
      <c r="L27" s="22">
        <v>84</v>
      </c>
      <c r="M27" s="23">
        <v>5</v>
      </c>
      <c r="N27" s="23">
        <v>4</v>
      </c>
      <c r="O27" s="23">
        <v>6</v>
      </c>
      <c r="P27" s="23">
        <v>8</v>
      </c>
      <c r="Q27" s="23">
        <v>5</v>
      </c>
      <c r="R27" s="23">
        <v>7</v>
      </c>
      <c r="S27" s="23">
        <v>5</v>
      </c>
      <c r="T27" s="23">
        <v>4</v>
      </c>
      <c r="U27" s="23">
        <v>6</v>
      </c>
      <c r="V27" s="23">
        <v>8</v>
      </c>
      <c r="W27" s="23">
        <v>5</v>
      </c>
      <c r="X27" s="22">
        <v>63</v>
      </c>
    </row>
  </sheetData>
  <mergeCells count="4">
    <mergeCell ref="A1:F1"/>
    <mergeCell ref="C2:E2"/>
    <mergeCell ref="G14:L14"/>
    <mergeCell ref="M14:X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5C04-1539-44FB-A298-D57DF91D9ECD}">
  <sheetPr>
    <pageSetUpPr fitToPage="1"/>
  </sheetPr>
  <dimension ref="B1:M71"/>
  <sheetViews>
    <sheetView tabSelected="1" workbookViewId="0">
      <selection activeCell="C23" sqref="C23:I23"/>
    </sheetView>
  </sheetViews>
  <sheetFormatPr defaultRowHeight="15" x14ac:dyDescent="0.25"/>
  <cols>
    <col min="1" max="3" width="2.140625" customWidth="1"/>
    <col min="4" max="4" width="14.28515625" customWidth="1"/>
    <col min="6" max="6" width="2.140625" customWidth="1"/>
    <col min="7" max="7" width="21.42578125" customWidth="1"/>
    <col min="8" max="8" width="3.5703125" customWidth="1"/>
    <col min="9" max="9" width="25" customWidth="1"/>
    <col min="10" max="10" width="2.140625" customWidth="1"/>
    <col min="11" max="11" width="21.42578125" customWidth="1"/>
  </cols>
  <sheetData>
    <row r="1" spans="2:10" ht="15.75" thickBot="1" x14ac:dyDescent="0.3"/>
    <row r="2" spans="2:10" ht="21.75" thickBot="1" x14ac:dyDescent="0.4">
      <c r="B2" s="51" t="s">
        <v>33</v>
      </c>
      <c r="C2" s="52"/>
      <c r="D2" s="52"/>
      <c r="E2" s="52"/>
      <c r="F2" s="52"/>
      <c r="G2" s="52"/>
      <c r="H2" s="52"/>
      <c r="I2" s="52"/>
      <c r="J2" s="53"/>
    </row>
    <row r="3" spans="2:10" x14ac:dyDescent="0.25">
      <c r="B3" s="24"/>
      <c r="C3" s="25"/>
      <c r="D3" s="25"/>
      <c r="E3" s="25"/>
      <c r="F3" s="25"/>
      <c r="G3" s="25"/>
      <c r="H3" s="25"/>
      <c r="I3" s="25"/>
      <c r="J3" s="26"/>
    </row>
    <row r="4" spans="2:10" x14ac:dyDescent="0.25">
      <c r="B4" s="24"/>
      <c r="C4" s="25" t="s">
        <v>34</v>
      </c>
      <c r="D4" s="25"/>
      <c r="E4" s="25"/>
      <c r="F4" s="25"/>
      <c r="G4" s="25"/>
      <c r="H4" s="25"/>
      <c r="I4" s="32">
        <v>42005</v>
      </c>
      <c r="J4" s="26"/>
    </row>
    <row r="5" spans="2:10" x14ac:dyDescent="0.25">
      <c r="B5" s="24"/>
      <c r="C5" s="25"/>
      <c r="D5" s="25"/>
      <c r="E5" s="25"/>
      <c r="F5" s="25"/>
      <c r="G5" s="25"/>
      <c r="H5" s="25"/>
      <c r="I5" s="25"/>
      <c r="J5" s="26"/>
    </row>
    <row r="6" spans="2:10" x14ac:dyDescent="0.25">
      <c r="B6" s="24"/>
      <c r="C6" s="25" t="s">
        <v>35</v>
      </c>
      <c r="D6" s="25"/>
      <c r="E6" s="25"/>
      <c r="F6" s="25"/>
      <c r="G6" s="25"/>
      <c r="H6" s="25"/>
      <c r="I6" s="30" t="s">
        <v>44</v>
      </c>
      <c r="J6" s="26"/>
    </row>
    <row r="7" spans="2:10" x14ac:dyDescent="0.25">
      <c r="B7" s="24"/>
      <c r="C7" s="25" t="s">
        <v>37</v>
      </c>
      <c r="D7" s="25"/>
      <c r="E7" s="25"/>
      <c r="F7" s="25"/>
      <c r="G7" s="25"/>
      <c r="H7" s="25"/>
      <c r="I7" s="30" t="s">
        <v>45</v>
      </c>
      <c r="J7" s="26"/>
    </row>
    <row r="8" spans="2:10" ht="14.25" customHeight="1" x14ac:dyDescent="0.25">
      <c r="B8" s="24"/>
      <c r="C8" s="25" t="s">
        <v>36</v>
      </c>
      <c r="D8" s="25"/>
      <c r="E8" s="25"/>
      <c r="F8" s="25"/>
      <c r="G8" s="25"/>
      <c r="H8" s="25"/>
      <c r="I8" s="30" t="s">
        <v>46</v>
      </c>
      <c r="J8" s="26"/>
    </row>
    <row r="9" spans="2:10" x14ac:dyDescent="0.25">
      <c r="B9" s="24"/>
      <c r="C9" s="25" t="s">
        <v>37</v>
      </c>
      <c r="D9" s="25"/>
      <c r="E9" s="25"/>
      <c r="F9" s="25"/>
      <c r="G9" s="25"/>
      <c r="H9" s="25"/>
      <c r="I9" s="30">
        <v>20</v>
      </c>
      <c r="J9" s="26"/>
    </row>
    <row r="10" spans="2:10" x14ac:dyDescent="0.25">
      <c r="B10" s="24"/>
      <c r="C10" s="25"/>
      <c r="D10" s="25"/>
      <c r="E10" s="25"/>
      <c r="F10" s="25"/>
      <c r="G10" s="25"/>
      <c r="H10" s="25"/>
      <c r="I10" s="25"/>
      <c r="J10" s="26"/>
    </row>
    <row r="11" spans="2:10" x14ac:dyDescent="0.25">
      <c r="B11" s="24"/>
      <c r="C11" s="25" t="s">
        <v>38</v>
      </c>
      <c r="D11" s="25"/>
      <c r="E11" s="25"/>
      <c r="F11" s="25"/>
      <c r="G11" s="25"/>
      <c r="H11" s="25"/>
      <c r="I11" s="31" t="s">
        <v>47</v>
      </c>
      <c r="J11" s="26"/>
    </row>
    <row r="12" spans="2:10" x14ac:dyDescent="0.25">
      <c r="B12" s="24"/>
      <c r="C12" s="25"/>
      <c r="D12" s="25" t="s">
        <v>39</v>
      </c>
      <c r="E12" s="25"/>
      <c r="F12" s="25"/>
      <c r="G12" s="25"/>
      <c r="H12" s="25"/>
      <c r="I12" s="31" t="s">
        <v>48</v>
      </c>
      <c r="J12" s="26"/>
    </row>
    <row r="13" spans="2:10" x14ac:dyDescent="0.25">
      <c r="B13" s="24"/>
      <c r="C13" s="25"/>
      <c r="D13" s="25" t="s">
        <v>40</v>
      </c>
      <c r="E13" s="25"/>
      <c r="F13" s="25"/>
      <c r="G13" s="25"/>
      <c r="H13" s="25"/>
      <c r="I13" s="31" t="s">
        <v>49</v>
      </c>
      <c r="J13" s="26"/>
    </row>
    <row r="14" spans="2:10" x14ac:dyDescent="0.25">
      <c r="B14" s="24"/>
      <c r="C14" s="25"/>
      <c r="D14" s="25" t="s">
        <v>41</v>
      </c>
      <c r="E14" s="25"/>
      <c r="F14" s="25"/>
      <c r="G14" s="25"/>
      <c r="H14" s="25"/>
      <c r="I14" s="31" t="s">
        <v>50</v>
      </c>
      <c r="J14" s="26"/>
    </row>
    <row r="15" spans="2:10" x14ac:dyDescent="0.25">
      <c r="B15" s="24"/>
      <c r="C15" s="25"/>
      <c r="D15" s="25" t="s">
        <v>42</v>
      </c>
      <c r="E15" s="25"/>
      <c r="F15" s="25"/>
      <c r="G15" s="25"/>
      <c r="H15" s="25"/>
      <c r="I15" s="31" t="s">
        <v>51</v>
      </c>
      <c r="J15" s="26"/>
    </row>
    <row r="16" spans="2:10" x14ac:dyDescent="0.25">
      <c r="B16" s="24"/>
      <c r="C16" s="25"/>
      <c r="D16" s="25" t="s">
        <v>43</v>
      </c>
      <c r="E16" s="25"/>
      <c r="F16" s="25"/>
      <c r="G16" s="25"/>
      <c r="H16" s="25"/>
      <c r="I16" s="31" t="s">
        <v>52</v>
      </c>
      <c r="J16" s="26"/>
    </row>
    <row r="17" spans="2:10" ht="15.75" thickBot="1" x14ac:dyDescent="0.3">
      <c r="B17" s="27"/>
      <c r="C17" s="28"/>
      <c r="D17" s="28"/>
      <c r="E17" s="28"/>
      <c r="F17" s="28"/>
      <c r="G17" s="28"/>
      <c r="H17" s="28"/>
      <c r="I17" s="28"/>
      <c r="J17" s="29"/>
    </row>
    <row r="19" spans="2:10" ht="15.75" thickBot="1" x14ac:dyDescent="0.3"/>
    <row r="20" spans="2:10" ht="19.5" thickBot="1" x14ac:dyDescent="0.35">
      <c r="B20" s="54" t="s">
        <v>53</v>
      </c>
      <c r="C20" s="55"/>
      <c r="D20" s="55"/>
      <c r="E20" s="55"/>
      <c r="F20" s="55"/>
      <c r="G20" s="55"/>
      <c r="H20" s="55"/>
      <c r="I20" s="55"/>
      <c r="J20" s="56"/>
    </row>
    <row r="21" spans="2:10" ht="18.75" x14ac:dyDescent="0.3">
      <c r="B21" s="24"/>
      <c r="C21" s="57" t="str">
        <f>I6&amp;" "&amp;I7</f>
        <v>XYZ, Inc. Pension Plan</v>
      </c>
      <c r="D21" s="57"/>
      <c r="E21" s="57"/>
      <c r="F21" s="57"/>
      <c r="G21" s="57"/>
      <c r="H21" s="57"/>
      <c r="I21" s="57"/>
      <c r="J21" s="26"/>
    </row>
    <row r="22" spans="2:10" ht="15.75" x14ac:dyDescent="0.25">
      <c r="B22" s="24"/>
      <c r="C22" s="58" t="str">
        <f>I8&amp;" / "&amp;TEXT(I9,"000")</f>
        <v>99-3456789 / 020</v>
      </c>
      <c r="D22" s="58"/>
      <c r="E22" s="58"/>
      <c r="F22" s="58"/>
      <c r="G22" s="58"/>
      <c r="H22" s="58"/>
      <c r="I22" s="58"/>
      <c r="J22" s="26"/>
    </row>
    <row r="23" spans="2:10" ht="15.75" x14ac:dyDescent="0.25">
      <c r="B23" s="24"/>
      <c r="C23" s="58" t="str">
        <f>"For Plan Year Starting "&amp;TEXT(I4,"m/d/yyyy")</f>
        <v>For Plan Year Starting 1/1/2015</v>
      </c>
      <c r="D23" s="58"/>
      <c r="E23" s="58"/>
      <c r="F23" s="58"/>
      <c r="G23" s="58"/>
      <c r="H23" s="58"/>
      <c r="I23" s="58"/>
      <c r="J23" s="26"/>
    </row>
    <row r="24" spans="2:10" x14ac:dyDescent="0.25">
      <c r="B24" s="24"/>
      <c r="C24" s="25"/>
      <c r="D24" s="25"/>
      <c r="E24" s="25"/>
      <c r="F24" s="25"/>
      <c r="G24" s="25"/>
      <c r="H24" s="25"/>
      <c r="I24" s="25"/>
      <c r="J24" s="26"/>
    </row>
    <row r="25" spans="2:10" ht="15.75" x14ac:dyDescent="0.25">
      <c r="B25" s="24"/>
      <c r="C25" s="33" t="s">
        <v>54</v>
      </c>
      <c r="D25" s="25"/>
      <c r="E25" s="25"/>
      <c r="F25" s="25"/>
      <c r="G25" s="25"/>
      <c r="H25" s="25"/>
      <c r="I25" s="25"/>
      <c r="J25" s="26"/>
    </row>
    <row r="26" spans="2:10" ht="15.75" thickBot="1" x14ac:dyDescent="0.3">
      <c r="B26" s="24"/>
      <c r="C26" s="25"/>
      <c r="D26" s="25"/>
      <c r="E26" s="25"/>
      <c r="F26" s="25"/>
      <c r="G26" s="25"/>
      <c r="H26" s="25"/>
      <c r="I26" s="25"/>
      <c r="J26" s="26"/>
    </row>
    <row r="27" spans="2:10" ht="16.5" thickBot="1" x14ac:dyDescent="0.3">
      <c r="B27" s="24"/>
      <c r="C27" s="48" t="str">
        <f ca="1">RIGHT(I38,2)&amp;"-"&amp;RIGHT(I12,5)</f>
        <v>20-08788</v>
      </c>
      <c r="D27" s="49"/>
      <c r="E27" s="50"/>
      <c r="F27" s="37"/>
      <c r="G27" s="45" t="str">
        <f>I54</f>
        <v>(201)903-2300</v>
      </c>
      <c r="H27" s="46"/>
      <c r="I27" s="47"/>
      <c r="J27" s="26"/>
    </row>
    <row r="28" spans="2:10" x14ac:dyDescent="0.25">
      <c r="B28" s="24"/>
      <c r="C28" s="25" t="s">
        <v>56</v>
      </c>
      <c r="D28" s="25"/>
      <c r="E28" s="25"/>
      <c r="F28" s="25"/>
      <c r="G28" s="25"/>
      <c r="H28" s="25"/>
      <c r="I28" s="34" t="s">
        <v>55</v>
      </c>
      <c r="J28" s="26"/>
    </row>
    <row r="29" spans="2:10" ht="15.75" thickBot="1" x14ac:dyDescent="0.3">
      <c r="B29" s="24"/>
      <c r="C29" s="25"/>
      <c r="D29" s="25"/>
      <c r="E29" s="25"/>
      <c r="F29" s="25"/>
      <c r="G29" s="25"/>
      <c r="H29" s="25"/>
      <c r="I29" s="25"/>
      <c r="J29" s="26"/>
    </row>
    <row r="30" spans="2:10" ht="16.5" thickBot="1" x14ac:dyDescent="0.3">
      <c r="B30" s="24"/>
      <c r="C30" s="48" t="str">
        <f>I57</f>
        <v>Hillary</v>
      </c>
      <c r="D30" s="49"/>
      <c r="E30" s="50"/>
      <c r="F30" s="37"/>
      <c r="G30" s="48" t="str">
        <f>I64</f>
        <v>Clintonwife</v>
      </c>
      <c r="H30" s="49"/>
      <c r="I30" s="50"/>
      <c r="J30" s="26"/>
    </row>
    <row r="31" spans="2:10" x14ac:dyDescent="0.25">
      <c r="B31" s="24"/>
      <c r="C31" s="65" t="s">
        <v>58</v>
      </c>
      <c r="D31" s="65"/>
      <c r="E31" s="65"/>
      <c r="F31" s="25"/>
      <c r="G31" s="66" t="s">
        <v>57</v>
      </c>
      <c r="H31" s="66"/>
      <c r="I31" s="66"/>
      <c r="J31" s="26"/>
    </row>
    <row r="32" spans="2:10" ht="15.75" thickBot="1" x14ac:dyDescent="0.3">
      <c r="B32" s="24"/>
      <c r="C32" s="25"/>
      <c r="D32" s="25"/>
      <c r="E32" s="25"/>
      <c r="F32" s="25"/>
      <c r="G32" s="25"/>
      <c r="H32" s="25"/>
      <c r="I32" s="25"/>
      <c r="J32" s="26"/>
    </row>
    <row r="33" spans="2:10" ht="16.5" thickBot="1" x14ac:dyDescent="0.3">
      <c r="B33" s="24"/>
      <c r="C33" s="59" t="str">
        <f>I15</f>
        <v>500 Plaza Drive</v>
      </c>
      <c r="D33" s="60"/>
      <c r="E33" s="60"/>
      <c r="F33" s="60"/>
      <c r="G33" s="60"/>
      <c r="H33" s="60"/>
      <c r="I33" s="61"/>
      <c r="J33" s="26"/>
    </row>
    <row r="34" spans="2:10" ht="15.75" thickBot="1" x14ac:dyDescent="0.3">
      <c r="B34" s="24"/>
      <c r="C34" s="25" t="s">
        <v>59</v>
      </c>
      <c r="D34" s="25"/>
      <c r="E34" s="25"/>
      <c r="F34" s="25"/>
      <c r="G34" s="25"/>
      <c r="H34" s="25"/>
      <c r="I34" s="25"/>
      <c r="J34" s="26"/>
    </row>
    <row r="35" spans="2:10" ht="16.5" thickBot="1" x14ac:dyDescent="0.3">
      <c r="B35" s="24"/>
      <c r="C35" s="48" t="str">
        <f>I66</f>
        <v>St. Louis</v>
      </c>
      <c r="D35" s="49"/>
      <c r="E35" s="49"/>
      <c r="F35" s="50"/>
      <c r="G35" s="39" t="str">
        <f>I68</f>
        <v>MO</v>
      </c>
      <c r="H35" s="48" t="str">
        <f>I71</f>
        <v>07097</v>
      </c>
      <c r="I35" s="50"/>
      <c r="J35" s="26"/>
    </row>
    <row r="36" spans="2:10" x14ac:dyDescent="0.25">
      <c r="B36" s="24"/>
      <c r="C36" s="25" t="s">
        <v>60</v>
      </c>
      <c r="D36" s="25"/>
      <c r="E36" s="25"/>
      <c r="F36" s="25"/>
      <c r="G36" s="35" t="s">
        <v>61</v>
      </c>
      <c r="H36" s="25"/>
      <c r="I36" s="34" t="s">
        <v>62</v>
      </c>
      <c r="J36" s="26"/>
    </row>
    <row r="37" spans="2:10" ht="15.75" thickBot="1" x14ac:dyDescent="0.3">
      <c r="B37" s="24"/>
      <c r="C37" s="25"/>
      <c r="D37" s="25"/>
      <c r="E37" s="25"/>
      <c r="F37" s="25"/>
      <c r="G37" s="25"/>
      <c r="H37" s="25"/>
      <c r="I37" s="25"/>
      <c r="J37" s="26"/>
    </row>
    <row r="38" spans="2:10" ht="16.5" thickBot="1" x14ac:dyDescent="0.3">
      <c r="B38" s="24"/>
      <c r="C38" s="62" t="s">
        <v>91</v>
      </c>
      <c r="D38" s="63"/>
      <c r="E38" s="64"/>
      <c r="F38" s="37"/>
      <c r="G38" s="39">
        <f ca="1">DAY(TODAY())</f>
        <v>14</v>
      </c>
      <c r="H38" s="39">
        <f ca="1">MONTH(TODAY())</f>
        <v>10</v>
      </c>
      <c r="I38" s="39">
        <f ca="1">YEAR(TODAY())</f>
        <v>2020</v>
      </c>
      <c r="J38" s="26"/>
    </row>
    <row r="39" spans="2:10" x14ac:dyDescent="0.25">
      <c r="B39" s="24"/>
      <c r="C39" s="25" t="s">
        <v>63</v>
      </c>
      <c r="D39" s="25"/>
      <c r="E39" s="25"/>
      <c r="F39" s="25"/>
      <c r="G39" s="35" t="s">
        <v>64</v>
      </c>
      <c r="H39" s="36" t="s">
        <v>65</v>
      </c>
      <c r="I39" s="35" t="s">
        <v>66</v>
      </c>
      <c r="J39" s="26"/>
    </row>
    <row r="40" spans="2:10" ht="15.75" thickBot="1" x14ac:dyDescent="0.3">
      <c r="B40" s="27"/>
      <c r="C40" s="28"/>
      <c r="D40" s="28"/>
      <c r="E40" s="28"/>
      <c r="F40" s="28"/>
      <c r="G40" s="28"/>
      <c r="H40" s="28"/>
      <c r="I40" s="28"/>
      <c r="J40" s="29"/>
    </row>
    <row r="47" spans="2:10" x14ac:dyDescent="0.25">
      <c r="C47" t="s">
        <v>72</v>
      </c>
      <c r="I47" t="str">
        <f>I13</f>
        <v>(201) 903.2300</v>
      </c>
    </row>
    <row r="48" spans="2:10" x14ac:dyDescent="0.25">
      <c r="D48" t="s">
        <v>73</v>
      </c>
      <c r="G48" t="s">
        <v>74</v>
      </c>
      <c r="H48" t="s">
        <v>71</v>
      </c>
      <c r="I48" t="str">
        <f>SUBSTITUTE(I47,H48,"")</f>
        <v>(201)903.2300</v>
      </c>
    </row>
    <row r="49" spans="3:13" x14ac:dyDescent="0.25">
      <c r="G49" t="s">
        <v>75</v>
      </c>
      <c r="H49" t="s">
        <v>69</v>
      </c>
      <c r="I49" t="str">
        <f t="shared" ref="I49:I52" si="0">SUBSTITUTE(I48,H49,"")</f>
        <v>201)903.2300</v>
      </c>
    </row>
    <row r="50" spans="3:13" x14ac:dyDescent="0.25">
      <c r="G50" t="s">
        <v>76</v>
      </c>
      <c r="H50" t="s">
        <v>70</v>
      </c>
      <c r="I50" t="str">
        <f t="shared" si="0"/>
        <v>201903.2300</v>
      </c>
    </row>
    <row r="51" spans="3:13" x14ac:dyDescent="0.25">
      <c r="G51" t="s">
        <v>77</v>
      </c>
      <c r="H51" t="s">
        <v>68</v>
      </c>
      <c r="I51" t="str">
        <f t="shared" si="0"/>
        <v>2019032300</v>
      </c>
      <c r="M51" s="38"/>
    </row>
    <row r="52" spans="3:13" x14ac:dyDescent="0.25">
      <c r="G52" t="s">
        <v>78</v>
      </c>
      <c r="H52" t="s">
        <v>67</v>
      </c>
      <c r="I52" t="str">
        <f t="shared" si="0"/>
        <v>2019032300</v>
      </c>
    </row>
    <row r="53" spans="3:13" x14ac:dyDescent="0.25">
      <c r="I53" t="str">
        <f>SUBSTITUTE(I52,H53,"")</f>
        <v>2019032300</v>
      </c>
    </row>
    <row r="54" spans="3:13" x14ac:dyDescent="0.25">
      <c r="I54" t="str">
        <f>"("&amp;LEFT(I53,3)&amp;")" &amp;MID(I53,4,3)&amp;"-"&amp;RIGHT(I53,4)</f>
        <v>(201)903-2300</v>
      </c>
    </row>
    <row r="55" spans="3:13" x14ac:dyDescent="0.25">
      <c r="C55" t="s">
        <v>79</v>
      </c>
      <c r="I55" t="str">
        <f>I11</f>
        <v>Hillary Clintonwife</v>
      </c>
    </row>
    <row r="56" spans="3:13" x14ac:dyDescent="0.25">
      <c r="D56" t="s">
        <v>80</v>
      </c>
      <c r="I56">
        <f>SEARCH(" ",I55)</f>
        <v>8</v>
      </c>
    </row>
    <row r="57" spans="3:13" x14ac:dyDescent="0.25">
      <c r="D57" t="s">
        <v>79</v>
      </c>
      <c r="I57" t="str">
        <f>LEFT(I55,I56-1)</f>
        <v>Hillary</v>
      </c>
    </row>
    <row r="58" spans="3:13" x14ac:dyDescent="0.25">
      <c r="C58" t="s">
        <v>81</v>
      </c>
      <c r="I58" t="str">
        <f>I11</f>
        <v>Hillary Clintonwife</v>
      </c>
    </row>
    <row r="59" spans="3:13" x14ac:dyDescent="0.25">
      <c r="D59" t="s">
        <v>82</v>
      </c>
      <c r="I59">
        <f>LEN(I58)</f>
        <v>19</v>
      </c>
    </row>
    <row r="60" spans="3:13" x14ac:dyDescent="0.25">
      <c r="D60" t="s">
        <v>83</v>
      </c>
      <c r="I60" t="str">
        <f>SUBSTITUTE(I58," ","")</f>
        <v>HillaryClintonwife</v>
      </c>
    </row>
    <row r="61" spans="3:13" x14ac:dyDescent="0.25">
      <c r="D61" t="s">
        <v>84</v>
      </c>
      <c r="I61">
        <f>LEN(I58) - LEN(I60)</f>
        <v>1</v>
      </c>
    </row>
    <row r="62" spans="3:13" x14ac:dyDescent="0.25">
      <c r="D62" t="s">
        <v>85</v>
      </c>
      <c r="I62" t="str">
        <f>SUBSTITUTE(I55," ","$",I61)</f>
        <v>Hillary$Clintonwife</v>
      </c>
    </row>
    <row r="63" spans="3:13" x14ac:dyDescent="0.25">
      <c r="D63" t="s">
        <v>86</v>
      </c>
      <c r="I63">
        <f>SEARCH("$",I62)</f>
        <v>8</v>
      </c>
    </row>
    <row r="64" spans="3:13" x14ac:dyDescent="0.25">
      <c r="D64" t="s">
        <v>81</v>
      </c>
      <c r="I64" t="str">
        <f>RIGHT(I62,I59-I63)</f>
        <v>Clintonwife</v>
      </c>
    </row>
    <row r="65" spans="3:9" x14ac:dyDescent="0.25">
      <c r="C65" t="s">
        <v>87</v>
      </c>
      <c r="I65" t="str">
        <f>I16</f>
        <v>St. Louis, MO 07097</v>
      </c>
    </row>
    <row r="66" spans="3:9" x14ac:dyDescent="0.25">
      <c r="C66" t="s">
        <v>60</v>
      </c>
      <c r="I66" t="str">
        <f>LEFT(I65,I67-1)</f>
        <v>St. Louis</v>
      </c>
    </row>
    <row r="67" spans="3:9" x14ac:dyDescent="0.25">
      <c r="D67" t="s">
        <v>90</v>
      </c>
      <c r="I67">
        <f>SEARCH(",",I65)</f>
        <v>10</v>
      </c>
    </row>
    <row r="68" spans="3:9" x14ac:dyDescent="0.25">
      <c r="C68" t="s">
        <v>61</v>
      </c>
      <c r="I68" t="str">
        <f>MID(I65,I67+2,I70-I67-2)</f>
        <v>MO</v>
      </c>
    </row>
    <row r="69" spans="3:9" x14ac:dyDescent="0.25">
      <c r="D69" t="s">
        <v>82</v>
      </c>
      <c r="I69">
        <f>LEN(I65)</f>
        <v>19</v>
      </c>
    </row>
    <row r="70" spans="3:9" x14ac:dyDescent="0.25">
      <c r="D70" t="s">
        <v>89</v>
      </c>
      <c r="I70">
        <f>SEARCH("$",SUBSTITUTE(I65," ","$",(LEN(I16) - LEN(SUBSTITUTE(I16," ","")))))</f>
        <v>14</v>
      </c>
    </row>
    <row r="71" spans="3:9" x14ac:dyDescent="0.25">
      <c r="C71" t="s">
        <v>88</v>
      </c>
      <c r="I71" t="str">
        <f>IF(LEN(RIGHT(I65,I69-I70))=9,MID(I65,I70+1,5)&amp;"-"&amp;RIGHT(I65,4), RIGHT(I65,I69-I70))</f>
        <v>07097</v>
      </c>
    </row>
  </sheetData>
  <mergeCells count="15">
    <mergeCell ref="C33:I33"/>
    <mergeCell ref="C30:E30"/>
    <mergeCell ref="C35:F35"/>
    <mergeCell ref="H35:I35"/>
    <mergeCell ref="C38:E38"/>
    <mergeCell ref="C31:E31"/>
    <mergeCell ref="G31:I31"/>
    <mergeCell ref="G27:I27"/>
    <mergeCell ref="G30:I30"/>
    <mergeCell ref="C27:E27"/>
    <mergeCell ref="B2:J2"/>
    <mergeCell ref="B20:J20"/>
    <mergeCell ref="C21:I21"/>
    <mergeCell ref="C22:I22"/>
    <mergeCell ref="C23:I23"/>
  </mergeCells>
  <pageMargins left="0.7" right="0.7" top="0.75" bottom="0.75" header="0.3" footer="0.3"/>
  <pageSetup scale="87"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Records</vt:lpstr>
      <vt:lpstr>SB Input</vt:lpstr>
      <vt:lpstr>'SB Input'!Print_Area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2020-10-11T19:52:38Z</cp:lastPrinted>
  <dcterms:created xsi:type="dcterms:W3CDTF">2020-10-10T21:21:47Z</dcterms:created>
  <dcterms:modified xsi:type="dcterms:W3CDTF">2020-10-15T02:16:22Z</dcterms:modified>
</cp:coreProperties>
</file>