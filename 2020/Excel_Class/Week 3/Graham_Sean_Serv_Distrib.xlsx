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3\"/>
    </mc:Choice>
  </mc:AlternateContent>
  <xr:revisionPtr revIDLastSave="0" documentId="8_{F77831CC-B1BE-4CD3-8B5E-F3326F09C164}" xr6:coauthVersionLast="45" xr6:coauthVersionMax="45" xr10:uidLastSave="{00000000-0000-0000-0000-000000000000}"/>
  <bookViews>
    <workbookView xWindow="810" yWindow="-120" windowWidth="19800" windowHeight="11760" xr2:uid="{AC331220-19DF-4FB9-BD08-B27C2B9D646C}"/>
  </bookViews>
  <sheets>
    <sheet name="Service Distributions" sheetId="1" r:id="rId1"/>
    <sheet name="EeData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" i="1" l="1"/>
  <c r="D10" i="1"/>
  <c r="D11" i="1" s="1"/>
  <c r="D8" i="1"/>
  <c r="F7" i="1"/>
  <c r="H7" i="1"/>
  <c r="B17" i="1" l="1"/>
  <c r="F17" i="1" s="1"/>
  <c r="B18" i="1"/>
  <c r="F18" i="1" s="1"/>
  <c r="B19" i="1"/>
  <c r="F19" i="1" s="1"/>
  <c r="B20" i="1"/>
  <c r="F20" i="1" s="1"/>
  <c r="B21" i="1"/>
  <c r="F21" i="1" s="1"/>
  <c r="B22" i="1"/>
  <c r="F22" i="1" s="1"/>
  <c r="B23" i="1"/>
  <c r="F23" i="1" s="1"/>
  <c r="B24" i="1"/>
  <c r="F24" i="1" s="1"/>
  <c r="B25" i="1"/>
  <c r="F25" i="1" s="1"/>
  <c r="B26" i="1"/>
  <c r="F26" i="1" s="1"/>
  <c r="B27" i="1"/>
  <c r="F27" i="1" s="1"/>
  <c r="B28" i="1"/>
  <c r="F28" i="1" s="1"/>
  <c r="B29" i="1"/>
  <c r="F29" i="1" s="1"/>
  <c r="B30" i="1"/>
  <c r="F30" i="1" s="1"/>
  <c r="B31" i="1"/>
  <c r="F31" i="1" s="1"/>
  <c r="B32" i="1"/>
  <c r="F32" i="1" s="1"/>
  <c r="B33" i="1"/>
  <c r="F33" i="1" s="1"/>
  <c r="B34" i="1"/>
  <c r="F34" i="1" s="1"/>
  <c r="B8" i="1"/>
  <c r="F8" i="1" s="1"/>
  <c r="B10" i="1" l="1"/>
  <c r="F10" i="1" s="1"/>
  <c r="H8" i="1"/>
  <c r="H19" i="1"/>
  <c r="H34" i="1"/>
  <c r="H26" i="1"/>
  <c r="H18" i="1"/>
  <c r="H33" i="1"/>
  <c r="H25" i="1"/>
  <c r="H17" i="1"/>
  <c r="H27" i="1"/>
  <c r="H32" i="1"/>
  <c r="H24" i="1"/>
  <c r="H23" i="1"/>
  <c r="H31" i="1"/>
  <c r="H30" i="1"/>
  <c r="H22" i="1"/>
  <c r="B9" i="1"/>
  <c r="F9" i="1" s="1"/>
  <c r="H21" i="1"/>
  <c r="H29" i="1"/>
  <c r="H28" i="1"/>
  <c r="H20" i="1"/>
  <c r="H10" i="1" l="1"/>
  <c r="H9" i="1"/>
  <c r="B11" i="1"/>
  <c r="F11" i="1" s="1"/>
  <c r="H11" i="1" l="1"/>
  <c r="B12" i="1"/>
  <c r="F12" i="1" s="1"/>
  <c r="H12" i="1" l="1"/>
  <c r="B13" i="1"/>
  <c r="F13" i="1" s="1"/>
  <c r="B14" i="1" l="1"/>
  <c r="F14" i="1" s="1"/>
  <c r="H13" i="1"/>
  <c r="B15" i="1" l="1"/>
  <c r="F15" i="1" s="1"/>
  <c r="B16" i="1"/>
  <c r="F16" i="1" s="1"/>
  <c r="H14" i="1"/>
  <c r="H15" i="1" l="1"/>
  <c r="H16" i="1"/>
</calcChain>
</file>

<file path=xl/sharedStrings.xml><?xml version="1.0" encoding="utf-8"?>
<sst xmlns="http://schemas.openxmlformats.org/spreadsheetml/2006/main" count="113" uniqueCount="23">
  <si>
    <t>Highlighted cells are for ages and are the only input cells</t>
  </si>
  <si>
    <t>at least</t>
  </si>
  <si>
    <t>but</t>
  </si>
  <si>
    <t>less than</t>
  </si>
  <si>
    <t>Actives Only</t>
  </si>
  <si>
    <t>Age</t>
  </si>
  <si>
    <t>Count</t>
  </si>
  <si>
    <t>A</t>
  </si>
  <si>
    <t>R</t>
  </si>
  <si>
    <t>V</t>
  </si>
  <si>
    <t>T</t>
  </si>
  <si>
    <t>Prior Status</t>
  </si>
  <si>
    <t>Status Code</t>
  </si>
  <si>
    <t xml:space="preserve">Service </t>
  </si>
  <si>
    <t xml:space="preserve">Age </t>
  </si>
  <si>
    <t>Prior Salary</t>
  </si>
  <si>
    <t>Current Salary</t>
  </si>
  <si>
    <t>Company Code</t>
  </si>
  <si>
    <t>ID</t>
  </si>
  <si>
    <t>Employee Database</t>
  </si>
  <si>
    <t>Service is</t>
  </si>
  <si>
    <t>Service Breakpoint</t>
  </si>
  <si>
    <t>Distribution by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</si>
</sst>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12"/>
      <color theme="5"/>
      <name val="Calibri"/>
      <family val="2"/>
      <scheme val="minor"/>
    </font>
    <font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66FFFF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Border="1"/>
    <xf numFmtId="0" fontId="0" fillId="0" borderId="10" xfId="0" applyBorder="1"/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0" xfId="1"/>
    <xf numFmtId="0" fontId="2" fillId="3" borderId="14" xfId="1" applyFill="1" applyBorder="1" applyAlignment="1">
      <alignment horizontal="center"/>
    </xf>
    <xf numFmtId="164" fontId="0" fillId="3" borderId="14" xfId="2" applyNumberFormat="1" applyFont="1" applyFill="1" applyBorder="1"/>
    <xf numFmtId="0" fontId="6" fillId="4" borderId="15" xfId="1" applyFont="1" applyFill="1" applyBorder="1" applyAlignment="1">
      <alignment horizontal="center"/>
    </xf>
    <xf numFmtId="0" fontId="6" fillId="4" borderId="16" xfId="1" applyFont="1" applyFill="1" applyBorder="1" applyAlignment="1">
      <alignment horizontal="center"/>
    </xf>
    <xf numFmtId="0" fontId="6" fillId="4" borderId="17" xfId="1" applyFont="1" applyFill="1" applyBorder="1" applyAlignment="1">
      <alignment horizontal="center"/>
    </xf>
    <xf numFmtId="164" fontId="0" fillId="0" borderId="0" xfId="2" applyNumberFormat="1" applyFont="1"/>
    <xf numFmtId="0" fontId="7" fillId="0" borderId="0" xfId="1" applyFont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 2" xfId="2" xr:uid="{97D70392-76EA-490B-9FF7-BFF3F0AA4A62}"/>
    <cellStyle name="Normal" xfId="0" builtinId="0"/>
    <cellStyle name="Normal 2" xfId="1" xr:uid="{A875A886-338B-4048-B2DF-B00AE101ED31}"/>
  </cellStyles>
  <dxfs count="0"/>
  <tableStyles count="0" defaultTableStyle="TableStyleMedium2" defaultPivotStyle="PivotStyleLight16"/>
  <colors>
    <mruColors>
      <color rgb="FF66FF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F825C-D5E2-4DA3-8847-F9A1DE418118}">
  <sheetPr>
    <pageSetUpPr fitToPage="1"/>
  </sheetPr>
  <dimension ref="B1:H34"/>
  <sheetViews>
    <sheetView tabSelected="1" workbookViewId="0"/>
  </sheetViews>
  <sheetFormatPr defaultRowHeight="15" x14ac:dyDescent="0.25"/>
  <cols>
    <col min="1" max="1" width="2.140625" customWidth="1"/>
    <col min="3" max="3" width="4.28515625" customWidth="1"/>
    <col min="5" max="5" width="5.7109375" customWidth="1"/>
    <col min="6" max="6" width="17.140625" customWidth="1"/>
    <col min="7" max="7" width="1.42578125" customWidth="1"/>
    <col min="8" max="8" width="17.140625" customWidth="1"/>
    <col min="9" max="9" width="2.140625" customWidth="1"/>
  </cols>
  <sheetData>
    <row r="1" spans="2:8" ht="15.75" thickBot="1" x14ac:dyDescent="0.3"/>
    <row r="2" spans="2:8" ht="15.75" thickBot="1" x14ac:dyDescent="0.3">
      <c r="B2" s="9" t="s">
        <v>0</v>
      </c>
      <c r="C2" s="10"/>
      <c r="D2" s="10"/>
      <c r="E2" s="10"/>
      <c r="F2" s="10"/>
      <c r="G2" s="10"/>
      <c r="H2" s="11"/>
    </row>
    <row r="3" spans="2:8" ht="15.75" thickBot="1" x14ac:dyDescent="0.3"/>
    <row r="4" spans="2:8" ht="16.5" thickBot="1" x14ac:dyDescent="0.3">
      <c r="B4" s="12" t="s">
        <v>21</v>
      </c>
      <c r="C4" s="12"/>
      <c r="D4" s="12"/>
      <c r="F4" s="13" t="s">
        <v>22</v>
      </c>
      <c r="G4" s="14"/>
      <c r="H4" s="15"/>
    </row>
    <row r="5" spans="2:8" ht="17.25" thickTop="1" thickBot="1" x14ac:dyDescent="0.3">
      <c r="B5" s="29" t="s">
        <v>20</v>
      </c>
      <c r="C5" s="27"/>
      <c r="D5" s="28"/>
      <c r="F5" s="24" t="s">
        <v>4</v>
      </c>
      <c r="G5" s="25"/>
      <c r="H5" s="26"/>
    </row>
    <row r="6" spans="2:8" ht="15.75" thickBot="1" x14ac:dyDescent="0.3">
      <c r="B6" s="2" t="s">
        <v>1</v>
      </c>
      <c r="C6" s="30" t="s">
        <v>2</v>
      </c>
      <c r="D6" s="2" t="s">
        <v>3</v>
      </c>
      <c r="F6" s="5" t="s">
        <v>5</v>
      </c>
      <c r="G6" s="6"/>
      <c r="H6" s="7" t="s">
        <v>6</v>
      </c>
    </row>
    <row r="7" spans="2:8" x14ac:dyDescent="0.25">
      <c r="B7" s="1">
        <v>0</v>
      </c>
      <c r="C7" s="1"/>
      <c r="D7" s="8">
        <v>5</v>
      </c>
      <c r="F7" s="5" t="str">
        <f>IF(B7="","",IF(B7=0,"&lt;"&amp;D7,IF(D7="",B7&amp;" &lt;=",B7&amp;" - "&amp;D7)))</f>
        <v>&lt;5</v>
      </c>
      <c r="G7" s="3"/>
      <c r="H7" s="7">
        <f>IF(B7="","",COUNTIFS(EeData!$G:$G,"A",EeData!$F:$F,"&gt;="&amp;$B7,EeData!$F:$F,"&lt;"&amp; IF($D7="",200, $D7)))</f>
        <v>7</v>
      </c>
    </row>
    <row r="8" spans="2:8" x14ac:dyDescent="0.25">
      <c r="B8" s="1">
        <f>IF(D7="","",D7)</f>
        <v>5</v>
      </c>
      <c r="C8" s="1"/>
      <c r="D8" s="8">
        <f>D7 + 5</f>
        <v>10</v>
      </c>
      <c r="F8" s="5" t="str">
        <f t="shared" ref="F8:F34" si="0">IF(B8="","",IF(B8=0,"&lt;"&amp;D8,IF(D8="",B8&amp;" &lt;=",B8&amp;" - "&amp;D8)))</f>
        <v>5 - 10</v>
      </c>
      <c r="G8" s="3"/>
      <c r="H8" s="7">
        <f>IF(B8="","",COUNTIFS(EeData!$G:$G,"A",EeData!$F:$F,"&gt;="&amp;$B8,EeData!$F:$F,"&lt;"&amp; IF($D8="",200, $D8)))</f>
        <v>11</v>
      </c>
    </row>
    <row r="9" spans="2:8" x14ac:dyDescent="0.25">
      <c r="B9" s="1">
        <f t="shared" ref="B9:B34" si="1">IF(D8="","",D8)</f>
        <v>10</v>
      </c>
      <c r="C9" s="1"/>
      <c r="D9" s="8">
        <f t="shared" ref="D9:D33" si="2">D8 + 5</f>
        <v>15</v>
      </c>
      <c r="F9" s="5" t="str">
        <f t="shared" si="0"/>
        <v>10 - 15</v>
      </c>
      <c r="G9" s="3"/>
      <c r="H9" s="7">
        <f>IF(B9="","",COUNTIFS(EeData!$G:$G,"A",EeData!$F:$F,"&gt;="&amp;$B9,EeData!$F:$F,"&lt;"&amp; IF($D9="",200, $D9)))</f>
        <v>11</v>
      </c>
    </row>
    <row r="10" spans="2:8" x14ac:dyDescent="0.25">
      <c r="B10" s="1">
        <f t="shared" si="1"/>
        <v>15</v>
      </c>
      <c r="C10" s="1"/>
      <c r="D10" s="8">
        <f t="shared" si="2"/>
        <v>20</v>
      </c>
      <c r="F10" s="5" t="str">
        <f t="shared" si="0"/>
        <v>15 - 20</v>
      </c>
      <c r="G10" s="3"/>
      <c r="H10" s="7">
        <f>IF(B10="","",COUNTIFS(EeData!$G:$G,"A",EeData!$F:$F,"&gt;="&amp;$B10,EeData!$F:$F,"&lt;"&amp; IF($D10="",200, $D10)))</f>
        <v>3</v>
      </c>
    </row>
    <row r="11" spans="2:8" x14ac:dyDescent="0.25">
      <c r="B11" s="1">
        <f t="shared" si="1"/>
        <v>20</v>
      </c>
      <c r="C11" s="1"/>
      <c r="D11" s="8">
        <f t="shared" si="2"/>
        <v>25</v>
      </c>
      <c r="F11" s="5" t="str">
        <f t="shared" si="0"/>
        <v>20 - 25</v>
      </c>
      <c r="G11" s="3"/>
      <c r="H11" s="7">
        <f>IF(B11="","",COUNTIFS(EeData!$G:$G,"A",EeData!$F:$F,"&gt;="&amp;$B11,EeData!$F:$F,"&lt;"&amp; IF($D11="",200, $D11)))</f>
        <v>3</v>
      </c>
    </row>
    <row r="12" spans="2:8" x14ac:dyDescent="0.25">
      <c r="B12" s="1">
        <f t="shared" si="1"/>
        <v>25</v>
      </c>
      <c r="C12" s="1"/>
      <c r="D12" s="8"/>
      <c r="F12" s="5" t="str">
        <f t="shared" si="0"/>
        <v>25 &lt;=</v>
      </c>
      <c r="G12" s="3"/>
      <c r="H12" s="7">
        <f>IF(B12="","",COUNTIFS(EeData!$G:$G,"A",EeData!$F:$F,"&gt;="&amp;$B12,EeData!$F:$F,"&lt;"&amp; IF($D12="",200, $D12)))</f>
        <v>2</v>
      </c>
    </row>
    <row r="13" spans="2:8" x14ac:dyDescent="0.25">
      <c r="B13" s="1" t="str">
        <f t="shared" si="1"/>
        <v/>
      </c>
      <c r="C13" s="1"/>
      <c r="D13" s="8"/>
      <c r="F13" s="5" t="str">
        <f t="shared" si="0"/>
        <v/>
      </c>
      <c r="G13" s="3"/>
      <c r="H13" s="7" t="str">
        <f>IF(B13="","",COUNTIFS(EeData!$G:$G,"A",EeData!$F:$F,"&gt;="&amp;$B13,EeData!$F:$F,"&lt;"&amp; IF($D13="",200, $D13)))</f>
        <v/>
      </c>
    </row>
    <row r="14" spans="2:8" x14ac:dyDescent="0.25">
      <c r="B14" s="1" t="str">
        <f t="shared" si="1"/>
        <v/>
      </c>
      <c r="C14" s="1"/>
      <c r="D14" s="8"/>
      <c r="F14" s="5" t="str">
        <f t="shared" si="0"/>
        <v/>
      </c>
      <c r="G14" s="3"/>
      <c r="H14" s="7" t="str">
        <f>IF(B14="","",COUNTIFS(EeData!$G:$G,"A",EeData!$F:$F,"&gt;="&amp;$B14,EeData!$F:$F,"&lt;"&amp; IF($D14="",200, $D14)))</f>
        <v/>
      </c>
    </row>
    <row r="15" spans="2:8" x14ac:dyDescent="0.25">
      <c r="B15" s="1" t="str">
        <f t="shared" si="1"/>
        <v/>
      </c>
      <c r="C15" s="1"/>
      <c r="D15" s="8"/>
      <c r="F15" s="5" t="str">
        <f t="shared" si="0"/>
        <v/>
      </c>
      <c r="G15" s="3"/>
      <c r="H15" s="7" t="str">
        <f>IF(B15="","",COUNTIFS(EeData!$G:$G,"A",EeData!$F:$F,"&gt;="&amp;$B15,EeData!$F:$F,"&lt;"&amp; IF($D15="",200, $D15)))</f>
        <v/>
      </c>
    </row>
    <row r="16" spans="2:8" x14ac:dyDescent="0.25">
      <c r="B16" s="1" t="str">
        <f t="shared" si="1"/>
        <v/>
      </c>
      <c r="C16" s="1"/>
      <c r="D16" s="8"/>
      <c r="F16" s="5" t="str">
        <f t="shared" si="0"/>
        <v/>
      </c>
      <c r="G16" s="3"/>
      <c r="H16" s="7" t="str">
        <f>IF(B16="","",COUNTIFS(EeData!$G:$G,"A",EeData!$F:$F,"&gt;="&amp;$B16,EeData!$F:$F,"&lt;"&amp; IF($D16="",200, $D16)))</f>
        <v/>
      </c>
    </row>
    <row r="17" spans="2:8" x14ac:dyDescent="0.25">
      <c r="B17" s="1" t="str">
        <f t="shared" si="1"/>
        <v/>
      </c>
      <c r="C17" s="1"/>
      <c r="D17" s="8"/>
      <c r="F17" s="5" t="str">
        <f t="shared" si="0"/>
        <v/>
      </c>
      <c r="G17" s="3"/>
      <c r="H17" s="7" t="str">
        <f>IF(B17="","",COUNTIFS(EeData!$G:$G,"A",EeData!$F:$F,"&gt;="&amp;$B17,EeData!$F:$F,"&lt;"&amp; IF($D17="",200, $D17)))</f>
        <v/>
      </c>
    </row>
    <row r="18" spans="2:8" hidden="1" x14ac:dyDescent="0.25">
      <c r="B18" s="1" t="str">
        <f t="shared" si="1"/>
        <v/>
      </c>
      <c r="C18" s="1"/>
      <c r="D18" s="8"/>
      <c r="F18" s="5" t="str">
        <f t="shared" si="0"/>
        <v/>
      </c>
      <c r="G18" s="3"/>
      <c r="H18" s="7" t="str">
        <f>IF(B18="","",COUNTIFS(EeData!$G:$G,"A",EeData!$F:$F,"&gt;="&amp;$B18,EeData!$F:$F,"&lt;"&amp; IF($D18="",200, $D18)))</f>
        <v/>
      </c>
    </row>
    <row r="19" spans="2:8" hidden="1" x14ac:dyDescent="0.25">
      <c r="B19" s="1" t="str">
        <f t="shared" si="1"/>
        <v/>
      </c>
      <c r="C19" s="1"/>
      <c r="D19" s="8"/>
      <c r="F19" s="5" t="str">
        <f t="shared" si="0"/>
        <v/>
      </c>
      <c r="G19" s="3"/>
      <c r="H19" s="7" t="str">
        <f>IF(B19="","",COUNTIFS(EeData!$G:$G,"A",EeData!$F:$F,"&gt;="&amp;$B19,EeData!$F:$F,"&lt;"&amp; IF($D19="",200, $D19)))</f>
        <v/>
      </c>
    </row>
    <row r="20" spans="2:8" hidden="1" x14ac:dyDescent="0.25">
      <c r="B20" s="1" t="str">
        <f t="shared" si="1"/>
        <v/>
      </c>
      <c r="C20" s="1"/>
      <c r="D20" s="8"/>
      <c r="F20" s="5" t="str">
        <f t="shared" si="0"/>
        <v/>
      </c>
      <c r="G20" s="3"/>
      <c r="H20" s="7" t="str">
        <f>IF(B20="","",COUNTIFS(EeData!$G:$G,"A",EeData!$F:$F,"&gt;="&amp;$B20,EeData!$F:$F,"&lt;"&amp; IF($D20="",200, $D20)))</f>
        <v/>
      </c>
    </row>
    <row r="21" spans="2:8" hidden="1" x14ac:dyDescent="0.25">
      <c r="B21" s="1" t="str">
        <f t="shared" si="1"/>
        <v/>
      </c>
      <c r="C21" s="1"/>
      <c r="D21" s="8"/>
      <c r="F21" s="5" t="str">
        <f t="shared" si="0"/>
        <v/>
      </c>
      <c r="G21" s="3"/>
      <c r="H21" s="7" t="str">
        <f>IF(B21="","",COUNTIFS(EeData!$G:$G,"A",EeData!$F:$F,"&gt;="&amp;$B21,EeData!$F:$F,"&lt;"&amp; IF($D21="",200, $D21)))</f>
        <v/>
      </c>
    </row>
    <row r="22" spans="2:8" hidden="1" x14ac:dyDescent="0.25">
      <c r="B22" s="1" t="str">
        <f t="shared" si="1"/>
        <v/>
      </c>
      <c r="C22" s="1"/>
      <c r="D22" s="8"/>
      <c r="F22" s="5" t="str">
        <f t="shared" si="0"/>
        <v/>
      </c>
      <c r="G22" s="3"/>
      <c r="H22" s="7" t="str">
        <f>IF(B22="","",COUNTIFS(EeData!$G:$G,"A",EeData!$F:$F,"&gt;="&amp;$B22,EeData!$F:$F,"&lt;"&amp; IF($D22="",200, $D22)))</f>
        <v/>
      </c>
    </row>
    <row r="23" spans="2:8" hidden="1" x14ac:dyDescent="0.25">
      <c r="B23" s="1" t="str">
        <f t="shared" si="1"/>
        <v/>
      </c>
      <c r="C23" s="1"/>
      <c r="D23" s="8"/>
      <c r="F23" s="5" t="str">
        <f t="shared" si="0"/>
        <v/>
      </c>
      <c r="G23" s="3"/>
      <c r="H23" s="7" t="str">
        <f>IF(B23="","",COUNTIFS(EeData!$G:$G,"A",EeData!$F:$F,"&gt;="&amp;$B23,EeData!$F:$F,"&lt;"&amp; IF($D23="",200, $D23)))</f>
        <v/>
      </c>
    </row>
    <row r="24" spans="2:8" hidden="1" x14ac:dyDescent="0.25">
      <c r="B24" s="1" t="str">
        <f t="shared" si="1"/>
        <v/>
      </c>
      <c r="C24" s="1"/>
      <c r="D24" s="8"/>
      <c r="F24" s="5" t="str">
        <f t="shared" si="0"/>
        <v/>
      </c>
      <c r="G24" s="3"/>
      <c r="H24" s="7" t="str">
        <f>IF(B24="","",COUNTIFS(EeData!$G:$G,"A",EeData!$F:$F,"&gt;="&amp;$B24,EeData!$F:$F,"&lt;"&amp; IF($D24="",200, $D24)))</f>
        <v/>
      </c>
    </row>
    <row r="25" spans="2:8" ht="15" hidden="1" customHeight="1" x14ac:dyDescent="0.25">
      <c r="B25" s="1" t="str">
        <f t="shared" si="1"/>
        <v/>
      </c>
      <c r="C25" s="1"/>
      <c r="D25" s="8"/>
      <c r="F25" s="5" t="str">
        <f t="shared" si="0"/>
        <v/>
      </c>
      <c r="G25" s="3"/>
      <c r="H25" s="7" t="str">
        <f>IF(B25="","",COUNTIFS(EeData!$G:$G,"A",EeData!$F:$F,"&gt;="&amp;$B25,EeData!$F:$F,"&lt;"&amp; IF($D25="",200, $D25)))</f>
        <v/>
      </c>
    </row>
    <row r="26" spans="2:8" ht="15" hidden="1" customHeight="1" x14ac:dyDescent="0.25">
      <c r="B26" s="1" t="str">
        <f t="shared" si="1"/>
        <v/>
      </c>
      <c r="C26" s="1"/>
      <c r="D26" s="8"/>
      <c r="F26" s="5" t="str">
        <f t="shared" si="0"/>
        <v/>
      </c>
      <c r="G26" s="3"/>
      <c r="H26" s="7" t="str">
        <f>IF(B26="","",COUNTIFS(EeData!$G:$G,"A",EeData!$F:$F,"&gt;="&amp;$B26,EeData!$F:$F,"&lt;"&amp; IF($D26="",200, $D26)))</f>
        <v/>
      </c>
    </row>
    <row r="27" spans="2:8" ht="15" hidden="1" customHeight="1" x14ac:dyDescent="0.25">
      <c r="B27" s="1" t="str">
        <f t="shared" si="1"/>
        <v/>
      </c>
      <c r="C27" s="1"/>
      <c r="D27" s="8"/>
      <c r="F27" s="5" t="str">
        <f t="shared" si="0"/>
        <v/>
      </c>
      <c r="G27" s="3"/>
      <c r="H27" s="7" t="str">
        <f>IF(B27="","",COUNTIFS(EeData!$G:$G,"A",EeData!$F:$F,"&gt;="&amp;$B27,EeData!$F:$F,"&lt;"&amp; IF($D27="",200, $D27)))</f>
        <v/>
      </c>
    </row>
    <row r="28" spans="2:8" ht="15" hidden="1" customHeight="1" x14ac:dyDescent="0.25">
      <c r="B28" s="1" t="str">
        <f t="shared" si="1"/>
        <v/>
      </c>
      <c r="C28" s="1"/>
      <c r="D28" s="8"/>
      <c r="F28" s="5" t="str">
        <f t="shared" si="0"/>
        <v/>
      </c>
      <c r="G28" s="3"/>
      <c r="H28" s="7" t="str">
        <f>IF(B28="","",COUNTIFS(EeData!$G:$G,"A",EeData!$F:$F,"&gt;="&amp;$B28,EeData!$F:$F,"&lt;"&amp; IF($D28="",200, $D28)))</f>
        <v/>
      </c>
    </row>
    <row r="29" spans="2:8" ht="15" hidden="1" customHeight="1" x14ac:dyDescent="0.25">
      <c r="B29" s="1" t="str">
        <f t="shared" si="1"/>
        <v/>
      </c>
      <c r="C29" s="1"/>
      <c r="D29" s="8"/>
      <c r="F29" s="5" t="str">
        <f t="shared" si="0"/>
        <v/>
      </c>
      <c r="G29" s="3"/>
      <c r="H29" s="7" t="str">
        <f>IF(B29="","",COUNTIFS(EeData!$G:$G,"A",EeData!$F:$F,"&gt;="&amp;$B29,EeData!$F:$F,"&lt;"&amp; IF($D29="",200, $D29)))</f>
        <v/>
      </c>
    </row>
    <row r="30" spans="2:8" x14ac:dyDescent="0.25">
      <c r="B30" s="1" t="str">
        <f t="shared" si="1"/>
        <v/>
      </c>
      <c r="C30" s="1"/>
      <c r="D30" s="8"/>
      <c r="F30" s="5" t="str">
        <f t="shared" si="0"/>
        <v/>
      </c>
      <c r="G30" s="3"/>
      <c r="H30" s="7" t="str">
        <f>IF(B30="","",COUNTIFS(EeData!$G:$G,"A",EeData!$F:$F,"&gt;="&amp;$B30,EeData!$F:$F,"&lt;"&amp; IF($D30="",200, $D30)))</f>
        <v/>
      </c>
    </row>
    <row r="31" spans="2:8" x14ac:dyDescent="0.25">
      <c r="B31" s="1" t="str">
        <f t="shared" si="1"/>
        <v/>
      </c>
      <c r="D31" s="8"/>
      <c r="F31" s="5" t="str">
        <f t="shared" si="0"/>
        <v/>
      </c>
      <c r="G31" s="3"/>
      <c r="H31" s="7" t="str">
        <f>IF(B31="","",COUNTIFS(EeData!$G:$G,"A",EeData!$F:$F,"&gt;="&amp;$B31,EeData!$F:$F,"&lt;"&amp; IF($D31="",200, $D31)))</f>
        <v/>
      </c>
    </row>
    <row r="32" spans="2:8" x14ac:dyDescent="0.25">
      <c r="B32" s="1" t="str">
        <f t="shared" si="1"/>
        <v/>
      </c>
      <c r="D32" s="8"/>
      <c r="F32" s="5" t="str">
        <f t="shared" si="0"/>
        <v/>
      </c>
      <c r="G32" s="3"/>
      <c r="H32" s="7" t="str">
        <f>IF(B32="","",COUNTIFS(EeData!$G:$G,"A",EeData!$F:$F,"&gt;="&amp;$B32,EeData!$F:$F,"&lt;"&amp; IF($D32="",200, $D32)))</f>
        <v/>
      </c>
    </row>
    <row r="33" spans="2:8" x14ac:dyDescent="0.25">
      <c r="B33" s="1" t="str">
        <f t="shared" si="1"/>
        <v/>
      </c>
      <c r="D33" s="8"/>
      <c r="F33" s="5" t="str">
        <f t="shared" si="0"/>
        <v/>
      </c>
      <c r="G33" s="3"/>
      <c r="H33" s="7" t="str">
        <f>IF(B33="","",COUNTIFS(EeData!$G:$G,"A",EeData!$F:$F,"&gt;="&amp;$B33,EeData!$F:$F,"&lt;"&amp; IF($D33="",200, $D33)))</f>
        <v/>
      </c>
    </row>
    <row r="34" spans="2:8" ht="15.75" thickBot="1" x14ac:dyDescent="0.3">
      <c r="B34" s="1" t="str">
        <f t="shared" si="1"/>
        <v/>
      </c>
      <c r="F34" s="5" t="str">
        <f t="shared" si="0"/>
        <v/>
      </c>
      <c r="G34" s="4"/>
      <c r="H34" s="7" t="str">
        <f>IF(B34="","",COUNTIFS(EeData!$G:$G,"A",EeData!$F:$F,"&gt;="&amp;$B34,EeData!$F:$F,"&lt;"&amp; IF($D34="",200, $D34)))</f>
        <v/>
      </c>
    </row>
  </sheetData>
  <mergeCells count="5">
    <mergeCell ref="B2:H2"/>
    <mergeCell ref="B4:D4"/>
    <mergeCell ref="B5:D5"/>
    <mergeCell ref="F4:H4"/>
    <mergeCell ref="F5:H5"/>
  </mergeCells>
  <pageMargins left="0.7" right="0.7" top="0.75" bottom="0.75" header="0.3" footer="0.3"/>
  <pageSetup orientation="portrait" horizontalDpi="300" verticalDpi="300" r:id="rId1"/>
  <headerFooter>
    <oddFooter>&amp;L&amp;F
&amp;A&amp;C&amp;P of &amp;N&amp;R&amp;D
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738A-E0B7-4A89-A9C1-F2B3C0DE3778}">
  <dimension ref="A1:H54"/>
  <sheetViews>
    <sheetView topLeftCell="A5" workbookViewId="0">
      <pane ySplit="1" topLeftCell="A6" activePane="bottomLeft" state="frozen"/>
      <selection activeCell="A5" sqref="A5"/>
      <selection pane="bottomLeft" activeCell="A11" sqref="A11"/>
    </sheetView>
  </sheetViews>
  <sheetFormatPr defaultColWidth="8.85546875" defaultRowHeight="12.75" x14ac:dyDescent="0.2"/>
  <cols>
    <col min="1" max="1" width="9.7109375" style="16" customWidth="1"/>
    <col min="2" max="2" width="14.42578125" style="16" bestFit="1" customWidth="1"/>
    <col min="3" max="3" width="13.85546875" style="16" bestFit="1" customWidth="1"/>
    <col min="4" max="4" width="13" style="16" customWidth="1"/>
    <col min="5" max="5" width="10.28515625" style="16" customWidth="1"/>
    <col min="6" max="6" width="10.5703125" style="16" customWidth="1"/>
    <col min="7" max="7" width="11.7109375" style="16" bestFit="1" customWidth="1"/>
    <col min="8" max="8" width="11.5703125" style="16" bestFit="1" customWidth="1"/>
    <col min="9" max="16384" width="8.85546875" style="16"/>
  </cols>
  <sheetData>
    <row r="1" spans="1:8" ht="18" x14ac:dyDescent="0.25">
      <c r="A1" s="23" t="s">
        <v>19</v>
      </c>
      <c r="B1" s="23"/>
      <c r="C1" s="23"/>
      <c r="D1" s="23"/>
      <c r="E1" s="23"/>
      <c r="F1" s="23"/>
      <c r="G1" s="23"/>
      <c r="H1" s="23"/>
    </row>
    <row r="4" spans="1:8" ht="15.75" thickBot="1" x14ac:dyDescent="0.3">
      <c r="C4" s="22"/>
      <c r="D4" s="22"/>
      <c r="E4" s="22"/>
      <c r="F4" s="22"/>
    </row>
    <row r="5" spans="1:8" x14ac:dyDescent="0.2">
      <c r="A5" s="21" t="s">
        <v>18</v>
      </c>
      <c r="B5" s="20" t="s">
        <v>17</v>
      </c>
      <c r="C5" s="19" t="s">
        <v>16</v>
      </c>
      <c r="D5" s="19" t="s">
        <v>15</v>
      </c>
      <c r="E5" s="19" t="s">
        <v>14</v>
      </c>
      <c r="F5" s="19" t="s">
        <v>13</v>
      </c>
      <c r="G5" s="19" t="s">
        <v>12</v>
      </c>
      <c r="H5" s="19" t="s">
        <v>11</v>
      </c>
    </row>
    <row r="6" spans="1:8" ht="15" x14ac:dyDescent="0.25">
      <c r="A6" s="17">
        <v>375757</v>
      </c>
      <c r="B6" s="17">
        <v>2</v>
      </c>
      <c r="C6" s="18">
        <v>96000</v>
      </c>
      <c r="D6" s="18">
        <v>91428.57142857142</v>
      </c>
      <c r="E6" s="17">
        <v>55</v>
      </c>
      <c r="F6" s="17">
        <v>7</v>
      </c>
      <c r="G6" s="17" t="s">
        <v>7</v>
      </c>
      <c r="H6" s="17" t="s">
        <v>7</v>
      </c>
    </row>
    <row r="7" spans="1:8" ht="15" x14ac:dyDescent="0.25">
      <c r="A7" s="17">
        <v>384691</v>
      </c>
      <c r="B7" s="17">
        <v>1</v>
      </c>
      <c r="C7" s="18">
        <v>89000</v>
      </c>
      <c r="D7" s="18">
        <v>84761.904761904763</v>
      </c>
      <c r="E7" s="17">
        <v>52</v>
      </c>
      <c r="F7" s="17">
        <v>5</v>
      </c>
      <c r="G7" s="17" t="s">
        <v>7</v>
      </c>
      <c r="H7" s="17" t="s">
        <v>7</v>
      </c>
    </row>
    <row r="8" spans="1:8" ht="15" x14ac:dyDescent="0.25">
      <c r="A8" s="17">
        <v>396332</v>
      </c>
      <c r="B8" s="17">
        <v>3</v>
      </c>
      <c r="C8" s="18">
        <v>85000</v>
      </c>
      <c r="D8" s="18"/>
      <c r="E8" s="17">
        <v>48</v>
      </c>
      <c r="F8" s="17">
        <v>1</v>
      </c>
      <c r="G8" s="17" t="s">
        <v>7</v>
      </c>
      <c r="H8" s="17"/>
    </row>
    <row r="9" spans="1:8" ht="15" x14ac:dyDescent="0.25">
      <c r="A9" s="17">
        <v>401073</v>
      </c>
      <c r="B9" s="17">
        <v>1</v>
      </c>
      <c r="C9" s="18"/>
      <c r="D9" s="18">
        <v>80000</v>
      </c>
      <c r="E9" s="17">
        <v>66</v>
      </c>
      <c r="F9" s="17"/>
      <c r="G9" s="17" t="s">
        <v>8</v>
      </c>
      <c r="H9" s="17" t="s">
        <v>8</v>
      </c>
    </row>
    <row r="10" spans="1:8" ht="15" x14ac:dyDescent="0.25">
      <c r="A10" s="17">
        <v>409118</v>
      </c>
      <c r="B10" s="17">
        <v>1</v>
      </c>
      <c r="C10" s="18">
        <v>83000</v>
      </c>
      <c r="D10" s="18">
        <v>71000</v>
      </c>
      <c r="E10" s="17">
        <v>28</v>
      </c>
      <c r="F10" s="17">
        <v>11</v>
      </c>
      <c r="G10" s="17" t="s">
        <v>7</v>
      </c>
      <c r="H10" s="17" t="s">
        <v>7</v>
      </c>
    </row>
    <row r="11" spans="1:8" ht="15" x14ac:dyDescent="0.25">
      <c r="A11" s="17">
        <v>411380</v>
      </c>
      <c r="B11" s="17">
        <v>1</v>
      </c>
      <c r="C11" s="18">
        <v>86000</v>
      </c>
      <c r="D11" s="18">
        <v>74000</v>
      </c>
      <c r="E11" s="17">
        <v>57</v>
      </c>
      <c r="F11" s="17">
        <v>27</v>
      </c>
      <c r="G11" s="17" t="s">
        <v>7</v>
      </c>
      <c r="H11" s="17" t="s">
        <v>7</v>
      </c>
    </row>
    <row r="12" spans="1:8" ht="15" x14ac:dyDescent="0.25">
      <c r="A12" s="17">
        <v>412092</v>
      </c>
      <c r="B12" s="17">
        <v>1</v>
      </c>
      <c r="C12" s="18">
        <v>87000</v>
      </c>
      <c r="D12" s="18"/>
      <c r="E12" s="17">
        <v>32</v>
      </c>
      <c r="F12" s="17">
        <v>2</v>
      </c>
      <c r="G12" s="17" t="s">
        <v>7</v>
      </c>
      <c r="H12" s="17"/>
    </row>
    <row r="13" spans="1:8" ht="15" x14ac:dyDescent="0.25">
      <c r="A13" s="17">
        <v>413369</v>
      </c>
      <c r="B13" s="17">
        <v>1</v>
      </c>
      <c r="C13" s="18">
        <v>86000</v>
      </c>
      <c r="D13" s="18"/>
      <c r="E13" s="17">
        <v>44</v>
      </c>
      <c r="F13" s="17">
        <v>14</v>
      </c>
      <c r="G13" s="17" t="s">
        <v>7</v>
      </c>
      <c r="H13" s="17"/>
    </row>
    <row r="14" spans="1:8" ht="15" x14ac:dyDescent="0.25">
      <c r="A14" s="17">
        <v>415179</v>
      </c>
      <c r="B14" s="17">
        <v>1</v>
      </c>
      <c r="C14" s="18">
        <v>75000</v>
      </c>
      <c r="D14" s="18">
        <v>63000</v>
      </c>
      <c r="E14" s="17">
        <v>32</v>
      </c>
      <c r="F14" s="17">
        <v>2</v>
      </c>
      <c r="G14" s="17" t="s">
        <v>7</v>
      </c>
      <c r="H14" s="17" t="s">
        <v>7</v>
      </c>
    </row>
    <row r="15" spans="1:8" ht="15" x14ac:dyDescent="0.25">
      <c r="A15" s="17">
        <v>422576</v>
      </c>
      <c r="B15" s="17">
        <v>1</v>
      </c>
      <c r="C15" s="18">
        <v>86000</v>
      </c>
      <c r="D15" s="18">
        <v>80000</v>
      </c>
      <c r="E15" s="17">
        <v>55</v>
      </c>
      <c r="F15" s="17"/>
      <c r="G15" s="17" t="s">
        <v>8</v>
      </c>
      <c r="H15" s="17" t="s">
        <v>7</v>
      </c>
    </row>
    <row r="16" spans="1:8" ht="15" x14ac:dyDescent="0.25">
      <c r="A16" s="17">
        <v>424060</v>
      </c>
      <c r="B16" s="17">
        <v>3</v>
      </c>
      <c r="C16" s="18">
        <v>250000</v>
      </c>
      <c r="D16" s="18">
        <v>230000</v>
      </c>
      <c r="E16" s="17">
        <v>51</v>
      </c>
      <c r="F16" s="17">
        <v>10</v>
      </c>
      <c r="G16" s="17" t="s">
        <v>7</v>
      </c>
      <c r="H16" s="17" t="s">
        <v>7</v>
      </c>
    </row>
    <row r="17" spans="1:8" ht="15" x14ac:dyDescent="0.25">
      <c r="A17" s="17">
        <v>431411</v>
      </c>
      <c r="B17" s="17">
        <v>3</v>
      </c>
      <c r="C17" s="18">
        <v>91000</v>
      </c>
      <c r="D17" s="18">
        <v>86666.666666666657</v>
      </c>
      <c r="E17" s="17">
        <v>49</v>
      </c>
      <c r="F17" s="17">
        <v>6</v>
      </c>
      <c r="G17" s="17" t="s">
        <v>7</v>
      </c>
      <c r="H17" s="17" t="s">
        <v>7</v>
      </c>
    </row>
    <row r="18" spans="1:8" ht="15" x14ac:dyDescent="0.25">
      <c r="A18" s="17">
        <v>436028</v>
      </c>
      <c r="B18" s="17">
        <v>1</v>
      </c>
      <c r="C18" s="18">
        <v>86000</v>
      </c>
      <c r="D18" s="18">
        <v>74000</v>
      </c>
      <c r="E18" s="17">
        <v>23</v>
      </c>
      <c r="F18" s="17">
        <v>3</v>
      </c>
      <c r="G18" s="17" t="s">
        <v>7</v>
      </c>
      <c r="H18" s="17" t="s">
        <v>7</v>
      </c>
    </row>
    <row r="19" spans="1:8" ht="15" x14ac:dyDescent="0.25">
      <c r="A19" s="17">
        <v>437293</v>
      </c>
      <c r="B19" s="17">
        <v>3</v>
      </c>
      <c r="C19" s="18">
        <v>86000</v>
      </c>
      <c r="D19" s="18">
        <v>80000</v>
      </c>
      <c r="E19" s="17">
        <v>51</v>
      </c>
      <c r="F19" s="17"/>
      <c r="G19" s="17" t="s">
        <v>9</v>
      </c>
      <c r="H19" s="17" t="s">
        <v>7</v>
      </c>
    </row>
    <row r="20" spans="1:8" ht="15" x14ac:dyDescent="0.25">
      <c r="A20" s="17">
        <v>438052</v>
      </c>
      <c r="B20" s="17">
        <v>1</v>
      </c>
      <c r="C20" s="18">
        <v>86000</v>
      </c>
      <c r="D20" s="18">
        <v>74000</v>
      </c>
      <c r="E20" s="17">
        <v>32</v>
      </c>
      <c r="F20" s="17">
        <v>9</v>
      </c>
      <c r="G20" s="17" t="s">
        <v>7</v>
      </c>
      <c r="H20" s="17" t="s">
        <v>7</v>
      </c>
    </row>
    <row r="21" spans="1:8" ht="15" x14ac:dyDescent="0.25">
      <c r="A21" s="17">
        <v>438638</v>
      </c>
      <c r="B21" s="17">
        <v>2</v>
      </c>
      <c r="C21" s="18">
        <v>87000</v>
      </c>
      <c r="D21" s="18">
        <v>82857.142857142855</v>
      </c>
      <c r="E21" s="17">
        <v>47</v>
      </c>
      <c r="F21" s="17">
        <v>12</v>
      </c>
      <c r="G21" s="17" t="s">
        <v>7</v>
      </c>
      <c r="H21" s="17" t="s">
        <v>7</v>
      </c>
    </row>
    <row r="22" spans="1:8" ht="15" x14ac:dyDescent="0.25">
      <c r="A22" s="17">
        <v>449418</v>
      </c>
      <c r="B22" s="17">
        <v>1</v>
      </c>
      <c r="C22" s="18">
        <v>76000</v>
      </c>
      <c r="D22" s="18">
        <v>64000</v>
      </c>
      <c r="E22" s="17">
        <v>45</v>
      </c>
      <c r="F22" s="17">
        <v>15</v>
      </c>
      <c r="G22" s="17" t="s">
        <v>7</v>
      </c>
      <c r="H22" s="17" t="s">
        <v>7</v>
      </c>
    </row>
    <row r="23" spans="1:8" ht="15" x14ac:dyDescent="0.25">
      <c r="A23" s="17">
        <v>449944</v>
      </c>
      <c r="B23" s="17">
        <v>1</v>
      </c>
      <c r="C23" s="18">
        <v>86000</v>
      </c>
      <c r="D23" s="18">
        <v>80000</v>
      </c>
      <c r="E23" s="17">
        <v>45</v>
      </c>
      <c r="F23" s="17"/>
      <c r="G23" s="17" t="s">
        <v>9</v>
      </c>
      <c r="H23" s="17" t="s">
        <v>7</v>
      </c>
    </row>
    <row r="24" spans="1:8" ht="15" x14ac:dyDescent="0.25">
      <c r="A24" s="17">
        <v>452656</v>
      </c>
      <c r="B24" s="17">
        <v>2</v>
      </c>
      <c r="C24" s="18">
        <v>93000</v>
      </c>
      <c r="D24" s="18">
        <v>88571.428571428565</v>
      </c>
      <c r="E24" s="17">
        <v>46</v>
      </c>
      <c r="F24" s="17">
        <v>18</v>
      </c>
      <c r="G24" s="17" t="s">
        <v>7</v>
      </c>
      <c r="H24" s="17" t="s">
        <v>7</v>
      </c>
    </row>
    <row r="25" spans="1:8" ht="15" x14ac:dyDescent="0.25">
      <c r="A25" s="17">
        <v>463271</v>
      </c>
      <c r="B25" s="17">
        <v>1</v>
      </c>
      <c r="C25" s="18">
        <v>54000</v>
      </c>
      <c r="D25" s="18">
        <v>42000</v>
      </c>
      <c r="E25" s="17">
        <v>32</v>
      </c>
      <c r="F25" s="17">
        <v>8</v>
      </c>
      <c r="G25" s="17" t="s">
        <v>7</v>
      </c>
      <c r="H25" s="17" t="s">
        <v>7</v>
      </c>
    </row>
    <row r="26" spans="1:8" ht="15" x14ac:dyDescent="0.25">
      <c r="A26" s="17">
        <v>463938</v>
      </c>
      <c r="B26" s="17">
        <v>1</v>
      </c>
      <c r="C26" s="18">
        <v>96000</v>
      </c>
      <c r="D26" s="18">
        <v>84000</v>
      </c>
      <c r="E26" s="17">
        <v>32</v>
      </c>
      <c r="F26" s="17">
        <v>2</v>
      </c>
      <c r="G26" s="17" t="s">
        <v>7</v>
      </c>
      <c r="H26" s="17" t="s">
        <v>7</v>
      </c>
    </row>
    <row r="27" spans="1:8" ht="15" x14ac:dyDescent="0.25">
      <c r="A27" s="17">
        <v>479102</v>
      </c>
      <c r="B27" s="17">
        <v>3</v>
      </c>
      <c r="C27" s="18">
        <v>85000</v>
      </c>
      <c r="D27" s="18"/>
      <c r="E27" s="17">
        <v>48</v>
      </c>
      <c r="F27" s="17">
        <v>1</v>
      </c>
      <c r="G27" s="17" t="s">
        <v>7</v>
      </c>
      <c r="H27" s="17"/>
    </row>
    <row r="28" spans="1:8" ht="15" x14ac:dyDescent="0.25">
      <c r="A28" s="17">
        <v>481800</v>
      </c>
      <c r="B28" s="17">
        <v>2</v>
      </c>
      <c r="C28" s="18"/>
      <c r="D28" s="18">
        <v>80000</v>
      </c>
      <c r="E28" s="17">
        <v>64</v>
      </c>
      <c r="F28" s="17"/>
      <c r="G28" s="17" t="s">
        <v>8</v>
      </c>
      <c r="H28" s="17" t="s">
        <v>8</v>
      </c>
    </row>
    <row r="29" spans="1:8" ht="15" x14ac:dyDescent="0.25">
      <c r="A29" s="17">
        <v>482078</v>
      </c>
      <c r="B29" s="17">
        <v>1</v>
      </c>
      <c r="C29" s="18">
        <v>110000</v>
      </c>
      <c r="D29" s="18">
        <v>98000</v>
      </c>
      <c r="E29" s="17">
        <v>32</v>
      </c>
      <c r="F29" s="17">
        <v>8</v>
      </c>
      <c r="G29" s="17" t="s">
        <v>7</v>
      </c>
      <c r="H29" s="17" t="s">
        <v>7</v>
      </c>
    </row>
    <row r="30" spans="1:8" ht="15" x14ac:dyDescent="0.25">
      <c r="A30" s="17">
        <v>486583</v>
      </c>
      <c r="B30" s="17">
        <v>1</v>
      </c>
      <c r="C30" s="18">
        <v>86000</v>
      </c>
      <c r="D30" s="18">
        <v>80000</v>
      </c>
      <c r="E30" s="17">
        <v>32</v>
      </c>
      <c r="F30" s="17"/>
      <c r="G30" s="17" t="s">
        <v>10</v>
      </c>
      <c r="H30" s="17" t="s">
        <v>7</v>
      </c>
    </row>
    <row r="31" spans="1:8" ht="15" x14ac:dyDescent="0.25">
      <c r="A31" s="17">
        <v>492053</v>
      </c>
      <c r="B31" s="17">
        <v>1</v>
      </c>
      <c r="C31" s="18">
        <v>86000</v>
      </c>
      <c r="D31" s="18">
        <v>74000</v>
      </c>
      <c r="E31" s="17">
        <v>32</v>
      </c>
      <c r="F31" s="17">
        <v>2</v>
      </c>
      <c r="G31" s="17" t="s">
        <v>7</v>
      </c>
      <c r="H31" s="17" t="s">
        <v>7</v>
      </c>
    </row>
    <row r="32" spans="1:8" ht="15" x14ac:dyDescent="0.25">
      <c r="A32" s="17">
        <v>492133</v>
      </c>
      <c r="B32" s="17">
        <v>1</v>
      </c>
      <c r="C32" s="18">
        <v>100000</v>
      </c>
      <c r="D32" s="18">
        <v>88000</v>
      </c>
      <c r="E32" s="17">
        <v>32</v>
      </c>
      <c r="F32" s="17">
        <v>10</v>
      </c>
      <c r="G32" s="17" t="s">
        <v>7</v>
      </c>
      <c r="H32" s="17" t="s">
        <v>7</v>
      </c>
    </row>
    <row r="33" spans="1:8" ht="15" x14ac:dyDescent="0.25">
      <c r="A33" s="17">
        <v>492176</v>
      </c>
      <c r="B33" s="17">
        <v>1</v>
      </c>
      <c r="C33" s="18">
        <v>86000</v>
      </c>
      <c r="D33" s="18">
        <v>80000</v>
      </c>
      <c r="E33" s="17">
        <v>34</v>
      </c>
      <c r="F33" s="17"/>
      <c r="G33" s="17" t="s">
        <v>10</v>
      </c>
      <c r="H33" s="17" t="s">
        <v>7</v>
      </c>
    </row>
    <row r="34" spans="1:8" ht="15" x14ac:dyDescent="0.25">
      <c r="A34" s="17">
        <v>496907</v>
      </c>
      <c r="B34" s="17">
        <v>2</v>
      </c>
      <c r="C34" s="18"/>
      <c r="D34" s="18">
        <v>80000</v>
      </c>
      <c r="E34" s="17">
        <v>59</v>
      </c>
      <c r="F34" s="17"/>
      <c r="G34" s="17" t="s">
        <v>8</v>
      </c>
      <c r="H34" s="17" t="s">
        <v>9</v>
      </c>
    </row>
    <row r="35" spans="1:8" ht="15" x14ac:dyDescent="0.25">
      <c r="A35" s="17">
        <v>507242</v>
      </c>
      <c r="B35" s="17">
        <v>1</v>
      </c>
      <c r="C35" s="18">
        <v>92000</v>
      </c>
      <c r="D35" s="18">
        <v>40000</v>
      </c>
      <c r="E35" s="17">
        <v>44</v>
      </c>
      <c r="F35" s="17">
        <v>7</v>
      </c>
      <c r="G35" s="17" t="s">
        <v>7</v>
      </c>
      <c r="H35" s="17" t="s">
        <v>7</v>
      </c>
    </row>
    <row r="36" spans="1:8" ht="15" x14ac:dyDescent="0.25">
      <c r="A36" s="17">
        <v>513820</v>
      </c>
      <c r="B36" s="17">
        <v>1</v>
      </c>
      <c r="C36" s="18"/>
      <c r="D36" s="18">
        <v>80000</v>
      </c>
      <c r="E36" s="17">
        <v>62</v>
      </c>
      <c r="F36" s="17"/>
      <c r="G36" s="17" t="s">
        <v>8</v>
      </c>
      <c r="H36" s="17" t="s">
        <v>9</v>
      </c>
    </row>
    <row r="37" spans="1:8" ht="15" x14ac:dyDescent="0.25">
      <c r="A37" s="17">
        <v>514774</v>
      </c>
      <c r="B37" s="17">
        <v>3</v>
      </c>
      <c r="C37" s="18"/>
      <c r="D37" s="18">
        <v>80000</v>
      </c>
      <c r="E37" s="17">
        <v>44</v>
      </c>
      <c r="F37" s="17"/>
      <c r="G37" s="17" t="s">
        <v>9</v>
      </c>
      <c r="H37" s="17" t="s">
        <v>9</v>
      </c>
    </row>
    <row r="38" spans="1:8" ht="15" x14ac:dyDescent="0.25">
      <c r="A38" s="17">
        <v>520201</v>
      </c>
      <c r="B38" s="17">
        <v>2</v>
      </c>
      <c r="C38" s="18"/>
      <c r="D38" s="18">
        <v>80000</v>
      </c>
      <c r="E38" s="17">
        <v>36</v>
      </c>
      <c r="F38" s="17"/>
      <c r="G38" s="17" t="s">
        <v>9</v>
      </c>
      <c r="H38" s="17" t="s">
        <v>9</v>
      </c>
    </row>
    <row r="39" spans="1:8" ht="15" x14ac:dyDescent="0.25">
      <c r="A39" s="17">
        <v>520938</v>
      </c>
      <c r="B39" s="17">
        <v>1</v>
      </c>
      <c r="C39" s="18">
        <v>23000</v>
      </c>
      <c r="D39" s="18">
        <v>11000</v>
      </c>
      <c r="E39" s="17">
        <v>36</v>
      </c>
      <c r="F39" s="17">
        <v>10</v>
      </c>
      <c r="G39" s="17" t="s">
        <v>7</v>
      </c>
      <c r="H39" s="17" t="s">
        <v>7</v>
      </c>
    </row>
    <row r="40" spans="1:8" ht="15" x14ac:dyDescent="0.25">
      <c r="A40" s="17">
        <v>521501</v>
      </c>
      <c r="B40" s="17">
        <v>1</v>
      </c>
      <c r="C40" s="18">
        <v>79000</v>
      </c>
      <c r="D40" s="18">
        <v>67000</v>
      </c>
      <c r="E40" s="17">
        <v>26</v>
      </c>
      <c r="F40" s="17">
        <v>8</v>
      </c>
      <c r="G40" s="17" t="s">
        <v>7</v>
      </c>
      <c r="H40" s="17" t="s">
        <v>7</v>
      </c>
    </row>
    <row r="41" spans="1:8" ht="15" x14ac:dyDescent="0.25">
      <c r="A41" s="17">
        <v>526149</v>
      </c>
      <c r="B41" s="17">
        <v>3</v>
      </c>
      <c r="C41" s="18">
        <v>97000</v>
      </c>
      <c r="D41" s="18">
        <v>92380.952380952382</v>
      </c>
      <c r="E41" s="17">
        <v>55</v>
      </c>
      <c r="F41" s="17">
        <v>9</v>
      </c>
      <c r="G41" s="17" t="s">
        <v>7</v>
      </c>
      <c r="H41" s="17" t="s">
        <v>7</v>
      </c>
    </row>
    <row r="42" spans="1:8" ht="15" x14ac:dyDescent="0.25">
      <c r="A42" s="17">
        <v>539134</v>
      </c>
      <c r="B42" s="17">
        <v>1</v>
      </c>
      <c r="C42" s="18">
        <v>94000</v>
      </c>
      <c r="D42" s="18">
        <v>82000</v>
      </c>
      <c r="E42" s="17">
        <v>32</v>
      </c>
      <c r="F42" s="17">
        <v>10</v>
      </c>
      <c r="G42" s="17" t="s">
        <v>7</v>
      </c>
      <c r="H42" s="17" t="s">
        <v>7</v>
      </c>
    </row>
    <row r="43" spans="1:8" ht="15" x14ac:dyDescent="0.25">
      <c r="A43" s="17">
        <v>540346</v>
      </c>
      <c r="B43" s="17">
        <v>1</v>
      </c>
      <c r="C43" s="18">
        <v>95000</v>
      </c>
      <c r="D43" s="18">
        <v>90476.190476190473</v>
      </c>
      <c r="E43" s="17">
        <v>49</v>
      </c>
      <c r="F43" s="17">
        <v>10</v>
      </c>
      <c r="G43" s="17" t="s">
        <v>7</v>
      </c>
      <c r="H43" s="17" t="s">
        <v>7</v>
      </c>
    </row>
    <row r="44" spans="1:8" ht="15" x14ac:dyDescent="0.25">
      <c r="A44" s="17">
        <v>547503</v>
      </c>
      <c r="B44" s="17">
        <v>2</v>
      </c>
      <c r="C44" s="18">
        <v>90000</v>
      </c>
      <c r="D44" s="18">
        <v>85714.28571428571</v>
      </c>
      <c r="E44" s="17">
        <v>49</v>
      </c>
      <c r="F44" s="17">
        <v>15</v>
      </c>
      <c r="G44" s="17" t="s">
        <v>7</v>
      </c>
      <c r="H44" s="17" t="s">
        <v>7</v>
      </c>
    </row>
    <row r="45" spans="1:8" ht="15" x14ac:dyDescent="0.25">
      <c r="A45" s="17">
        <v>552468</v>
      </c>
      <c r="B45" s="17">
        <v>1</v>
      </c>
      <c r="C45" s="18">
        <v>86000</v>
      </c>
      <c r="D45" s="18">
        <v>74000</v>
      </c>
      <c r="E45" s="17">
        <v>67</v>
      </c>
      <c r="F45" s="17">
        <v>37</v>
      </c>
      <c r="G45" s="17" t="s">
        <v>7</v>
      </c>
      <c r="H45" s="17" t="s">
        <v>7</v>
      </c>
    </row>
    <row r="46" spans="1:8" ht="15" x14ac:dyDescent="0.25">
      <c r="A46" s="17">
        <v>555539</v>
      </c>
      <c r="B46" s="17">
        <v>2</v>
      </c>
      <c r="C46" s="18">
        <v>86000</v>
      </c>
      <c r="D46" s="18">
        <v>80000</v>
      </c>
      <c r="E46" s="17">
        <v>58</v>
      </c>
      <c r="F46" s="17"/>
      <c r="G46" s="17" t="s">
        <v>8</v>
      </c>
      <c r="H46" s="17" t="s">
        <v>7</v>
      </c>
    </row>
    <row r="47" spans="1:8" ht="15" x14ac:dyDescent="0.25">
      <c r="A47" s="17">
        <v>561821</v>
      </c>
      <c r="B47" s="17">
        <v>1</v>
      </c>
      <c r="C47" s="18">
        <v>86000</v>
      </c>
      <c r="D47" s="18">
        <v>81904.761904761908</v>
      </c>
      <c r="E47" s="17">
        <v>47</v>
      </c>
      <c r="F47" s="17">
        <v>10</v>
      </c>
      <c r="G47" s="17" t="s">
        <v>7</v>
      </c>
      <c r="H47" s="17" t="s">
        <v>7</v>
      </c>
    </row>
    <row r="48" spans="1:8" ht="15" x14ac:dyDescent="0.25">
      <c r="A48" s="17">
        <v>564037</v>
      </c>
      <c r="B48" s="17">
        <v>1</v>
      </c>
      <c r="C48" s="18">
        <v>200000</v>
      </c>
      <c r="D48" s="18">
        <v>188000</v>
      </c>
      <c r="E48" s="17">
        <v>32</v>
      </c>
      <c r="F48" s="17">
        <v>8</v>
      </c>
      <c r="G48" s="17" t="s">
        <v>7</v>
      </c>
      <c r="H48" s="17" t="s">
        <v>7</v>
      </c>
    </row>
    <row r="49" spans="1:8" ht="15" x14ac:dyDescent="0.25">
      <c r="A49" s="17">
        <v>564894</v>
      </c>
      <c r="B49" s="17">
        <v>3</v>
      </c>
      <c r="C49" s="18">
        <v>320000</v>
      </c>
      <c r="D49" s="18">
        <v>320000</v>
      </c>
      <c r="E49" s="17">
        <v>51</v>
      </c>
      <c r="F49" s="17">
        <v>20</v>
      </c>
      <c r="G49" s="17" t="s">
        <v>7</v>
      </c>
      <c r="H49" s="17" t="s">
        <v>7</v>
      </c>
    </row>
    <row r="50" spans="1:8" ht="15" x14ac:dyDescent="0.25">
      <c r="A50" s="17">
        <v>568218</v>
      </c>
      <c r="B50" s="17">
        <v>1</v>
      </c>
      <c r="C50" s="18">
        <v>86000</v>
      </c>
      <c r="D50" s="18">
        <v>80000</v>
      </c>
      <c r="E50" s="17">
        <v>42</v>
      </c>
      <c r="F50" s="17">
        <v>22</v>
      </c>
      <c r="G50" s="17" t="s">
        <v>7</v>
      </c>
      <c r="H50" s="17" t="s">
        <v>7</v>
      </c>
    </row>
    <row r="51" spans="1:8" ht="15" x14ac:dyDescent="0.25">
      <c r="A51" s="17">
        <v>568859</v>
      </c>
      <c r="B51" s="17">
        <v>1</v>
      </c>
      <c r="C51" s="18">
        <v>98000</v>
      </c>
      <c r="D51" s="18">
        <v>93333.333333333328</v>
      </c>
      <c r="E51" s="17">
        <v>47</v>
      </c>
      <c r="F51" s="17">
        <v>11</v>
      </c>
      <c r="G51" s="17" t="s">
        <v>7</v>
      </c>
      <c r="H51" s="17" t="s">
        <v>7</v>
      </c>
    </row>
    <row r="52" spans="1:8" ht="15" x14ac:dyDescent="0.25">
      <c r="A52" s="17">
        <v>574304</v>
      </c>
      <c r="B52" s="17">
        <v>3</v>
      </c>
      <c r="C52" s="18">
        <v>88000</v>
      </c>
      <c r="D52" s="18">
        <v>83809.523809523802</v>
      </c>
      <c r="E52" s="17">
        <v>52</v>
      </c>
      <c r="F52" s="17">
        <v>14</v>
      </c>
      <c r="G52" s="17" t="s">
        <v>7</v>
      </c>
      <c r="H52" s="17" t="s">
        <v>7</v>
      </c>
    </row>
    <row r="53" spans="1:8" ht="15" x14ac:dyDescent="0.25">
      <c r="A53" s="17">
        <v>574720</v>
      </c>
      <c r="B53" s="17">
        <v>2</v>
      </c>
      <c r="C53" s="18">
        <v>99000</v>
      </c>
      <c r="D53" s="18">
        <v>94285.714285714275</v>
      </c>
      <c r="E53" s="17">
        <v>52</v>
      </c>
      <c r="F53" s="17">
        <v>21</v>
      </c>
      <c r="G53" s="17" t="s">
        <v>7</v>
      </c>
      <c r="H53" s="17" t="s">
        <v>7</v>
      </c>
    </row>
    <row r="54" spans="1:8" ht="15" x14ac:dyDescent="0.25">
      <c r="A54" s="17">
        <v>582664</v>
      </c>
      <c r="B54" s="17">
        <v>2</v>
      </c>
      <c r="C54" s="18">
        <v>84000</v>
      </c>
      <c r="D54" s="18">
        <v>80000</v>
      </c>
      <c r="E54" s="17">
        <v>52</v>
      </c>
      <c r="F54" s="17">
        <v>8</v>
      </c>
      <c r="G54" s="17" t="s">
        <v>7</v>
      </c>
      <c r="H54" s="17" t="s">
        <v>7</v>
      </c>
    </row>
  </sheetData>
  <mergeCells count="1">
    <mergeCell ref="A1:H1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Distributions</vt:lpstr>
      <vt:lpstr>EeData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2020-09-12T19:22:04Z</cp:lastPrinted>
  <dcterms:created xsi:type="dcterms:W3CDTF">2020-09-07T21:52:49Z</dcterms:created>
  <dcterms:modified xsi:type="dcterms:W3CDTF">2020-09-12T19:24:19Z</dcterms:modified>
</cp:coreProperties>
</file>