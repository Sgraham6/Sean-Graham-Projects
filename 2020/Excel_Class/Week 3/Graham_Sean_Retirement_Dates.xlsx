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3\"/>
    </mc:Choice>
  </mc:AlternateContent>
  <xr:revisionPtr revIDLastSave="6" documentId="13_ncr:1_{8DC20325-1A2E-4095-B0F7-94CDE61D906C}" xr6:coauthVersionLast="45" xr6:coauthVersionMax="45" xr10:uidLastSave="{FAD20864-9667-4B01-A927-B5AA5AC1C349}"/>
  <bookViews>
    <workbookView xWindow="810" yWindow="-120" windowWidth="19800" windowHeight="11760" xr2:uid="{D558FF5A-FBE3-4A22-842C-BBDC49042A5F}"/>
  </bookViews>
  <sheets>
    <sheet name="Retirement D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3" i="1" l="1"/>
  <c r="D16" i="1"/>
  <c r="D11" i="1"/>
  <c r="D10" i="1"/>
  <c r="D14" i="1" l="1"/>
  <c r="D24" i="1"/>
  <c r="D21" i="1"/>
  <c r="D26" i="1" s="1"/>
  <c r="D22" i="1" l="1"/>
  <c r="D12" i="1"/>
  <c r="D13" i="1" s="1"/>
  <c r="D17" i="1" l="1"/>
  <c r="D25" i="1" s="1"/>
  <c r="D15" i="1"/>
</calcChain>
</file>

<file path=xl/sharedStrings.xml><?xml version="1.0" encoding="utf-8"?>
<sst xmlns="http://schemas.openxmlformats.org/spreadsheetml/2006/main" count="19" uniqueCount="19">
  <si>
    <t>Input Section</t>
  </si>
  <si>
    <t>Date of Birth</t>
  </si>
  <si>
    <t>Date of Hire</t>
  </si>
  <si>
    <t>Participation Dates of Various Plan Provisions</t>
  </si>
  <si>
    <t>One year anniversary of the employment</t>
  </si>
  <si>
    <t>The first day of the month on or following one year anniversary of the
employment</t>
  </si>
  <si>
    <t>The latter of one year anniversary of the employment and 21st birthday</t>
  </si>
  <si>
    <t>The first day of the month on or following one year anniversary of the
employment and 21st birthday</t>
  </si>
  <si>
    <t>The first day of the year on or following one year anniversary of the employment</t>
  </si>
  <si>
    <t>The first day of the year on or following one year anniversary of the employment and 21st birthday</t>
  </si>
  <si>
    <t>Retirement Dates of Various Plan Provisions</t>
  </si>
  <si>
    <t>The first day of the month on or following the 65th birthday</t>
  </si>
  <si>
    <t>The latter of the 65th birthday and 5th anniversary of the employment</t>
  </si>
  <si>
    <t>The latter of the 65th birthday and 5th anniversary of the participation date. The
participation date is 1/1 of 7/1 of the year on or following one year anniversary of
The employment and 21st birthday</t>
  </si>
  <si>
    <t>1/1 or 7/1 of the year on or following one year anniversary of the employment</t>
  </si>
  <si>
    <t>1/1 or 7/1 of the year on or following one year anniversary of the employment
and 21st birthday</t>
  </si>
  <si>
    <t>The first day of the month on or following the 65th birthday and 5th anniversary
of the employment</t>
  </si>
  <si>
    <t>The first day of the month on or following the 65th birthday and 5th anniversary
of the participation date. The participation date is 1/1 or 7/1 of the year on of
following one year anniversary of the employment and 21st birthday</t>
  </si>
  <si>
    <t>Age 65th birthday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</si>
</sst>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/>
    </xf>
    <xf numFmtId="14" fontId="0" fillId="0" borderId="6" xfId="0" applyNumberFormat="1" applyBorder="1" applyAlignment="1">
      <alignment vertical="center"/>
    </xf>
    <xf numFmtId="14" fontId="0" fillId="0" borderId="8" xfId="0" applyNumberFormat="1" applyBorder="1" applyAlignment="1">
      <alignment vertical="center"/>
    </xf>
    <xf numFmtId="14" fontId="3" fillId="0" borderId="3" xfId="0" applyNumberFormat="1" applyFont="1" applyBorder="1" applyAlignment="1">
      <alignment vertical="center"/>
    </xf>
    <xf numFmtId="14" fontId="3" fillId="0" borderId="8" xfId="0" applyNumberFormat="1" applyFont="1" applyBorder="1" applyAlignment="1">
      <alignment vertical="center"/>
    </xf>
    <xf numFmtId="0" fontId="0" fillId="0" borderId="4" xfId="0" applyFont="1" applyBorder="1"/>
    <xf numFmtId="14" fontId="0" fillId="3" borderId="6" xfId="0" applyNumberFormat="1" applyFont="1" applyFill="1" applyBorder="1"/>
    <xf numFmtId="0" fontId="0" fillId="0" borderId="9" xfId="0" applyFont="1" applyBorder="1"/>
    <xf numFmtId="14" fontId="0" fillId="3" borderId="11" xfId="0" applyNumberFormat="1" applyFont="1" applyFill="1" applyBorder="1"/>
    <xf numFmtId="14" fontId="3" fillId="0" borderId="11" xfId="0" applyNumberFormat="1" applyFont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D1984-073F-48D3-AA93-26E576787B62}">
  <sheetPr>
    <pageSetUpPr fitToPage="1"/>
  </sheetPr>
  <dimension ref="B2:E27"/>
  <sheetViews>
    <sheetView tabSelected="1" topLeftCell="A17" workbookViewId="0">
      <selection activeCell="D23" sqref="D23"/>
    </sheetView>
  </sheetViews>
  <sheetFormatPr defaultRowHeight="15" x14ac:dyDescent="0.25"/>
  <cols>
    <col min="1" max="2" width="1.42578125" customWidth="1"/>
    <col min="3" max="3" width="72.140625" customWidth="1"/>
    <col min="4" max="4" width="18.28515625" customWidth="1"/>
    <col min="5" max="6" width="1.42578125" customWidth="1"/>
  </cols>
  <sheetData>
    <row r="2" spans="2:5" ht="15.75" thickBot="1" x14ac:dyDescent="0.3"/>
    <row r="3" spans="2:5" ht="19.5" thickBot="1" x14ac:dyDescent="0.35">
      <c r="B3" s="24" t="s">
        <v>0</v>
      </c>
      <c r="C3" s="25"/>
      <c r="D3" s="25"/>
      <c r="E3" s="26"/>
    </row>
    <row r="4" spans="2:5" ht="6" customHeight="1" thickBot="1" x14ac:dyDescent="0.3">
      <c r="B4" s="1"/>
      <c r="C4" s="2"/>
      <c r="D4" s="2"/>
      <c r="E4" s="3"/>
    </row>
    <row r="5" spans="2:5" x14ac:dyDescent="0.25">
      <c r="B5" s="4"/>
      <c r="C5" s="19" t="s">
        <v>1</v>
      </c>
      <c r="D5" s="20">
        <v>30741</v>
      </c>
      <c r="E5" s="5"/>
    </row>
    <row r="6" spans="2:5" ht="15.75" thickBot="1" x14ac:dyDescent="0.3">
      <c r="B6" s="4"/>
      <c r="C6" s="21" t="s">
        <v>2</v>
      </c>
      <c r="D6" s="22">
        <v>36925</v>
      </c>
      <c r="E6" s="5"/>
    </row>
    <row r="7" spans="2:5" ht="6" customHeight="1" thickBot="1" x14ac:dyDescent="0.3">
      <c r="B7" s="6"/>
      <c r="C7" s="7"/>
      <c r="D7" s="7"/>
      <c r="E7" s="8"/>
    </row>
    <row r="8" spans="2:5" ht="19.5" thickBot="1" x14ac:dyDescent="0.35">
      <c r="B8" s="24" t="s">
        <v>3</v>
      </c>
      <c r="C8" s="27"/>
      <c r="D8" s="27"/>
      <c r="E8" s="28"/>
    </row>
    <row r="9" spans="2:5" ht="6" customHeight="1" thickBot="1" x14ac:dyDescent="0.3">
      <c r="B9" s="1"/>
      <c r="C9" s="2"/>
      <c r="D9" s="2"/>
      <c r="E9" s="3"/>
    </row>
    <row r="10" spans="2:5" ht="30" customHeight="1" thickBot="1" x14ac:dyDescent="0.3">
      <c r="B10" s="4"/>
      <c r="C10" s="9" t="s">
        <v>4</v>
      </c>
      <c r="D10" s="15">
        <f>EDATE($D$6,12)</f>
        <v>37290</v>
      </c>
      <c r="E10" s="5"/>
    </row>
    <row r="11" spans="2:5" ht="30" customHeight="1" thickBot="1" x14ac:dyDescent="0.3">
      <c r="B11" s="4"/>
      <c r="C11" s="10" t="s">
        <v>5</v>
      </c>
      <c r="D11" s="17">
        <f>EOMONTH(D10-1,0)+1</f>
        <v>37316</v>
      </c>
      <c r="E11" s="5"/>
    </row>
    <row r="12" spans="2:5" ht="30" customHeight="1" thickBot="1" x14ac:dyDescent="0.3">
      <c r="B12" s="4"/>
      <c r="C12" s="11" t="s">
        <v>6</v>
      </c>
      <c r="D12" s="16">
        <f>MAX(EDATE(D6,12),EDATE(D5,12*21))</f>
        <v>38411</v>
      </c>
      <c r="E12" s="5"/>
    </row>
    <row r="13" spans="2:5" ht="30" customHeight="1" thickBot="1" x14ac:dyDescent="0.3">
      <c r="B13" s="4"/>
      <c r="C13" s="10" t="s">
        <v>7</v>
      </c>
      <c r="D13" s="17">
        <f>EOMONTH(D12-1,0)+1</f>
        <v>38412</v>
      </c>
      <c r="E13" s="5"/>
    </row>
    <row r="14" spans="2:5" ht="30" customHeight="1" thickBot="1" x14ac:dyDescent="0.3">
      <c r="B14" s="4"/>
      <c r="C14" s="11" t="s">
        <v>8</v>
      </c>
      <c r="D14" s="16">
        <f>IF(MONTH(D10)=1,D11, DATE(YEAR(D11)+1,1,1))</f>
        <v>37622</v>
      </c>
      <c r="E14" s="5"/>
    </row>
    <row r="15" spans="2:5" ht="30" customHeight="1" thickBot="1" x14ac:dyDescent="0.3">
      <c r="B15" s="4"/>
      <c r="C15" s="10" t="s">
        <v>9</v>
      </c>
      <c r="D15" s="17">
        <f>IF(MONTH(D13)=1,D13,DATE(YEAR(D13)+1,1,1))</f>
        <v>38718</v>
      </c>
      <c r="E15" s="5"/>
    </row>
    <row r="16" spans="2:5" ht="30" customHeight="1" thickBot="1" x14ac:dyDescent="0.3">
      <c r="B16" s="4"/>
      <c r="C16" s="11" t="s">
        <v>14</v>
      </c>
      <c r="D16" s="18">
        <f>IF(OR(MONTH(D11)=1,MONTH(D11)=7),D11, IF(MONTH(D11)&lt;7,DATE(YEAR(D11),7,1),DATE(YEAR(D11)+1,1,1)))</f>
        <v>37438</v>
      </c>
      <c r="E16" s="5"/>
    </row>
    <row r="17" spans="2:5" ht="30" customHeight="1" thickBot="1" x14ac:dyDescent="0.3">
      <c r="B17" s="4"/>
      <c r="C17" s="10" t="s">
        <v>15</v>
      </c>
      <c r="D17" s="17">
        <f>IF(OR(MONTH(D13)=1,MONTH(D13)=7),D13,IF(MONTH(D13)&lt;7,DATE(YEAR(D13),7,1),DATE(YEAR(D13)+1,1,1)))</f>
        <v>38534</v>
      </c>
      <c r="E17" s="5"/>
    </row>
    <row r="18" spans="2:5" ht="6" customHeight="1" thickBot="1" x14ac:dyDescent="0.3">
      <c r="B18" s="6"/>
      <c r="C18" s="7"/>
      <c r="D18" s="7"/>
      <c r="E18" s="8"/>
    </row>
    <row r="19" spans="2:5" ht="19.5" thickBot="1" x14ac:dyDescent="0.35">
      <c r="B19" s="24" t="s">
        <v>10</v>
      </c>
      <c r="C19" s="25"/>
      <c r="D19" s="25"/>
      <c r="E19" s="26"/>
    </row>
    <row r="20" spans="2:5" ht="6" customHeight="1" thickBot="1" x14ac:dyDescent="0.3">
      <c r="B20" s="1"/>
      <c r="C20" s="2"/>
      <c r="D20" s="2"/>
      <c r="E20" s="3"/>
    </row>
    <row r="21" spans="2:5" ht="30" customHeight="1" x14ac:dyDescent="0.25">
      <c r="B21" s="4"/>
      <c r="C21" s="9" t="s">
        <v>18</v>
      </c>
      <c r="D21" s="15">
        <f>EDATE(D5,12*65)</f>
        <v>54482</v>
      </c>
      <c r="E21" s="5"/>
    </row>
    <row r="22" spans="2:5" ht="30" customHeight="1" x14ac:dyDescent="0.25">
      <c r="B22" s="4"/>
      <c r="C22" s="11" t="s">
        <v>11</v>
      </c>
      <c r="D22" s="18">
        <f>EOMONTH(D21-1,0)+1</f>
        <v>54483</v>
      </c>
      <c r="E22" s="5"/>
    </row>
    <row r="23" spans="2:5" ht="30" customHeight="1" x14ac:dyDescent="0.25">
      <c r="B23" s="4"/>
      <c r="C23" s="11" t="s">
        <v>12</v>
      </c>
      <c r="D23" s="16">
        <f>MAX(EDATE(D6,60),EDATE(D5,12*65))</f>
        <v>54482</v>
      </c>
      <c r="E23" s="5"/>
    </row>
    <row r="24" spans="2:5" ht="30" customHeight="1" x14ac:dyDescent="0.25">
      <c r="B24" s="4"/>
      <c r="C24" s="12" t="s">
        <v>16</v>
      </c>
      <c r="D24" s="18">
        <f>EOMONTH(D23-1,0)+1</f>
        <v>54483</v>
      </c>
      <c r="E24" s="5"/>
    </row>
    <row r="25" spans="2:5" ht="45" customHeight="1" x14ac:dyDescent="0.25">
      <c r="B25" s="4"/>
      <c r="C25" s="12" t="s">
        <v>13</v>
      </c>
      <c r="D25" s="18">
        <f>MAX(EDATE(D17,60),D21)</f>
        <v>54482</v>
      </c>
      <c r="E25" s="5"/>
    </row>
    <row r="26" spans="2:5" ht="45" customHeight="1" thickBot="1" x14ac:dyDescent="0.3">
      <c r="B26" s="4"/>
      <c r="C26" s="13" t="s">
        <v>17</v>
      </c>
      <c r="D26" s="23">
        <f>EOMONTH(D21-1,0)+1</f>
        <v>54483</v>
      </c>
      <c r="E26" s="5"/>
    </row>
    <row r="27" spans="2:5" ht="6" customHeight="1" thickBot="1" x14ac:dyDescent="0.3">
      <c r="B27" s="6"/>
      <c r="C27" s="14"/>
      <c r="D27" s="7"/>
      <c r="E27" s="8"/>
    </row>
  </sheetData>
  <mergeCells count="3">
    <mergeCell ref="B3:E3"/>
    <mergeCell ref="B8:E8"/>
    <mergeCell ref="B19:E19"/>
  </mergeCells>
  <pageMargins left="0.7" right="0.7" top="0.75" bottom="0.75" header="0.3" footer="0.3"/>
  <pageSetup scale="97" orientation="portrait" horizontalDpi="300" verticalDpi="300" r:id="rId1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Retirement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2020-09-10T17:07:18Z</cp:lastPrinted>
  <dcterms:created xsi:type="dcterms:W3CDTF">2020-09-06T17:10:46Z</dcterms:created>
  <dcterms:modified xsi:type="dcterms:W3CDTF">2020-10-14T22:43:20Z</dcterms:modified>
</cp:coreProperties>
</file>