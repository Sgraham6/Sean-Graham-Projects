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0" documentId="8_{B056E33C-03F6-4926-9573-3B87034123CE}" xr6:coauthVersionLast="45" xr6:coauthVersionMax="45" xr10:uidLastSave="{00000000-0000-0000-0000-000000000000}"/>
  <bookViews>
    <workbookView xWindow="810" yWindow="-120" windowWidth="19800" windowHeight="11760" xr2:uid="{F3B62DDF-5581-4B11-9E5B-CD57EE192D5E}"/>
  </bookViews>
  <sheets>
    <sheet name="Date Holida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9" i="1" l="1"/>
  <c r="F18" i="1"/>
  <c r="F17" i="1"/>
  <c r="F15" i="1"/>
  <c r="F16" i="1"/>
  <c r="F14" i="1"/>
  <c r="F6" i="1"/>
  <c r="F13" i="1"/>
  <c r="F12" i="1" l="1"/>
  <c r="F11" i="1"/>
  <c r="F10" i="1"/>
  <c r="F9" i="1"/>
  <c r="F8" i="1"/>
  <c r="F7" i="1"/>
  <c r="F5" i="1"/>
  <c r="B2" i="1" l="1"/>
</calcChain>
</file>

<file path=xl/sharedStrings.xml><?xml version="1.0" encoding="utf-8"?>
<sst xmlns="http://schemas.openxmlformats.org/spreadsheetml/2006/main" count="16" uniqueCount="16">
  <si>
    <t>New Year Celebration Day</t>
  </si>
  <si>
    <t>President's Day</t>
  </si>
  <si>
    <t>Martin Luther King Jr. Day</t>
  </si>
  <si>
    <t>Valentine's Day</t>
  </si>
  <si>
    <t>Saint Patrick's Day</t>
  </si>
  <si>
    <t>May Day</t>
  </si>
  <si>
    <t>Labor Day</t>
  </si>
  <si>
    <t>Memorial Day</t>
  </si>
  <si>
    <t>Independence Day</t>
  </si>
  <si>
    <t>Thanksgiving</t>
  </si>
  <si>
    <t>Christmas Celebration Day</t>
  </si>
  <si>
    <t>Christmas Eve</t>
  </si>
  <si>
    <t>New Year's Eve</t>
  </si>
  <si>
    <t>Halloween</t>
  </si>
  <si>
    <t>Arbor Day</t>
  </si>
  <si>
    <t>Input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</si>
</sst>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/>
    <xf numFmtId="0" fontId="0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5" xfId="0" applyNumberFormat="1" applyBorder="1"/>
    <xf numFmtId="14" fontId="1" fillId="0" borderId="1" xfId="0" applyNumberFormat="1" applyFont="1" applyBorder="1"/>
    <xf numFmtId="14" fontId="1" fillId="0" borderId="5" xfId="0" applyNumberFormat="1" applyFont="1" applyBorder="1"/>
    <xf numFmtId="14" fontId="1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8F52-2385-46B4-9B8F-27939B5A7422}">
  <sheetPr>
    <pageSetUpPr fitToPage="1"/>
  </sheetPr>
  <dimension ref="B1:F22"/>
  <sheetViews>
    <sheetView tabSelected="1" workbookViewId="0"/>
  </sheetViews>
  <sheetFormatPr defaultRowHeight="15" x14ac:dyDescent="0.25"/>
  <cols>
    <col min="1" max="1" width="1.7109375" customWidth="1"/>
    <col min="2" max="2" width="28.5703125" customWidth="1"/>
    <col min="3" max="3" width="2.7109375" customWidth="1"/>
    <col min="4" max="4" width="11.42578125" customWidth="1"/>
    <col min="5" max="5" width="2.7109375" customWidth="1"/>
    <col min="6" max="6" width="28.5703125" customWidth="1"/>
  </cols>
  <sheetData>
    <row r="1" spans="2:6" ht="15.75" thickBot="1" x14ac:dyDescent="0.3"/>
    <row r="2" spans="2:6" ht="24" customHeight="1" thickBot="1" x14ac:dyDescent="0.4">
      <c r="B2" s="1" t="str">
        <f>"Holiday Schedule for " &amp; F22</f>
        <v>Holiday Schedule for 2018</v>
      </c>
      <c r="C2" s="2"/>
      <c r="D2" s="2"/>
      <c r="E2" s="2"/>
      <c r="F2" s="3"/>
    </row>
    <row r="4" spans="2:6" ht="15.75" thickBot="1" x14ac:dyDescent="0.3"/>
    <row r="5" spans="2:6" ht="15.75" thickBot="1" x14ac:dyDescent="0.3">
      <c r="B5" s="4" t="s">
        <v>0</v>
      </c>
      <c r="F5" s="10">
        <f>DATE(F22,1,1)+IF(WEEKDAY(DATE(F22,1,1),2)&lt;=5,0,8-WEEKDAY(DATE(F22,1,1),2))</f>
        <v>43101</v>
      </c>
    </row>
    <row r="6" spans="2:6" ht="15.75" thickBot="1" x14ac:dyDescent="0.3">
      <c r="B6" s="4" t="s">
        <v>1</v>
      </c>
      <c r="F6" s="10">
        <f>DATE(F22,2,15)+IF(WEEKDAY(DATE(F22,2,15),2)=1,0,8-WEEKDAY(DATE(F22,2,15),2))</f>
        <v>43150</v>
      </c>
    </row>
    <row r="7" spans="2:6" ht="15.75" thickBot="1" x14ac:dyDescent="0.3">
      <c r="B7" s="4" t="s">
        <v>2</v>
      </c>
      <c r="F7" s="10">
        <f>DATE(F22,1,15)+IF(WEEKDAY(DATE(F22,1,15),2)=1,0,8-WEEKDAY(DATE(F22,1,15),2))</f>
        <v>43115</v>
      </c>
    </row>
    <row r="8" spans="2:6" ht="15.75" thickBot="1" x14ac:dyDescent="0.3">
      <c r="B8" s="4" t="s">
        <v>3</v>
      </c>
      <c r="F8" s="8">
        <f>DATE(F22,2,14)</f>
        <v>43145</v>
      </c>
    </row>
    <row r="9" spans="2:6" ht="15.75" thickBot="1" x14ac:dyDescent="0.3">
      <c r="B9" s="4" t="s">
        <v>4</v>
      </c>
      <c r="F9" s="8">
        <f>DATE(F22,3,17)</f>
        <v>43176</v>
      </c>
    </row>
    <row r="10" spans="2:6" ht="15.75" thickBot="1" x14ac:dyDescent="0.3">
      <c r="B10" s="4" t="s">
        <v>5</v>
      </c>
      <c r="F10" s="8">
        <f>DATE(F22,5,1)</f>
        <v>43221</v>
      </c>
    </row>
    <row r="11" spans="2:6" ht="15.75" thickBot="1" x14ac:dyDescent="0.3">
      <c r="B11" s="4" t="s">
        <v>6</v>
      </c>
      <c r="F11" s="11">
        <f>DATE(F22,9,1)+IF(WEEKDAY(DATE(F22,9,1),2)=1,0,8-WEEKDAY(DATE(F22,9,1),2))</f>
        <v>43346</v>
      </c>
    </row>
    <row r="12" spans="2:6" ht="15.75" thickBot="1" x14ac:dyDescent="0.3">
      <c r="B12" s="4" t="s">
        <v>7</v>
      </c>
      <c r="F12" s="10">
        <f>DATE(F22,5,31)+IF(WEEKDAY(DATE(F22,5,31),2)=1,0,1-WEEKDAY(DATE(F22,5,31),2))</f>
        <v>43248</v>
      </c>
    </row>
    <row r="13" spans="2:6" ht="15.75" thickBot="1" x14ac:dyDescent="0.3">
      <c r="B13" s="4" t="s">
        <v>8</v>
      </c>
      <c r="F13" s="9">
        <f>DATE(F22,7,4)</f>
        <v>43285</v>
      </c>
    </row>
    <row r="14" spans="2:6" ht="15.75" thickBot="1" x14ac:dyDescent="0.3">
      <c r="B14" s="4" t="s">
        <v>9</v>
      </c>
      <c r="F14" s="10">
        <f>DATE(F22,11,22)+IF(WEEKDAY(DATE(F22,11,22),2)&lt;=4,4-WEEKDAY(DATE(F22,11,22),2),11-WEEKDAY(DATE(F22,11,22),2))</f>
        <v>43426</v>
      </c>
    </row>
    <row r="15" spans="2:6" ht="15.75" thickBot="1" x14ac:dyDescent="0.3">
      <c r="B15" s="4" t="s">
        <v>10</v>
      </c>
      <c r="F15" s="11">
        <f>DATE(F22,12,25)+IF(WEEKDAY(DATE(F22,12,25),2)&lt;=5,0,IF(WEEKDAY(DATE(F22,12,25),2)=6,-1,1))</f>
        <v>43459</v>
      </c>
    </row>
    <row r="16" spans="2:6" ht="15.75" thickBot="1" x14ac:dyDescent="0.3">
      <c r="B16" s="4" t="s">
        <v>11</v>
      </c>
      <c r="F16" s="8">
        <f>DATE(F22,12,24)</f>
        <v>43458</v>
      </c>
    </row>
    <row r="17" spans="2:6" ht="15.75" thickBot="1" x14ac:dyDescent="0.3">
      <c r="B17" s="4" t="s">
        <v>12</v>
      </c>
      <c r="F17" s="9">
        <f>DATE(F22,12,31)</f>
        <v>43465</v>
      </c>
    </row>
    <row r="18" spans="2:6" ht="15.75" thickBot="1" x14ac:dyDescent="0.3">
      <c r="B18" s="4" t="s">
        <v>13</v>
      </c>
      <c r="F18" s="8">
        <f>DATE(F22,10,31)</f>
        <v>43404</v>
      </c>
    </row>
    <row r="19" spans="2:6" ht="15.75" thickBot="1" x14ac:dyDescent="0.3">
      <c r="B19" s="4" t="s">
        <v>14</v>
      </c>
      <c r="F19" s="12">
        <f>DATE(F22,4,30)+IF(WEEKDAY(DATE(F22,4,30),2)&lt;=5,-2-WEEKDAY(DATE(F22,4,30),2),5-WEEKDAY(DATE(F22,4,30),2))</f>
        <v>43217</v>
      </c>
    </row>
    <row r="20" spans="2:6" x14ac:dyDescent="0.25">
      <c r="B20" s="5"/>
    </row>
    <row r="21" spans="2:6" ht="15.75" thickBot="1" x14ac:dyDescent="0.3"/>
    <row r="22" spans="2:6" ht="18" customHeight="1" thickBot="1" x14ac:dyDescent="0.3">
      <c r="B22" s="6" t="s">
        <v>15</v>
      </c>
      <c r="F22" s="7">
        <v>2018</v>
      </c>
    </row>
  </sheetData>
  <mergeCells count="1">
    <mergeCell ref="B2:F2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2020-09-10T19:21:00Z</cp:lastPrinted>
  <dcterms:created xsi:type="dcterms:W3CDTF">2020-09-10T17:18:11Z</dcterms:created>
  <dcterms:modified xsi:type="dcterms:W3CDTF">2020-09-10T19:23:51Z</dcterms:modified>
</cp:coreProperties>
</file>