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2\"/>
    </mc:Choice>
  </mc:AlternateContent>
  <xr:revisionPtr revIDLastSave="0" documentId="8_{561331B3-EE2F-4CB4-9889-C58B6AC42A03}" xr6:coauthVersionLast="45" xr6:coauthVersionMax="45" xr10:uidLastSave="{00000000-0000-0000-0000-000000000000}"/>
  <bookViews>
    <workbookView xWindow="810" yWindow="-120" windowWidth="19800" windowHeight="11760" xr2:uid="{34E9ECD0-F546-4E06-BA99-94C2FA0A98C0}"/>
  </bookViews>
  <sheets>
    <sheet name="Present Value" sheetId="1" r:id="rId1"/>
    <sheet name="X" sheetId="2" r:id="rId2"/>
  </sheets>
  <definedNames>
    <definedName name="_xlnm.Print_Titles" localSheetId="0">'Present Value'!$11:$16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8" i="1"/>
  <c r="F19" i="1"/>
  <c r="F20" i="1"/>
  <c r="F21" i="1"/>
  <c r="F22" i="1"/>
  <c r="F23" i="1"/>
  <c r="F17" i="1"/>
  <c r="F13" i="1"/>
  <c r="F9" i="1" l="1"/>
</calcChain>
</file>

<file path=xl/sharedStrings.xml><?xml version="1.0" encoding="utf-8"?>
<sst xmlns="http://schemas.openxmlformats.org/spreadsheetml/2006/main" count="12" uniqueCount="11">
  <si>
    <t>Input Section</t>
  </si>
  <si>
    <t>Discount Rate</t>
  </si>
  <si>
    <t>Output Present Value Result</t>
  </si>
  <si>
    <r>
      <t xml:space="preserve">Timing of Benefit Payments </t>
    </r>
    <r>
      <rPr>
        <sz val="8"/>
        <color theme="1"/>
        <rFont val="Calibri"/>
        <family val="2"/>
        <scheme val="minor"/>
      </rPr>
      <t>(1=EOY, 0.5=MOY, 0=BOY)</t>
    </r>
  </si>
  <si>
    <t>P = Present Value</t>
  </si>
  <si>
    <t>Present Value Calculation Details</t>
  </si>
  <si>
    <t>Year</t>
  </si>
  <si>
    <t>Benefit Cash Flows</t>
  </si>
  <si>
    <t>Discounted Cash Flows</t>
  </si>
  <si>
    <r>
      <t>Timing of Benefit Payments</t>
    </r>
    <r>
      <rPr>
        <sz val="8"/>
        <color theme="1"/>
        <rFont val="Calibri"/>
        <family val="2"/>
        <scheme val="minor"/>
      </rPr>
      <t xml:space="preserve"> (1=EOY, 0.5=MOY, 0=BOY)</t>
    </r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</si>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</sst>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2" xfId="0" applyBorder="1"/>
    <xf numFmtId="3" fontId="5" fillId="0" borderId="3" xfId="0" applyNumberFormat="1" applyFont="1" applyBorder="1" applyAlignment="1">
      <alignment horizontal="righ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6" fillId="0" borderId="0" xfId="0" applyFont="1" applyAlignment="1">
      <alignment horizontal="center"/>
    </xf>
    <xf numFmtId="0" fontId="7" fillId="0" borderId="0" xfId="2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41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0" fontId="0" fillId="4" borderId="0" xfId="0" applyNumberFormat="1" applyFill="1" applyAlignment="1">
      <alignment horizontal="right"/>
    </xf>
    <xf numFmtId="41" fontId="7" fillId="4" borderId="0" xfId="1" applyNumberFormat="1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7" fillId="4" borderId="0" xfId="1" applyNumberFormat="1" applyFont="1" applyFill="1" applyAlignment="1">
      <alignment horizontal="left"/>
    </xf>
    <xf numFmtId="10" fontId="0" fillId="0" borderId="0" xfId="0" applyNumberFormat="1"/>
    <xf numFmtId="43" fontId="0" fillId="0" borderId="0" xfId="0" applyNumberFormat="1"/>
  </cellXfs>
  <cellStyles count="12">
    <cellStyle name="Comma" xfId="1" builtinId="3"/>
    <cellStyle name="Comma 2" xfId="4" xr:uid="{6C77A037-74F0-4850-8ECE-4EC50CE4C502}"/>
    <cellStyle name="Comma 2 2" xfId="6" xr:uid="{3F4536F1-FEBC-4870-887F-1ECC481A6D4A}"/>
    <cellStyle name="Comma 3" xfId="8" xr:uid="{36EB641D-F9E5-4BC0-98A1-520056EB7B14}"/>
    <cellStyle name="Currency 2" xfId="5" xr:uid="{46A7D3BE-B980-4086-98B6-D5BB93B493ED}"/>
    <cellStyle name="Hyperlink 2" xfId="10" xr:uid="{DD99B5F5-B997-4084-9428-EF67FE69C0B6}"/>
    <cellStyle name="Normal" xfId="0" builtinId="0"/>
    <cellStyle name="Normal 2" xfId="3" xr:uid="{67C30CC0-736C-4653-ABA7-7BA7B8EEB008}"/>
    <cellStyle name="Normal 3" xfId="7" xr:uid="{40066F6B-A4D0-41D7-846B-CB411B88F32B}"/>
    <cellStyle name="Normal 4" xfId="9" xr:uid="{B03EF13B-C60F-4A52-BEB4-6991E981BDF9}"/>
    <cellStyle name="Normal 5" xfId="11" xr:uid="{B486D952-47FD-4DCE-8AD7-442C860FF0F0}"/>
    <cellStyle name="Normal 6" xfId="2" xr:uid="{7FF82D22-42BC-4773-9966-9AA0DD9BE3BB}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CD0C-E3C4-44D7-A93C-B662535089B6}">
  <sheetPr>
    <pageSetUpPr fitToPage="1"/>
  </sheetPr>
  <dimension ref="B1:F136"/>
  <sheetViews>
    <sheetView tabSelected="1" workbookViewId="0">
      <pane ySplit="16" topLeftCell="A17" activePane="bottomLeft" state="frozen"/>
      <selection pane="bottomLeft" activeCell="F5" sqref="F5"/>
    </sheetView>
  </sheetViews>
  <sheetFormatPr defaultRowHeight="15" x14ac:dyDescent="0.25"/>
  <cols>
    <col min="1" max="1" width="1.7109375" customWidth="1"/>
    <col min="3" max="3" width="22.85546875" customWidth="1"/>
    <col min="4" max="5" width="10.7109375" customWidth="1"/>
    <col min="6" max="6" width="25.7109375" customWidth="1"/>
    <col min="7" max="7" width="1.42578125" customWidth="1"/>
  </cols>
  <sheetData>
    <row r="1" spans="2:6" ht="15.75" thickBot="1" x14ac:dyDescent="0.3"/>
    <row r="2" spans="2:6" ht="18" customHeight="1" thickBot="1" x14ac:dyDescent="0.3">
      <c r="B2" s="16" t="s">
        <v>0</v>
      </c>
      <c r="C2" s="17"/>
      <c r="D2" s="17"/>
      <c r="E2" s="17"/>
      <c r="F2" s="18"/>
    </row>
    <row r="3" spans="2:6" ht="3.75" customHeight="1" x14ac:dyDescent="0.25"/>
    <row r="4" spans="2:6" x14ac:dyDescent="0.25">
      <c r="B4" s="1" t="s">
        <v>1</v>
      </c>
      <c r="E4" s="2"/>
      <c r="F4" s="22"/>
    </row>
    <row r="5" spans="2:6" x14ac:dyDescent="0.25">
      <c r="B5" s="1" t="s">
        <v>3</v>
      </c>
      <c r="C5" s="1"/>
      <c r="D5" s="1"/>
      <c r="E5" s="2"/>
      <c r="F5" s="26">
        <v>0</v>
      </c>
    </row>
    <row r="6" spans="2:6" ht="3.75" customHeight="1" thickBot="1" x14ac:dyDescent="0.3"/>
    <row r="7" spans="2:6" ht="18" customHeight="1" thickBot="1" x14ac:dyDescent="0.3">
      <c r="B7" s="19" t="s">
        <v>2</v>
      </c>
      <c r="C7" s="20"/>
      <c r="D7" s="20"/>
      <c r="E7" s="20"/>
      <c r="F7" s="21"/>
    </row>
    <row r="8" spans="2:6" ht="3.75" customHeight="1" thickBot="1" x14ac:dyDescent="0.3">
      <c r="B8" s="5"/>
      <c r="C8" s="6"/>
      <c r="D8" s="6"/>
      <c r="E8" s="6"/>
      <c r="F8" s="7"/>
    </row>
    <row r="9" spans="2:6" ht="18" customHeight="1" thickBot="1" x14ac:dyDescent="0.35">
      <c r="B9" s="10" t="s">
        <v>4</v>
      </c>
      <c r="C9" s="3"/>
      <c r="D9" s="3"/>
      <c r="E9" s="3"/>
      <c r="F9" s="4">
        <f>SUM(F17:F136)</f>
        <v>495230917.02561009</v>
      </c>
    </row>
    <row r="10" spans="2:6" ht="3.75" customHeight="1" thickBot="1" x14ac:dyDescent="0.3"/>
    <row r="11" spans="2:6" ht="18" customHeight="1" thickBot="1" x14ac:dyDescent="0.3">
      <c r="B11" s="13" t="s">
        <v>5</v>
      </c>
      <c r="C11" s="14"/>
      <c r="D11" s="14"/>
      <c r="E11" s="14"/>
      <c r="F11" s="15"/>
    </row>
    <row r="12" spans="2:6" ht="7.5" customHeight="1" x14ac:dyDescent="0.25"/>
    <row r="13" spans="2:6" hidden="1" x14ac:dyDescent="0.25">
      <c r="B13" s="24" t="s">
        <v>1</v>
      </c>
      <c r="C13" s="24"/>
      <c r="F13" s="27">
        <f>IF(ISBLANK(F4),5.5%,F4)</f>
        <v>5.5E-2</v>
      </c>
    </row>
    <row r="14" spans="2:6" hidden="1" x14ac:dyDescent="0.25">
      <c r="B14" t="s">
        <v>10</v>
      </c>
      <c r="F14" s="28">
        <v>0</v>
      </c>
    </row>
    <row r="15" spans="2:6" hidden="1" x14ac:dyDescent="0.25"/>
    <row r="16" spans="2:6" x14ac:dyDescent="0.25">
      <c r="B16" s="8" t="s">
        <v>6</v>
      </c>
      <c r="C16" s="8" t="s">
        <v>7</v>
      </c>
      <c r="D16" s="8"/>
      <c r="E16" s="8"/>
      <c r="F16" s="11" t="s">
        <v>8</v>
      </c>
    </row>
    <row r="17" spans="2:6" x14ac:dyDescent="0.25">
      <c r="B17" s="9">
        <v>1</v>
      </c>
      <c r="C17" s="23">
        <v>11683622</v>
      </c>
      <c r="F17" s="12">
        <f>$C17*(1+$F$13)^(-B17+1+$F$14)</f>
        <v>11683622</v>
      </c>
    </row>
    <row r="18" spans="2:6" x14ac:dyDescent="0.25">
      <c r="B18" s="9">
        <v>2</v>
      </c>
      <c r="C18" s="23">
        <v>12282307</v>
      </c>
      <c r="F18" s="12">
        <f t="shared" ref="F18:F81" si="0">$C18*(1+$F$13)^(-B18+1+$F$14)</f>
        <v>11641997.156398105</v>
      </c>
    </row>
    <row r="19" spans="2:6" x14ac:dyDescent="0.25">
      <c r="B19" s="9">
        <v>3</v>
      </c>
      <c r="C19" s="23">
        <v>12930973</v>
      </c>
      <c r="F19" s="12">
        <f t="shared" si="0"/>
        <v>11617863.929381641</v>
      </c>
    </row>
    <row r="20" spans="2:6" x14ac:dyDescent="0.25">
      <c r="B20" s="9">
        <v>4</v>
      </c>
      <c r="C20" s="23">
        <v>13693816</v>
      </c>
      <c r="F20" s="12">
        <f t="shared" si="0"/>
        <v>11661840.820419058</v>
      </c>
    </row>
    <row r="21" spans="2:6" x14ac:dyDescent="0.25">
      <c r="B21" s="9">
        <v>5</v>
      </c>
      <c r="C21" s="23">
        <v>14783907</v>
      </c>
      <c r="F21" s="12">
        <f t="shared" si="0"/>
        <v>11933817.261822622</v>
      </c>
    </row>
    <row r="22" spans="2:6" x14ac:dyDescent="0.25">
      <c r="B22" s="9">
        <v>6</v>
      </c>
      <c r="C22" s="23">
        <v>15864835</v>
      </c>
      <c r="F22" s="12">
        <f t="shared" si="0"/>
        <v>12138730.276518278</v>
      </c>
    </row>
    <row r="23" spans="2:6" x14ac:dyDescent="0.25">
      <c r="B23" s="9">
        <v>7</v>
      </c>
      <c r="C23" s="23">
        <v>16977187</v>
      </c>
      <c r="F23" s="12">
        <f t="shared" si="0"/>
        <v>12312634.128229352</v>
      </c>
    </row>
    <row r="24" spans="2:6" x14ac:dyDescent="0.25">
      <c r="B24" s="9">
        <v>8</v>
      </c>
      <c r="C24" s="23">
        <v>18260270</v>
      </c>
      <c r="F24" s="12">
        <f t="shared" si="0"/>
        <v>12552781.732136542</v>
      </c>
    </row>
    <row r="25" spans="2:6" x14ac:dyDescent="0.25">
      <c r="B25" s="9">
        <v>9</v>
      </c>
      <c r="C25" s="23">
        <v>19351600</v>
      </c>
      <c r="F25" s="12">
        <f t="shared" si="0"/>
        <v>12609480.705607498</v>
      </c>
    </row>
    <row r="26" spans="2:6" x14ac:dyDescent="0.25">
      <c r="B26" s="9">
        <v>10</v>
      </c>
      <c r="C26" s="23">
        <v>20863277</v>
      </c>
      <c r="F26" s="12">
        <f t="shared" si="0"/>
        <v>12885770.361726446</v>
      </c>
    </row>
    <row r="27" spans="2:6" x14ac:dyDescent="0.25">
      <c r="B27" s="9">
        <v>11</v>
      </c>
      <c r="C27" s="23">
        <v>22579574</v>
      </c>
      <c r="F27" s="12">
        <f t="shared" si="0"/>
        <v>13218773.090048533</v>
      </c>
    </row>
    <row r="28" spans="2:6" x14ac:dyDescent="0.25">
      <c r="B28" s="9">
        <v>12</v>
      </c>
      <c r="C28" s="23">
        <v>24504101</v>
      </c>
      <c r="F28" s="12">
        <f t="shared" si="0"/>
        <v>13597582.98273233</v>
      </c>
    </row>
    <row r="29" spans="2:6" x14ac:dyDescent="0.25">
      <c r="B29" s="9">
        <v>13</v>
      </c>
      <c r="C29" s="23">
        <v>26318482</v>
      </c>
      <c r="F29" s="12">
        <f t="shared" si="0"/>
        <v>13843035.122225512</v>
      </c>
    </row>
    <row r="30" spans="2:6" x14ac:dyDescent="0.25">
      <c r="B30" s="9">
        <v>14</v>
      </c>
      <c r="C30" s="23">
        <v>28300403</v>
      </c>
      <c r="F30" s="12">
        <f t="shared" si="0"/>
        <v>14109468.188620754</v>
      </c>
    </row>
    <row r="31" spans="2:6" x14ac:dyDescent="0.25">
      <c r="B31" s="9">
        <v>15</v>
      </c>
      <c r="C31" s="23">
        <v>30563624</v>
      </c>
      <c r="F31" s="12">
        <f t="shared" si="0"/>
        <v>14443432.408856554</v>
      </c>
    </row>
    <row r="32" spans="2:6" x14ac:dyDescent="0.25">
      <c r="B32" s="9">
        <v>16</v>
      </c>
      <c r="C32" s="23">
        <v>32754109</v>
      </c>
      <c r="F32" s="12">
        <f t="shared" si="0"/>
        <v>14671647.882466881</v>
      </c>
    </row>
    <row r="33" spans="2:6" x14ac:dyDescent="0.25">
      <c r="B33" s="9">
        <v>17</v>
      </c>
      <c r="C33" s="23">
        <v>34693405</v>
      </c>
      <c r="F33" s="12">
        <f t="shared" si="0"/>
        <v>14730163.650173096</v>
      </c>
    </row>
    <row r="34" spans="2:6" x14ac:dyDescent="0.25">
      <c r="B34" s="9">
        <v>18</v>
      </c>
      <c r="C34" s="23">
        <v>37158439</v>
      </c>
      <c r="F34" s="12">
        <f t="shared" si="0"/>
        <v>14954284.804245297</v>
      </c>
    </row>
    <row r="35" spans="2:6" x14ac:dyDescent="0.25">
      <c r="B35" s="9">
        <v>19</v>
      </c>
      <c r="C35" s="23">
        <v>39151446</v>
      </c>
      <c r="F35" s="12">
        <f t="shared" si="0"/>
        <v>14934941.757317863</v>
      </c>
    </row>
    <row r="36" spans="2:6" x14ac:dyDescent="0.25">
      <c r="B36" s="9">
        <v>20</v>
      </c>
      <c r="C36" s="23">
        <v>40880133</v>
      </c>
      <c r="F36" s="12">
        <f t="shared" si="0"/>
        <v>14781399.91205051</v>
      </c>
    </row>
    <row r="37" spans="2:6" x14ac:dyDescent="0.25">
      <c r="B37" s="9">
        <v>21</v>
      </c>
      <c r="C37" s="23">
        <v>42870412</v>
      </c>
      <c r="F37" s="12">
        <f t="shared" si="0"/>
        <v>14692931.862244712</v>
      </c>
    </row>
    <row r="38" spans="2:6" x14ac:dyDescent="0.25">
      <c r="B38" s="9">
        <v>22</v>
      </c>
      <c r="C38" s="23">
        <v>45007659</v>
      </c>
      <c r="F38" s="12">
        <f t="shared" si="0"/>
        <v>14621259.062495362</v>
      </c>
    </row>
    <row r="39" spans="2:6" x14ac:dyDescent="0.25">
      <c r="B39" s="9">
        <v>23</v>
      </c>
      <c r="C39" s="23">
        <v>46548197</v>
      </c>
      <c r="F39" s="12">
        <f t="shared" si="0"/>
        <v>14333384.517545836</v>
      </c>
    </row>
    <row r="40" spans="2:6" x14ac:dyDescent="0.25">
      <c r="B40" s="9">
        <v>24</v>
      </c>
      <c r="C40" s="23">
        <v>48004382</v>
      </c>
      <c r="F40" s="12">
        <f t="shared" si="0"/>
        <v>14011167.063591685</v>
      </c>
    </row>
    <row r="41" spans="2:6" x14ac:dyDescent="0.25">
      <c r="B41" s="9">
        <v>25</v>
      </c>
      <c r="C41" s="23">
        <v>49356321</v>
      </c>
      <c r="F41" s="12">
        <f t="shared" si="0"/>
        <v>13654749.864338238</v>
      </c>
    </row>
    <row r="42" spans="2:6" x14ac:dyDescent="0.25">
      <c r="B42" s="9">
        <v>26</v>
      </c>
      <c r="C42" s="23">
        <v>50270765</v>
      </c>
      <c r="F42" s="12">
        <f t="shared" si="0"/>
        <v>13182688.90379978</v>
      </c>
    </row>
    <row r="43" spans="2:6" x14ac:dyDescent="0.25">
      <c r="B43" s="9">
        <v>27</v>
      </c>
      <c r="C43" s="23">
        <v>50907520</v>
      </c>
      <c r="F43" s="12">
        <f t="shared" si="0"/>
        <v>12653713.294716736</v>
      </c>
    </row>
    <row r="44" spans="2:6" x14ac:dyDescent="0.25">
      <c r="B44" s="9">
        <v>28</v>
      </c>
      <c r="C44" s="23">
        <v>51125265</v>
      </c>
      <c r="F44" s="12">
        <f t="shared" si="0"/>
        <v>12045342.740532966</v>
      </c>
    </row>
    <row r="45" spans="2:6" x14ac:dyDescent="0.25">
      <c r="B45" s="9">
        <v>29</v>
      </c>
      <c r="C45" s="23">
        <v>51169152</v>
      </c>
      <c r="F45" s="12">
        <f t="shared" si="0"/>
        <v>11427187.407993294</v>
      </c>
    </row>
    <row r="46" spans="2:6" x14ac:dyDescent="0.25">
      <c r="B46" s="9">
        <v>30</v>
      </c>
      <c r="C46" s="23">
        <v>50911981</v>
      </c>
      <c r="F46" s="12">
        <f t="shared" si="0"/>
        <v>10777019.446411258</v>
      </c>
    </row>
    <row r="47" spans="2:6" x14ac:dyDescent="0.25">
      <c r="B47" s="9">
        <v>31</v>
      </c>
      <c r="C47" s="23">
        <v>50468544</v>
      </c>
      <c r="F47" s="12">
        <f t="shared" si="0"/>
        <v>10126211.329054134</v>
      </c>
    </row>
    <row r="48" spans="2:6" x14ac:dyDescent="0.25">
      <c r="B48" s="9">
        <v>32</v>
      </c>
      <c r="C48" s="23">
        <v>49742852</v>
      </c>
      <c r="F48" s="12">
        <f t="shared" si="0"/>
        <v>9460289.6417951081</v>
      </c>
    </row>
    <row r="49" spans="2:6" x14ac:dyDescent="0.25">
      <c r="B49" s="9">
        <v>33</v>
      </c>
      <c r="C49" s="23">
        <v>48841140</v>
      </c>
      <c r="F49" s="12">
        <f t="shared" si="0"/>
        <v>8804548.3753821291</v>
      </c>
    </row>
    <row r="50" spans="2:6" x14ac:dyDescent="0.25">
      <c r="B50" s="9">
        <v>34</v>
      </c>
      <c r="C50" s="23">
        <v>47675927</v>
      </c>
      <c r="F50" s="12">
        <f t="shared" si="0"/>
        <v>8146442.1573239313</v>
      </c>
    </row>
    <row r="51" spans="2:6" x14ac:dyDescent="0.25">
      <c r="B51" s="9">
        <v>35</v>
      </c>
      <c r="C51" s="23">
        <v>46192160</v>
      </c>
      <c r="F51" s="12">
        <f t="shared" si="0"/>
        <v>7481430.456215689</v>
      </c>
    </row>
    <row r="52" spans="2:6" x14ac:dyDescent="0.25">
      <c r="B52" s="9">
        <v>36</v>
      </c>
      <c r="C52" s="23">
        <v>44435243</v>
      </c>
      <c r="F52" s="12">
        <f t="shared" si="0"/>
        <v>6821682.0296249241</v>
      </c>
    </row>
    <row r="53" spans="2:6" x14ac:dyDescent="0.25">
      <c r="B53" s="9">
        <v>37</v>
      </c>
      <c r="C53" s="23">
        <v>42484026</v>
      </c>
      <c r="F53" s="12">
        <f t="shared" si="0"/>
        <v>6182115.5632784171</v>
      </c>
    </row>
    <row r="54" spans="2:6" x14ac:dyDescent="0.25">
      <c r="B54" s="9">
        <v>38</v>
      </c>
      <c r="C54" s="23">
        <v>40381734</v>
      </c>
      <c r="F54" s="12">
        <f t="shared" si="0"/>
        <v>5569855.8710794868</v>
      </c>
    </row>
    <row r="55" spans="2:6" x14ac:dyDescent="0.25">
      <c r="B55" s="9">
        <v>39</v>
      </c>
      <c r="C55" s="23">
        <v>38145904</v>
      </c>
      <c r="F55" s="12">
        <f t="shared" si="0"/>
        <v>4987173.1340680188</v>
      </c>
    </row>
    <row r="56" spans="2:6" x14ac:dyDescent="0.25">
      <c r="B56" s="9">
        <v>40</v>
      </c>
      <c r="C56" s="23">
        <v>35824482</v>
      </c>
      <c r="F56" s="12">
        <f t="shared" si="0"/>
        <v>4439499.3196455324</v>
      </c>
    </row>
    <row r="57" spans="2:6" x14ac:dyDescent="0.25">
      <c r="B57" s="9">
        <v>41</v>
      </c>
      <c r="C57" s="23">
        <v>33458143</v>
      </c>
      <c r="F57" s="12">
        <f t="shared" si="0"/>
        <v>3930098.6124543981</v>
      </c>
    </row>
    <row r="58" spans="2:6" x14ac:dyDescent="0.25">
      <c r="B58" s="9">
        <v>42</v>
      </c>
      <c r="C58" s="23">
        <v>31079665</v>
      </c>
      <c r="F58" s="12">
        <f t="shared" si="0"/>
        <v>3460393.4717272026</v>
      </c>
    </row>
    <row r="59" spans="2:6" x14ac:dyDescent="0.25">
      <c r="B59" s="9">
        <v>43</v>
      </c>
      <c r="C59" s="23">
        <v>28724397</v>
      </c>
      <c r="F59" s="12">
        <f t="shared" si="0"/>
        <v>3031430.5001441003</v>
      </c>
    </row>
    <row r="60" spans="2:6" x14ac:dyDescent="0.25">
      <c r="B60" s="9">
        <v>44</v>
      </c>
      <c r="C60" s="23">
        <v>26420763</v>
      </c>
      <c r="F60" s="12">
        <f t="shared" si="0"/>
        <v>2642953.9191321102</v>
      </c>
    </row>
    <row r="61" spans="2:6" x14ac:dyDescent="0.25">
      <c r="B61" s="9">
        <v>45</v>
      </c>
      <c r="C61" s="23">
        <v>24188159</v>
      </c>
      <c r="F61" s="12">
        <f t="shared" si="0"/>
        <v>2293478.0650903545</v>
      </c>
    </row>
    <row r="62" spans="2:6" x14ac:dyDescent="0.25">
      <c r="B62" s="9">
        <v>46</v>
      </c>
      <c r="C62" s="23">
        <v>22038921</v>
      </c>
      <c r="F62" s="12">
        <f t="shared" si="0"/>
        <v>1980749.9089229831</v>
      </c>
    </row>
    <row r="63" spans="2:6" x14ac:dyDescent="0.25">
      <c r="B63" s="9">
        <v>47</v>
      </c>
      <c r="C63" s="23">
        <v>19981828</v>
      </c>
      <c r="F63" s="12">
        <f t="shared" si="0"/>
        <v>1702245.0234053498</v>
      </c>
    </row>
    <row r="64" spans="2:6" x14ac:dyDescent="0.25">
      <c r="B64" s="9">
        <v>48</v>
      </c>
      <c r="C64" s="23">
        <v>18024578</v>
      </c>
      <c r="F64" s="12">
        <f t="shared" si="0"/>
        <v>1455457.4143641111</v>
      </c>
    </row>
    <row r="65" spans="2:6" x14ac:dyDescent="0.25">
      <c r="B65" s="9">
        <v>49</v>
      </c>
      <c r="C65" s="23">
        <v>16173124</v>
      </c>
      <c r="F65" s="12">
        <f t="shared" si="0"/>
        <v>1237872.3259489983</v>
      </c>
    </row>
    <row r="66" spans="2:6" x14ac:dyDescent="0.25">
      <c r="B66" s="9">
        <v>50</v>
      </c>
      <c r="C66" s="23">
        <v>14432005</v>
      </c>
      <c r="F66" s="12">
        <f t="shared" si="0"/>
        <v>1047022.8231847327</v>
      </c>
    </row>
    <row r="67" spans="2:6" x14ac:dyDescent="0.25">
      <c r="B67" s="9">
        <v>51</v>
      </c>
      <c r="C67" s="23">
        <v>12804620</v>
      </c>
      <c r="F67" s="12">
        <f t="shared" si="0"/>
        <v>880529.09919877176</v>
      </c>
    </row>
    <row r="68" spans="2:6" x14ac:dyDescent="0.25">
      <c r="B68" s="9">
        <v>52</v>
      </c>
      <c r="C68" s="23">
        <v>11293094</v>
      </c>
      <c r="F68" s="12">
        <f t="shared" si="0"/>
        <v>736101.15938433795</v>
      </c>
    </row>
    <row r="69" spans="2:6" x14ac:dyDescent="0.25">
      <c r="B69" s="9">
        <v>53</v>
      </c>
      <c r="C69" s="23">
        <v>9898270</v>
      </c>
      <c r="F69" s="12">
        <f t="shared" si="0"/>
        <v>611549.18981108186</v>
      </c>
    </row>
    <row r="70" spans="2:6" x14ac:dyDescent="0.25">
      <c r="B70" s="9">
        <v>54</v>
      </c>
      <c r="C70" s="23">
        <v>8619497</v>
      </c>
      <c r="F70" s="12">
        <f t="shared" si="0"/>
        <v>504779.32930460345</v>
      </c>
    </row>
    <row r="71" spans="2:6" x14ac:dyDescent="0.25">
      <c r="B71" s="9">
        <v>55</v>
      </c>
      <c r="C71" s="23">
        <v>7454934</v>
      </c>
      <c r="F71" s="12">
        <f t="shared" si="0"/>
        <v>413819.52959289611</v>
      </c>
    </row>
    <row r="72" spans="2:6" x14ac:dyDescent="0.25">
      <c r="B72" s="9">
        <v>56</v>
      </c>
      <c r="C72" s="23">
        <v>6401930</v>
      </c>
      <c r="F72" s="12">
        <f t="shared" si="0"/>
        <v>336841.53773992107</v>
      </c>
    </row>
    <row r="73" spans="2:6" x14ac:dyDescent="0.25">
      <c r="B73" s="9">
        <v>57</v>
      </c>
      <c r="C73" s="23">
        <v>5456719</v>
      </c>
      <c r="F73" s="12">
        <f t="shared" si="0"/>
        <v>272140.92109569832</v>
      </c>
    </row>
    <row r="74" spans="2:6" x14ac:dyDescent="0.25">
      <c r="B74" s="9">
        <v>58</v>
      </c>
      <c r="C74" s="23">
        <v>4614605</v>
      </c>
      <c r="F74" s="12">
        <f t="shared" si="0"/>
        <v>218144.53286752981</v>
      </c>
    </row>
    <row r="75" spans="2:6" x14ac:dyDescent="0.25">
      <c r="B75" s="9">
        <v>59</v>
      </c>
      <c r="C75" s="23">
        <v>3870118</v>
      </c>
      <c r="F75" s="12">
        <f t="shared" si="0"/>
        <v>173412.95872565632</v>
      </c>
    </row>
    <row r="76" spans="2:6" x14ac:dyDescent="0.25">
      <c r="B76" s="9">
        <v>60</v>
      </c>
      <c r="C76" s="23">
        <v>3217240</v>
      </c>
      <c r="F76" s="12">
        <f t="shared" si="0"/>
        <v>136643.29980433715</v>
      </c>
    </row>
    <row r="77" spans="2:6" x14ac:dyDescent="0.25">
      <c r="B77" s="9">
        <v>61</v>
      </c>
      <c r="C77" s="23">
        <v>2649797</v>
      </c>
      <c r="F77" s="12">
        <f t="shared" si="0"/>
        <v>106675.58324892922</v>
      </c>
    </row>
    <row r="78" spans="2:6" x14ac:dyDescent="0.25">
      <c r="B78" s="9">
        <v>62</v>
      </c>
      <c r="C78" s="23">
        <v>2161000</v>
      </c>
      <c r="F78" s="12">
        <f t="shared" si="0"/>
        <v>82462.164324549274</v>
      </c>
    </row>
    <row r="79" spans="2:6" x14ac:dyDescent="0.25">
      <c r="B79" s="9">
        <v>63</v>
      </c>
      <c r="C79" s="23">
        <v>1743832</v>
      </c>
      <c r="F79" s="12">
        <f t="shared" si="0"/>
        <v>63074.257327070096</v>
      </c>
    </row>
    <row r="80" spans="2:6" x14ac:dyDescent="0.25">
      <c r="B80" s="9">
        <v>64</v>
      </c>
      <c r="C80" s="23">
        <v>1391546</v>
      </c>
      <c r="F80" s="12">
        <f t="shared" si="0"/>
        <v>47708.153767353375</v>
      </c>
    </row>
    <row r="81" spans="2:6" x14ac:dyDescent="0.25">
      <c r="B81" s="9">
        <v>65</v>
      </c>
      <c r="C81" s="23">
        <v>1097090</v>
      </c>
      <c r="F81" s="12">
        <f t="shared" si="0"/>
        <v>35652.077335694281</v>
      </c>
    </row>
    <row r="82" spans="2:6" x14ac:dyDescent="0.25">
      <c r="B82" s="9">
        <v>66</v>
      </c>
      <c r="C82" s="23">
        <v>853565</v>
      </c>
      <c r="F82" s="12">
        <f t="shared" ref="F82:F136" si="1">$C82*(1+$F$13)^(-B82+1+$F$14)</f>
        <v>26292.187610180546</v>
      </c>
    </row>
    <row r="83" spans="2:6" x14ac:dyDescent="0.25">
      <c r="B83" s="9">
        <v>67</v>
      </c>
      <c r="C83" s="23">
        <v>654700</v>
      </c>
      <c r="F83" s="12">
        <f t="shared" si="1"/>
        <v>19115.25100164393</v>
      </c>
    </row>
    <row r="84" spans="2:6" x14ac:dyDescent="0.25">
      <c r="B84" s="9">
        <v>68</v>
      </c>
      <c r="C84" s="23">
        <v>494476</v>
      </c>
      <c r="F84" s="12">
        <f t="shared" si="1"/>
        <v>13684.546888142953</v>
      </c>
    </row>
    <row r="85" spans="2:6" x14ac:dyDescent="0.25">
      <c r="B85" s="9">
        <v>69</v>
      </c>
      <c r="C85" s="23">
        <v>367170</v>
      </c>
      <c r="F85" s="12">
        <f t="shared" si="1"/>
        <v>9631.6331856520464</v>
      </c>
    </row>
    <row r="86" spans="2:6" x14ac:dyDescent="0.25">
      <c r="B86" s="9">
        <v>70</v>
      </c>
      <c r="C86" s="23">
        <v>267594</v>
      </c>
      <c r="F86" s="12">
        <f t="shared" si="1"/>
        <v>6653.5995134332152</v>
      </c>
    </row>
    <row r="87" spans="2:6" x14ac:dyDescent="0.25">
      <c r="B87" s="9">
        <v>71</v>
      </c>
      <c r="C87" s="23">
        <v>191058</v>
      </c>
      <c r="F87" s="12">
        <f t="shared" si="1"/>
        <v>4502.9077821597793</v>
      </c>
    </row>
    <row r="88" spans="2:6" x14ac:dyDescent="0.25">
      <c r="B88" s="9">
        <v>72</v>
      </c>
      <c r="C88" s="23">
        <v>133400</v>
      </c>
      <c r="F88" s="12">
        <f t="shared" si="1"/>
        <v>2980.102457362093</v>
      </c>
    </row>
    <row r="89" spans="2:6" x14ac:dyDescent="0.25">
      <c r="B89" s="9">
        <v>73</v>
      </c>
      <c r="C89" s="23">
        <v>90936</v>
      </c>
      <c r="F89" s="12">
        <f t="shared" si="1"/>
        <v>1925.5675271085731</v>
      </c>
    </row>
    <row r="90" spans="2:6" x14ac:dyDescent="0.25">
      <c r="B90" s="9">
        <v>74</v>
      </c>
      <c r="C90" s="23">
        <v>60430</v>
      </c>
      <c r="F90" s="12">
        <f t="shared" si="1"/>
        <v>1212.8945398938047</v>
      </c>
    </row>
    <row r="91" spans="2:6" x14ac:dyDescent="0.25">
      <c r="B91" s="9">
        <v>75</v>
      </c>
      <c r="C91" s="23">
        <v>39039</v>
      </c>
      <c r="F91" s="12">
        <f t="shared" si="1"/>
        <v>742.70555400222952</v>
      </c>
    </row>
    <row r="92" spans="2:6" x14ac:dyDescent="0.25">
      <c r="B92" s="9">
        <v>76</v>
      </c>
      <c r="C92" s="23">
        <v>24441</v>
      </c>
      <c r="F92" s="12">
        <f t="shared" si="1"/>
        <v>440.74206132592639</v>
      </c>
    </row>
    <row r="93" spans="2:6" x14ac:dyDescent="0.25">
      <c r="B93" s="9">
        <v>77</v>
      </c>
      <c r="C93" s="23">
        <v>14788</v>
      </c>
      <c r="F93" s="12">
        <f t="shared" si="1"/>
        <v>252.76824304773402</v>
      </c>
    </row>
    <row r="94" spans="2:6" x14ac:dyDescent="0.25">
      <c r="B94" s="9">
        <v>78</v>
      </c>
      <c r="C94" s="23">
        <v>8622</v>
      </c>
      <c r="F94" s="12">
        <f t="shared" si="1"/>
        <v>139.69106445712757</v>
      </c>
    </row>
    <row r="95" spans="2:6" x14ac:dyDescent="0.25">
      <c r="B95" s="9">
        <v>79</v>
      </c>
      <c r="C95" s="23">
        <v>4833</v>
      </c>
      <c r="F95" s="12">
        <f t="shared" si="1"/>
        <v>74.220682517366868</v>
      </c>
    </row>
    <row r="96" spans="2:6" x14ac:dyDescent="0.25">
      <c r="B96" s="9">
        <v>80</v>
      </c>
      <c r="C96" s="23">
        <v>2605</v>
      </c>
      <c r="F96" s="12">
        <f t="shared" si="1"/>
        <v>37.91957110774576</v>
      </c>
    </row>
    <row r="97" spans="2:6" x14ac:dyDescent="0.25">
      <c r="B97" s="9">
        <v>81</v>
      </c>
      <c r="C97" s="23">
        <v>1349</v>
      </c>
      <c r="F97" s="12">
        <f t="shared" si="1"/>
        <v>18.612948640274002</v>
      </c>
    </row>
    <row r="98" spans="2:6" x14ac:dyDescent="0.25">
      <c r="B98" s="9">
        <v>82</v>
      </c>
      <c r="C98" s="23">
        <v>670</v>
      </c>
      <c r="F98" s="12">
        <f t="shared" si="1"/>
        <v>8.7624503943476348</v>
      </c>
    </row>
    <row r="99" spans="2:6" x14ac:dyDescent="0.25">
      <c r="B99" s="9">
        <v>83</v>
      </c>
      <c r="C99" s="23">
        <v>318</v>
      </c>
      <c r="F99" s="12">
        <f t="shared" si="1"/>
        <v>3.9420799680307672</v>
      </c>
    </row>
    <row r="100" spans="2:6" x14ac:dyDescent="0.25">
      <c r="B100" s="9">
        <v>84</v>
      </c>
      <c r="C100" s="23">
        <v>146</v>
      </c>
      <c r="F100" s="12">
        <f t="shared" si="1"/>
        <v>1.7155315369533879</v>
      </c>
    </row>
    <row r="101" spans="2:6" x14ac:dyDescent="0.25">
      <c r="B101" s="9">
        <v>85</v>
      </c>
      <c r="C101" s="23">
        <v>64</v>
      </c>
      <c r="F101" s="12">
        <f t="shared" si="1"/>
        <v>0.71280931224447708</v>
      </c>
    </row>
    <row r="102" spans="2:6" x14ac:dyDescent="0.25">
      <c r="B102" s="9">
        <v>86</v>
      </c>
      <c r="C102" s="23">
        <v>28</v>
      </c>
      <c r="F102" s="12">
        <f t="shared" si="1"/>
        <v>0.29559627877436845</v>
      </c>
    </row>
    <row r="103" spans="2:6" x14ac:dyDescent="0.25">
      <c r="B103" s="9">
        <v>87</v>
      </c>
      <c r="C103" s="23">
        <v>12</v>
      </c>
      <c r="F103" s="12">
        <f t="shared" si="1"/>
        <v>0.12007973409926953</v>
      </c>
    </row>
    <row r="104" spans="2:6" x14ac:dyDescent="0.25">
      <c r="B104" s="9">
        <v>88</v>
      </c>
      <c r="C104" s="23">
        <v>5</v>
      </c>
      <c r="F104" s="12">
        <f t="shared" si="1"/>
        <v>4.7424855489442946E-2</v>
      </c>
    </row>
    <row r="105" spans="2:6" x14ac:dyDescent="0.25">
      <c r="B105" s="9">
        <v>89</v>
      </c>
      <c r="C105" s="23">
        <v>1</v>
      </c>
      <c r="F105" s="12">
        <f t="shared" si="1"/>
        <v>8.9904939316479519E-3</v>
      </c>
    </row>
    <row r="106" spans="2:6" x14ac:dyDescent="0.25">
      <c r="B106" s="9">
        <v>90</v>
      </c>
      <c r="C106" s="23">
        <v>0</v>
      </c>
      <c r="F106" s="12">
        <f t="shared" si="1"/>
        <v>0</v>
      </c>
    </row>
    <row r="107" spans="2:6" x14ac:dyDescent="0.25">
      <c r="B107" s="9">
        <v>91</v>
      </c>
      <c r="C107" s="23">
        <v>0</v>
      </c>
      <c r="F107" s="12">
        <f t="shared" si="1"/>
        <v>0</v>
      </c>
    </row>
    <row r="108" spans="2:6" x14ac:dyDescent="0.25">
      <c r="B108" s="9">
        <v>92</v>
      </c>
      <c r="C108" s="23">
        <v>0</v>
      </c>
      <c r="F108" s="12">
        <f t="shared" si="1"/>
        <v>0</v>
      </c>
    </row>
    <row r="109" spans="2:6" x14ac:dyDescent="0.25">
      <c r="B109" s="9">
        <v>93</v>
      </c>
      <c r="C109" s="23">
        <v>0</v>
      </c>
      <c r="F109" s="12">
        <f t="shared" si="1"/>
        <v>0</v>
      </c>
    </row>
    <row r="110" spans="2:6" x14ac:dyDescent="0.25">
      <c r="B110" s="9">
        <v>94</v>
      </c>
      <c r="C110" s="23">
        <v>0</v>
      </c>
      <c r="F110" s="12">
        <f t="shared" si="1"/>
        <v>0</v>
      </c>
    </row>
    <row r="111" spans="2:6" x14ac:dyDescent="0.25">
      <c r="B111" s="9">
        <v>95</v>
      </c>
      <c r="C111" s="23">
        <v>0</v>
      </c>
      <c r="F111" s="12">
        <f t="shared" si="1"/>
        <v>0</v>
      </c>
    </row>
    <row r="112" spans="2:6" x14ac:dyDescent="0.25">
      <c r="B112" s="9">
        <v>96</v>
      </c>
      <c r="C112" s="23">
        <v>0</v>
      </c>
      <c r="F112" s="12">
        <f t="shared" si="1"/>
        <v>0</v>
      </c>
    </row>
    <row r="113" spans="2:6" x14ac:dyDescent="0.25">
      <c r="B113" s="9">
        <v>97</v>
      </c>
      <c r="C113" s="23">
        <v>0</v>
      </c>
      <c r="F113" s="12">
        <f t="shared" si="1"/>
        <v>0</v>
      </c>
    </row>
    <row r="114" spans="2:6" x14ac:dyDescent="0.25">
      <c r="B114" s="9">
        <v>98</v>
      </c>
      <c r="C114" s="23">
        <v>0</v>
      </c>
      <c r="F114" s="12">
        <f t="shared" si="1"/>
        <v>0</v>
      </c>
    </row>
    <row r="115" spans="2:6" x14ac:dyDescent="0.25">
      <c r="B115" s="9">
        <v>99</v>
      </c>
      <c r="C115" s="23">
        <v>0</v>
      </c>
      <c r="F115" s="12">
        <f t="shared" si="1"/>
        <v>0</v>
      </c>
    </row>
    <row r="116" spans="2:6" x14ac:dyDescent="0.25">
      <c r="B116" s="9">
        <v>100</v>
      </c>
      <c r="C116" s="23">
        <v>0</v>
      </c>
      <c r="F116" s="12">
        <f t="shared" si="1"/>
        <v>0</v>
      </c>
    </row>
    <row r="117" spans="2:6" x14ac:dyDescent="0.25">
      <c r="B117" s="9">
        <v>101</v>
      </c>
      <c r="C117" s="23">
        <v>0</v>
      </c>
      <c r="F117" s="12">
        <f t="shared" si="1"/>
        <v>0</v>
      </c>
    </row>
    <row r="118" spans="2:6" x14ac:dyDescent="0.25">
      <c r="B118" s="9">
        <v>102</v>
      </c>
      <c r="C118" s="23">
        <v>0</v>
      </c>
      <c r="F118" s="12">
        <f t="shared" si="1"/>
        <v>0</v>
      </c>
    </row>
    <row r="119" spans="2:6" x14ac:dyDescent="0.25">
      <c r="B119" s="9">
        <v>103</v>
      </c>
      <c r="C119" s="23">
        <v>0</v>
      </c>
      <c r="F119" s="12">
        <f t="shared" si="1"/>
        <v>0</v>
      </c>
    </row>
    <row r="120" spans="2:6" x14ac:dyDescent="0.25">
      <c r="B120" s="9">
        <v>104</v>
      </c>
      <c r="C120" s="23">
        <v>0</v>
      </c>
      <c r="F120" s="12">
        <f t="shared" si="1"/>
        <v>0</v>
      </c>
    </row>
    <row r="121" spans="2:6" x14ac:dyDescent="0.25">
      <c r="B121" s="9">
        <v>105</v>
      </c>
      <c r="C121" s="23">
        <v>0</v>
      </c>
      <c r="F121" s="12">
        <f t="shared" si="1"/>
        <v>0</v>
      </c>
    </row>
    <row r="122" spans="2:6" x14ac:dyDescent="0.25">
      <c r="B122" s="9">
        <v>106</v>
      </c>
      <c r="C122" s="23">
        <v>0</v>
      </c>
      <c r="F122" s="12">
        <f t="shared" si="1"/>
        <v>0</v>
      </c>
    </row>
    <row r="123" spans="2:6" x14ac:dyDescent="0.25">
      <c r="B123" s="9">
        <v>107</v>
      </c>
      <c r="C123" s="23">
        <v>0</v>
      </c>
      <c r="F123" s="12">
        <f t="shared" si="1"/>
        <v>0</v>
      </c>
    </row>
    <row r="124" spans="2:6" x14ac:dyDescent="0.25">
      <c r="B124" s="9">
        <v>108</v>
      </c>
      <c r="C124" s="23">
        <v>0</v>
      </c>
      <c r="F124" s="12">
        <f t="shared" si="1"/>
        <v>0</v>
      </c>
    </row>
    <row r="125" spans="2:6" x14ac:dyDescent="0.25">
      <c r="B125" s="9">
        <v>109</v>
      </c>
      <c r="C125" s="23">
        <v>0</v>
      </c>
      <c r="F125" s="12">
        <f t="shared" si="1"/>
        <v>0</v>
      </c>
    </row>
    <row r="126" spans="2:6" x14ac:dyDescent="0.25">
      <c r="B126" s="9">
        <v>110</v>
      </c>
      <c r="C126" s="23">
        <v>0</v>
      </c>
      <c r="F126" s="12">
        <f t="shared" si="1"/>
        <v>0</v>
      </c>
    </row>
    <row r="127" spans="2:6" x14ac:dyDescent="0.25">
      <c r="B127" s="9">
        <v>111</v>
      </c>
      <c r="C127" s="23">
        <v>0</v>
      </c>
      <c r="F127" s="12">
        <f t="shared" si="1"/>
        <v>0</v>
      </c>
    </row>
    <row r="128" spans="2:6" x14ac:dyDescent="0.25">
      <c r="B128" s="9">
        <v>112</v>
      </c>
      <c r="C128" s="23">
        <v>0</v>
      </c>
      <c r="F128" s="12">
        <f t="shared" si="1"/>
        <v>0</v>
      </c>
    </row>
    <row r="129" spans="2:6" x14ac:dyDescent="0.25">
      <c r="B129" s="9">
        <v>113</v>
      </c>
      <c r="C129" s="23">
        <v>0</v>
      </c>
      <c r="F129" s="12">
        <f t="shared" si="1"/>
        <v>0</v>
      </c>
    </row>
    <row r="130" spans="2:6" x14ac:dyDescent="0.25">
      <c r="B130" s="9">
        <v>114</v>
      </c>
      <c r="C130" s="23">
        <v>0</v>
      </c>
      <c r="F130" s="12">
        <f t="shared" si="1"/>
        <v>0</v>
      </c>
    </row>
    <row r="131" spans="2:6" x14ac:dyDescent="0.25">
      <c r="B131" s="9">
        <v>115</v>
      </c>
      <c r="C131" s="23">
        <v>0</v>
      </c>
      <c r="F131" s="12">
        <f t="shared" si="1"/>
        <v>0</v>
      </c>
    </row>
    <row r="132" spans="2:6" x14ac:dyDescent="0.25">
      <c r="B132" s="9">
        <v>116</v>
      </c>
      <c r="C132" s="23">
        <v>0</v>
      </c>
      <c r="F132" s="12">
        <f t="shared" si="1"/>
        <v>0</v>
      </c>
    </row>
    <row r="133" spans="2:6" x14ac:dyDescent="0.25">
      <c r="B133" s="9">
        <v>117</v>
      </c>
      <c r="C133" s="23">
        <v>0</v>
      </c>
      <c r="F133" s="12">
        <f t="shared" si="1"/>
        <v>0</v>
      </c>
    </row>
    <row r="134" spans="2:6" x14ac:dyDescent="0.25">
      <c r="B134" s="9">
        <v>118</v>
      </c>
      <c r="C134" s="23">
        <v>0</v>
      </c>
      <c r="F134" s="12">
        <f t="shared" si="1"/>
        <v>0</v>
      </c>
    </row>
    <row r="135" spans="2:6" x14ac:dyDescent="0.25">
      <c r="B135" s="9">
        <v>119</v>
      </c>
      <c r="C135" s="23">
        <v>0</v>
      </c>
      <c r="F135" s="12">
        <f t="shared" si="1"/>
        <v>0</v>
      </c>
    </row>
    <row r="136" spans="2:6" x14ac:dyDescent="0.25">
      <c r="B136" s="9">
        <v>120</v>
      </c>
      <c r="C136" s="23">
        <v>0</v>
      </c>
      <c r="F136" s="12">
        <f t="shared" si="1"/>
        <v>0</v>
      </c>
    </row>
  </sheetData>
  <mergeCells count="4">
    <mergeCell ref="B11:F11"/>
    <mergeCell ref="B2:F2"/>
    <mergeCell ref="B7:F7"/>
    <mergeCell ref="B13:C13"/>
  </mergeCells>
  <dataValidations xWindow="493" yWindow="321" count="1">
    <dataValidation type="decimal" allowBlank="1" showInputMessage="1" showErrorMessage="1" errorTitle="DR" error="It has to be between 0% and 15%" promptTitle="Discount Rate" prompt="It should be between 0% and 15%. The default rate is 5.50%." sqref="F4" xr:uid="{8E453F3A-522F-48DB-8DA9-24D7378A1B9B}">
      <formula1>0</formula1>
      <formula2>0.15</formula2>
    </dataValidation>
  </dataValidations>
  <pageMargins left="0.7" right="0.7" top="0.75" bottom="0.75" header="0.3" footer="0.3"/>
  <pageSetup fitToHeight="3" orientation="portrait" horizontalDpi="300" verticalDpi="300" r:id="rId1"/>
  <headerFooter>
    <oddFooter>&amp;L&amp;F
&amp;A&amp;C&amp;P of &amp;N&amp;R&amp;D
&amp;T</oddFooter>
  </headerFooter>
  <extLst>
    <ext xmlns:x14="http://schemas.microsoft.com/office/spreadsheetml/2009/9/main" uri="{CCE6A557-97BC-4b89-ADB6-D9C93CAAB3DF}">
      <x14:dataValidations xmlns:xm="http://schemas.microsoft.com/office/excel/2006/main" xWindow="493" yWindow="321" count="1">
        <x14:dataValidation type="list" allowBlank="1" showInputMessage="1" showErrorMessage="1" promptTitle="Weight" prompt="It should be between 0 and 1. The default is 0 for BOY." xr:uid="{E0111334-8057-4DA8-A94F-1F59ADC0F8CC}">
          <x14:formula1>
            <xm:f>X!$A$2:$A$10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EEB4-C61C-45D0-A21D-716DB42BA082}">
  <dimension ref="A1:D10"/>
  <sheetViews>
    <sheetView workbookViewId="0">
      <selection activeCell="A2" sqref="A2:A10"/>
    </sheetView>
  </sheetViews>
  <sheetFormatPr defaultRowHeight="15" x14ac:dyDescent="0.25"/>
  <cols>
    <col min="1" max="1" width="19.28515625" customWidth="1"/>
  </cols>
  <sheetData>
    <row r="1" spans="1:4" x14ac:dyDescent="0.25">
      <c r="A1" s="24" t="s">
        <v>9</v>
      </c>
      <c r="B1" s="24"/>
      <c r="C1" s="24"/>
      <c r="D1" s="24"/>
    </row>
    <row r="2" spans="1:4" x14ac:dyDescent="0.25">
      <c r="A2" s="25">
        <v>0</v>
      </c>
    </row>
    <row r="3" spans="1:4" x14ac:dyDescent="0.25">
      <c r="A3" s="25">
        <v>0.125</v>
      </c>
    </row>
    <row r="4" spans="1:4" x14ac:dyDescent="0.25">
      <c r="A4" s="25">
        <v>0.25</v>
      </c>
    </row>
    <row r="5" spans="1:4" x14ac:dyDescent="0.25">
      <c r="A5" s="25">
        <v>0.375</v>
      </c>
    </row>
    <row r="6" spans="1:4" x14ac:dyDescent="0.25">
      <c r="A6" s="25">
        <v>0.5</v>
      </c>
    </row>
    <row r="7" spans="1:4" x14ac:dyDescent="0.25">
      <c r="A7" s="25">
        <v>0.625</v>
      </c>
    </row>
    <row r="8" spans="1:4" x14ac:dyDescent="0.25">
      <c r="A8" s="25">
        <v>0.75</v>
      </c>
    </row>
    <row r="9" spans="1:4" x14ac:dyDescent="0.25">
      <c r="A9" s="25">
        <v>0.875</v>
      </c>
    </row>
    <row r="10" spans="1:4" x14ac:dyDescent="0.25">
      <c r="A10" s="25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Present Value</vt:lpstr>
      <vt:lpstr>X</vt:lpstr>
      <vt:lpstr>'Present Value'!Print_Titles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2020-09-01T18:51:39Z</cp:lastPrinted>
  <dcterms:created xsi:type="dcterms:W3CDTF">2020-08-28T00:06:59Z</dcterms:created>
  <dcterms:modified xsi:type="dcterms:W3CDTF">2020-09-01T18:52:25Z</dcterms:modified>
</cp:coreProperties>
</file>