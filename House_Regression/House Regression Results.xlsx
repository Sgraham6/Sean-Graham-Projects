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jH2qDmIchuQ5JBBr0iGea084wrPtaznbXajWCVSfINQ="/>
    </ext>
  </extLst>
</workbook>
</file>

<file path=xl/sharedStrings.xml><?xml version="1.0" encoding="utf-8"?>
<sst xmlns="http://schemas.openxmlformats.org/spreadsheetml/2006/main" count="76" uniqueCount="13">
  <si>
    <t>Original Data</t>
  </si>
  <si>
    <t>Reduced Data</t>
  </si>
  <si>
    <t>Model</t>
  </si>
  <si>
    <t>Train Adj Pseudo R2</t>
  </si>
  <si>
    <t>Test Adj Pseudo R2</t>
  </si>
  <si>
    <t>Difference</t>
  </si>
  <si>
    <t>Average</t>
  </si>
  <si>
    <t>StDev</t>
  </si>
  <si>
    <t>Train Deviance Per Obs</t>
  </si>
  <si>
    <t>Test Deviance Per Obs</t>
  </si>
  <si>
    <t>Proportion</t>
  </si>
  <si>
    <t>Train Dispersion Parameter</t>
  </si>
  <si>
    <t>Test Dispersion Parameter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</si>
</sst>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M/d/yyyy"/>
  </numFmts>
  <fonts count="12">
    <font>
      <sz val="12.0"/>
      <color theme="1"/>
      <name val="Aptos Narrow"/>
      <scheme val="minor"/>
    </font>
    <font>
      <color rgb="FF1F1F1F"/>
      <name val="Arial"/>
    </font>
    <font>
      <b/>
      <sz val="14.0"/>
      <color rgb="FF1F1F1F"/>
      <name val="Arial"/>
    </font>
    <font/>
    <font>
      <sz val="11.0"/>
      <color rgb="FF1F1F1F"/>
      <name val="Var(--colab-code-font-family)"/>
    </font>
    <font>
      <color theme="1"/>
      <name val="Arial"/>
    </font>
    <font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sz val="12.0"/>
      <color rgb="FF1F1F1F"/>
      <name val="Arial"/>
    </font>
    <font>
      <sz val="11.0"/>
      <color rgb="FF1F1F1F"/>
      <name val="Arial"/>
    </font>
    <font>
      <b/>
      <sz val="14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ill="1" applyFont="1">
      <alignment horizontal="center" readingOrder="0" shrinkToFit="0" vertical="center" wrapText="0"/>
    </xf>
    <xf borderId="5" fillId="2" fontId="4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4" fillId="2" fontId="1" numFmtId="0" xfId="0" applyAlignment="1" applyBorder="1" applyFont="1">
      <alignment horizontal="center" readingOrder="0" shrinkToFit="0" vertical="center" wrapText="0"/>
    </xf>
    <xf borderId="5" fillId="2" fontId="1" numFmtId="164" xfId="0" applyAlignment="1" applyBorder="1" applyFont="1" applyNumberFormat="1">
      <alignment horizontal="center" readingOrder="0" shrinkToFit="0" vertical="center" wrapText="0"/>
    </xf>
    <xf borderId="6" fillId="3" fontId="6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4" fillId="3" fontId="5" numFmtId="0" xfId="0" applyAlignment="1" applyBorder="1" applyFont="1">
      <alignment horizontal="center" readingOrder="0" vertical="center"/>
    </xf>
    <xf borderId="5" fillId="3" fontId="6" numFmtId="164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vertical="center"/>
    </xf>
    <xf borderId="8" fillId="0" fontId="6" numFmtId="0" xfId="0" applyBorder="1" applyFont="1"/>
    <xf borderId="7" fillId="0" fontId="6" numFmtId="0" xfId="0" applyBorder="1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7" fillId="0" fontId="8" numFmtId="0" xfId="0" applyAlignment="1" applyBorder="1" applyFont="1">
      <alignment vertical="bottom"/>
    </xf>
    <xf borderId="9" fillId="3" fontId="5" numFmtId="0" xfId="0" applyAlignment="1" applyBorder="1" applyFont="1">
      <alignment horizontal="center" readingOrder="0" vertical="center"/>
    </xf>
    <xf borderId="10" fillId="3" fontId="6" numFmtId="164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0"/>
    </xf>
    <xf borderId="13" fillId="0" fontId="3" numFmtId="0" xfId="0" applyBorder="1" applyFont="1"/>
    <xf borderId="14" fillId="0" fontId="3" numFmtId="0" xfId="0" applyBorder="1" applyFont="1"/>
    <xf borderId="15" fillId="2" fontId="4" numFmtId="0" xfId="0" applyAlignment="1" applyBorder="1" applyFont="1">
      <alignment horizontal="center" readingOrder="0" shrinkToFit="0" vertical="center" wrapText="1"/>
    </xf>
    <xf borderId="15" fillId="3" fontId="5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shrinkToFit="0" vertical="center" wrapText="0"/>
    </xf>
    <xf borderId="16" fillId="2" fontId="4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shrinkToFit="0" vertical="center" wrapText="0"/>
    </xf>
    <xf borderId="17" fillId="2" fontId="1" numFmtId="164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8" fillId="0" fontId="6" numFmtId="0" xfId="0" applyBorder="1" applyFont="1"/>
    <xf borderId="10" fillId="3" fontId="5" numFmtId="0" xfId="0" applyAlignment="1" applyBorder="1" applyFont="1">
      <alignment horizontal="center" readingOrder="0" vertical="center"/>
    </xf>
    <xf borderId="12" fillId="0" fontId="11" numFmtId="0" xfId="0" applyAlignment="1" applyBorder="1" applyFont="1">
      <alignment horizontal="center" readingOrder="0"/>
    </xf>
    <xf borderId="18" fillId="0" fontId="8" numFmtId="0" xfId="0" applyAlignment="1" applyBorder="1" applyFont="1">
      <alignment vertical="bottom"/>
    </xf>
    <xf borderId="19" fillId="0" fontId="6" numFmtId="165" xfId="0" applyBorder="1" applyFont="1" applyNumberFormat="1"/>
    <xf borderId="0" fillId="0" fontId="6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" width="7.33"/>
    <col customWidth="1" min="3" max="4" width="9.44"/>
    <col customWidth="1" min="5" max="5" width="9.11"/>
    <col customWidth="1" min="6" max="6" width="3.56"/>
    <col customWidth="1" min="7" max="7" width="7.22"/>
    <col customWidth="1" min="8" max="8" width="9.67"/>
    <col customWidth="1" min="9" max="9" width="9.56"/>
    <col customWidth="1" min="10" max="10" width="9.33"/>
    <col customWidth="1" min="11" max="29" width="10.56"/>
  </cols>
  <sheetData>
    <row r="1">
      <c r="A1" s="1"/>
      <c r="B1" s="1"/>
      <c r="C1" s="1"/>
      <c r="D1" s="1"/>
      <c r="E1" s="1"/>
      <c r="G1" s="1"/>
      <c r="H1" s="1"/>
      <c r="I1" s="1"/>
      <c r="J1" s="1"/>
    </row>
    <row r="2">
      <c r="A2" s="1"/>
      <c r="B2" s="2" t="s">
        <v>0</v>
      </c>
      <c r="C2" s="3"/>
      <c r="D2" s="3"/>
      <c r="E2" s="4"/>
      <c r="G2" s="2" t="s">
        <v>1</v>
      </c>
      <c r="H2" s="3"/>
      <c r="I2" s="3"/>
      <c r="J2" s="4"/>
    </row>
    <row r="3" ht="32.25" customHeight="1">
      <c r="A3" s="1"/>
      <c r="B3" s="5" t="s">
        <v>2</v>
      </c>
      <c r="C3" s="6" t="s">
        <v>3</v>
      </c>
      <c r="D3" s="6" t="s">
        <v>4</v>
      </c>
      <c r="E3" s="7" t="s">
        <v>5</v>
      </c>
      <c r="G3" s="5" t="s">
        <v>2</v>
      </c>
      <c r="H3" s="6" t="s">
        <v>3</v>
      </c>
      <c r="I3" s="6" t="s">
        <v>4</v>
      </c>
      <c r="J3" s="7" t="s">
        <v>5</v>
      </c>
    </row>
    <row r="4" ht="15.75" customHeight="1">
      <c r="A4" s="8"/>
      <c r="B4" s="9">
        <v>1.0</v>
      </c>
      <c r="C4" s="10">
        <v>0.864570063323216</v>
      </c>
      <c r="D4" s="10">
        <v>0.804589324025241</v>
      </c>
      <c r="E4" s="11">
        <f t="shared" ref="E4:E8" si="1">D4-C4</f>
        <v>-0.0599807393</v>
      </c>
      <c r="G4" s="9">
        <v>1.0</v>
      </c>
      <c r="H4" s="10">
        <v>0.947131421737098</v>
      </c>
      <c r="I4" s="10">
        <v>0.885223437716761</v>
      </c>
      <c r="J4" s="11">
        <f t="shared" ref="J4:J8" si="2">I4-H4</f>
        <v>-0.06190798402</v>
      </c>
    </row>
    <row r="5" ht="15.75" customHeight="1">
      <c r="A5" s="8"/>
      <c r="B5" s="9">
        <v>2.0</v>
      </c>
      <c r="C5" s="10">
        <v>0.869923974339408</v>
      </c>
      <c r="D5" s="10">
        <v>0.832455526491199</v>
      </c>
      <c r="E5" s="11">
        <f t="shared" si="1"/>
        <v>-0.03746844785</v>
      </c>
      <c r="G5" s="9">
        <v>2.0</v>
      </c>
      <c r="H5" s="10">
        <v>0.944007940471157</v>
      </c>
      <c r="I5" s="10">
        <v>0.920338523559741</v>
      </c>
      <c r="J5" s="11">
        <f t="shared" si="2"/>
        <v>-0.02366941691</v>
      </c>
    </row>
    <row r="6" ht="15.75" customHeight="1">
      <c r="A6" s="8"/>
      <c r="B6" s="9">
        <v>3.0</v>
      </c>
      <c r="C6" s="10">
        <v>0.862581598592586</v>
      </c>
      <c r="D6" s="10">
        <v>0.890559631398735</v>
      </c>
      <c r="E6" s="11">
        <f t="shared" si="1"/>
        <v>0.02797803281</v>
      </c>
      <c r="G6" s="9">
        <v>3.0</v>
      </c>
      <c r="H6" s="10">
        <v>0.959148977538475</v>
      </c>
      <c r="I6" s="10">
        <v>0.961416948220774</v>
      </c>
      <c r="J6" s="11">
        <f t="shared" si="2"/>
        <v>0.002267970682</v>
      </c>
    </row>
    <row r="7" ht="15.75" customHeight="1">
      <c r="A7" s="8"/>
      <c r="B7" s="9">
        <v>4.0</v>
      </c>
      <c r="C7" s="10">
        <v>0.852390060562522</v>
      </c>
      <c r="D7" s="10">
        <v>0.814272688359091</v>
      </c>
      <c r="E7" s="11">
        <f t="shared" si="1"/>
        <v>-0.0381173722</v>
      </c>
      <c r="G7" s="9">
        <v>4.0</v>
      </c>
      <c r="H7" s="10">
        <v>0.947074450287211</v>
      </c>
      <c r="I7" s="10">
        <v>0.909691829042373</v>
      </c>
      <c r="J7" s="11">
        <f t="shared" si="2"/>
        <v>-0.03738262124</v>
      </c>
    </row>
    <row r="8" ht="15.75" customHeight="1">
      <c r="A8" s="8"/>
      <c r="B8" s="9">
        <v>5.0</v>
      </c>
      <c r="C8" s="10">
        <v>0.866769104317743</v>
      </c>
      <c r="D8" s="10">
        <v>0.838684110824243</v>
      </c>
      <c r="E8" s="11">
        <f t="shared" si="1"/>
        <v>-0.02808499349</v>
      </c>
      <c r="G8" s="9">
        <v>5.0</v>
      </c>
      <c r="H8" s="10">
        <v>0.927682562146045</v>
      </c>
      <c r="I8" s="10">
        <v>0.890162590341736</v>
      </c>
      <c r="J8" s="11">
        <f t="shared" si="2"/>
        <v>-0.0375199718</v>
      </c>
    </row>
    <row r="9" ht="15.75" customHeight="1">
      <c r="A9" s="12"/>
      <c r="B9" s="13" t="s">
        <v>6</v>
      </c>
      <c r="C9" s="14">
        <f t="shared" ref="C9:D9" si="3">AVERAGE(C4:C8)</f>
        <v>0.8632469602</v>
      </c>
      <c r="D9" s="14">
        <f t="shared" si="3"/>
        <v>0.8361122562</v>
      </c>
      <c r="E9" s="15"/>
      <c r="G9" s="13" t="s">
        <v>6</v>
      </c>
      <c r="H9" s="14">
        <f t="shared" ref="H9:I9" si="4">AVERAGE(H4:H8)</f>
        <v>0.9450090704</v>
      </c>
      <c r="I9" s="14">
        <f t="shared" si="4"/>
        <v>0.9133666658</v>
      </c>
      <c r="J9" s="15"/>
    </row>
    <row r="10" ht="15.75" customHeight="1">
      <c r="A10" s="12"/>
      <c r="B10" s="13" t="s">
        <v>7</v>
      </c>
      <c r="C10" s="14">
        <f t="shared" ref="C10:D10" si="5">STDEV(C4:C8)</f>
        <v>0.006653074377</v>
      </c>
      <c r="D10" s="14">
        <f t="shared" si="5"/>
        <v>0.03337351027</v>
      </c>
      <c r="E10" s="15"/>
      <c r="G10" s="13" t="s">
        <v>7</v>
      </c>
      <c r="H10" s="14">
        <f t="shared" ref="H10:I10" si="6">STDEV(H4:H8)</f>
        <v>0.01129067417</v>
      </c>
      <c r="I10" s="14">
        <f t="shared" si="6"/>
        <v>0.03041961239</v>
      </c>
      <c r="J10" s="15"/>
    </row>
    <row r="11" ht="15.75" customHeight="1">
      <c r="B11" s="16"/>
      <c r="E11" s="17"/>
      <c r="G11" s="16"/>
      <c r="J11" s="17"/>
    </row>
    <row r="12" ht="15.75" customHeight="1">
      <c r="A12" s="1"/>
      <c r="B12" s="5" t="s">
        <v>2</v>
      </c>
      <c r="C12" s="6" t="s">
        <v>8</v>
      </c>
      <c r="D12" s="6" t="s">
        <v>9</v>
      </c>
      <c r="E12" s="7" t="s">
        <v>10</v>
      </c>
      <c r="G12" s="5" t="s">
        <v>2</v>
      </c>
      <c r="H12" s="6" t="s">
        <v>8</v>
      </c>
      <c r="I12" s="6" t="s">
        <v>9</v>
      </c>
      <c r="J12" s="7" t="s">
        <v>10</v>
      </c>
      <c r="K12" s="18"/>
      <c r="L12" s="19"/>
      <c r="M12" s="20"/>
      <c r="N12" s="21"/>
      <c r="O12" s="21"/>
      <c r="P12" s="18"/>
    </row>
    <row r="13" ht="15.75" customHeight="1">
      <c r="A13" s="8"/>
      <c r="B13" s="9">
        <v>1.0</v>
      </c>
      <c r="C13" s="10">
        <v>0.0106202742830613</v>
      </c>
      <c r="D13" s="10">
        <v>0.00983150534802559</v>
      </c>
      <c r="E13" s="11">
        <f t="shared" ref="E13:E17" si="7">D13/C13</f>
        <v>0.9257298904</v>
      </c>
      <c r="G13" s="9">
        <v>1.0</v>
      </c>
      <c r="H13" s="10">
        <v>0.00839507228482654</v>
      </c>
      <c r="I13" s="10">
        <v>0.0105927240663496</v>
      </c>
      <c r="J13" s="11">
        <f t="shared" ref="J13:J17" si="8">I13/H13</f>
        <v>1.26177878</v>
      </c>
      <c r="K13" s="22"/>
      <c r="L13" s="19"/>
      <c r="M13" s="20"/>
      <c r="N13" s="20"/>
      <c r="O13" s="20"/>
      <c r="P13" s="22"/>
    </row>
    <row r="14" ht="15.75" customHeight="1">
      <c r="A14" s="8"/>
      <c r="B14" s="9">
        <v>2.0</v>
      </c>
      <c r="C14" s="10">
        <v>0.0101815382725403</v>
      </c>
      <c r="D14" s="10">
        <v>0.0111794660543088</v>
      </c>
      <c r="E14" s="11">
        <f t="shared" si="7"/>
        <v>1.098013459</v>
      </c>
      <c r="G14" s="9">
        <v>2.0</v>
      </c>
      <c r="H14" s="10">
        <v>0.00800691105084039</v>
      </c>
      <c r="I14" s="10">
        <v>0.0109898825743448</v>
      </c>
      <c r="J14" s="11">
        <f t="shared" si="8"/>
        <v>1.372549602</v>
      </c>
      <c r="K14" s="22"/>
      <c r="L14" s="19"/>
      <c r="M14" s="20"/>
      <c r="N14" s="20"/>
      <c r="O14" s="20"/>
      <c r="P14" s="22"/>
    </row>
    <row r="15" ht="15.75" customHeight="1">
      <c r="A15" s="8"/>
      <c r="B15" s="9">
        <v>3.0</v>
      </c>
      <c r="C15" s="10">
        <v>0.0098826505549502</v>
      </c>
      <c r="D15" s="10">
        <v>0.0128682388929544</v>
      </c>
      <c r="E15" s="11">
        <f t="shared" si="7"/>
        <v>1.302104008</v>
      </c>
      <c r="G15" s="9">
        <v>3.0</v>
      </c>
      <c r="H15" s="10">
        <v>0.00735819386334854</v>
      </c>
      <c r="I15" s="10">
        <v>0.0133329803820425</v>
      </c>
      <c r="J15" s="11">
        <f t="shared" si="8"/>
        <v>1.811990908</v>
      </c>
      <c r="K15" s="22"/>
      <c r="L15" s="19"/>
      <c r="M15" s="20"/>
      <c r="N15" s="20"/>
      <c r="O15" s="20"/>
      <c r="P15" s="22"/>
    </row>
    <row r="16" ht="15.75" customHeight="1">
      <c r="A16" s="8"/>
      <c r="B16" s="9">
        <v>4.0</v>
      </c>
      <c r="C16" s="10">
        <v>0.0106453462127337</v>
      </c>
      <c r="D16" s="10">
        <v>0.0106077194812733</v>
      </c>
      <c r="E16" s="11">
        <f t="shared" si="7"/>
        <v>0.9964654291</v>
      </c>
      <c r="G16" s="9">
        <v>4.0</v>
      </c>
      <c r="H16" s="10">
        <v>0.00816470356995412</v>
      </c>
      <c r="I16" s="10">
        <v>0.0108418258355121</v>
      </c>
      <c r="J16" s="11">
        <f t="shared" si="8"/>
        <v>1.327889708</v>
      </c>
      <c r="K16" s="22"/>
      <c r="L16" s="19"/>
      <c r="M16" s="20"/>
      <c r="N16" s="20"/>
      <c r="O16" s="20"/>
      <c r="P16" s="22"/>
    </row>
    <row r="17" ht="15.75" customHeight="1">
      <c r="A17" s="8"/>
      <c r="B17" s="9">
        <v>5.0</v>
      </c>
      <c r="C17" s="10">
        <v>0.0104411587386038</v>
      </c>
      <c r="D17" s="10">
        <v>0.0115668244835107</v>
      </c>
      <c r="E17" s="11">
        <f t="shared" si="7"/>
        <v>1.107810423</v>
      </c>
      <c r="G17" s="9">
        <v>5.0</v>
      </c>
      <c r="H17" s="10">
        <v>0.00866363929042093</v>
      </c>
      <c r="I17" s="10">
        <v>0.0128820709601469</v>
      </c>
      <c r="J17" s="11">
        <f t="shared" si="8"/>
        <v>1.4869122</v>
      </c>
      <c r="K17" s="22"/>
      <c r="L17" s="19"/>
      <c r="M17" s="20"/>
      <c r="N17" s="20"/>
      <c r="O17" s="20"/>
      <c r="P17" s="22"/>
    </row>
    <row r="18" ht="15.75" customHeight="1">
      <c r="A18" s="12"/>
      <c r="B18" s="13" t="s">
        <v>6</v>
      </c>
      <c r="C18" s="14">
        <f t="shared" ref="C18:D18" si="9">AVERAGE(C13:C17)</f>
        <v>0.01035419361</v>
      </c>
      <c r="D18" s="14">
        <f t="shared" si="9"/>
        <v>0.01121075085</v>
      </c>
      <c r="E18" s="15"/>
      <c r="G18" s="13" t="s">
        <v>6</v>
      </c>
      <c r="H18" s="14">
        <f t="shared" ref="H18:I18" si="10">AVERAGE(H13:H17)</f>
        <v>0.008117704012</v>
      </c>
      <c r="I18" s="14">
        <f t="shared" si="10"/>
        <v>0.01172789676</v>
      </c>
      <c r="J18" s="15"/>
      <c r="K18" s="19"/>
      <c r="L18" s="19"/>
      <c r="M18" s="18"/>
      <c r="N18" s="22"/>
      <c r="O18" s="22"/>
      <c r="P18" s="19"/>
    </row>
    <row r="19" ht="15.75" customHeight="1">
      <c r="A19" s="12"/>
      <c r="B19" s="13" t="s">
        <v>7</v>
      </c>
      <c r="C19" s="14">
        <f t="shared" ref="C19:D19" si="11">STDEV(C13:C17)</f>
        <v>0.0003222167029</v>
      </c>
      <c r="D19" s="14">
        <f t="shared" si="11"/>
        <v>0.001133688534</v>
      </c>
      <c r="E19" s="15"/>
      <c r="G19" s="13" t="s">
        <v>7</v>
      </c>
      <c r="H19" s="14">
        <f t="shared" ref="H19:I19" si="12">STDEV(H13:H17)</f>
        <v>0.0004915074241</v>
      </c>
      <c r="I19" s="14">
        <f t="shared" si="12"/>
        <v>0.001277381617</v>
      </c>
      <c r="J19" s="15"/>
      <c r="K19" s="19"/>
      <c r="L19" s="19"/>
      <c r="M19" s="18"/>
      <c r="N19" s="22"/>
      <c r="O19" s="22"/>
      <c r="P19" s="19"/>
    </row>
    <row r="20" ht="15.75" customHeight="1">
      <c r="B20" s="16"/>
      <c r="E20" s="17"/>
      <c r="G20" s="16"/>
      <c r="H20" s="19"/>
      <c r="I20" s="19"/>
      <c r="J20" s="23"/>
      <c r="K20" s="19"/>
      <c r="L20" s="19"/>
      <c r="M20" s="19"/>
      <c r="N20" s="19"/>
      <c r="O20" s="19"/>
      <c r="P20" s="19"/>
    </row>
    <row r="21" ht="15.75" customHeight="1">
      <c r="A21" s="1"/>
      <c r="B21" s="5" t="s">
        <v>2</v>
      </c>
      <c r="C21" s="6" t="s">
        <v>11</v>
      </c>
      <c r="D21" s="6" t="s">
        <v>12</v>
      </c>
      <c r="E21" s="7" t="s">
        <v>10</v>
      </c>
      <c r="G21" s="5" t="s">
        <v>2</v>
      </c>
      <c r="H21" s="6" t="s">
        <v>11</v>
      </c>
      <c r="I21" s="6" t="s">
        <v>12</v>
      </c>
      <c r="J21" s="7" t="s">
        <v>10</v>
      </c>
      <c r="K21" s="19"/>
      <c r="L21" s="19"/>
      <c r="M21" s="20"/>
      <c r="N21" s="21"/>
      <c r="O21" s="21"/>
      <c r="P21" s="19"/>
    </row>
    <row r="22" ht="15.75" customHeight="1">
      <c r="A22" s="8"/>
      <c r="B22" s="9">
        <v>1.0</v>
      </c>
      <c r="C22" s="10">
        <v>0.010459816385106</v>
      </c>
      <c r="D22" s="10">
        <v>0.0117964715468826</v>
      </c>
      <c r="E22" s="11">
        <f t="shared" ref="E22:E26" si="13">D22/C22</f>
        <v>1.127789544</v>
      </c>
      <c r="G22" s="9">
        <v>1.0</v>
      </c>
      <c r="H22" s="10">
        <v>0.00767525168036346</v>
      </c>
      <c r="I22" s="10">
        <v>0.0144502093096963</v>
      </c>
      <c r="J22" s="11">
        <f t="shared" ref="J22:J26" si="14">I22/H22</f>
        <v>1.88270169</v>
      </c>
      <c r="K22" s="22"/>
      <c r="L22" s="19"/>
      <c r="M22" s="20"/>
      <c r="N22" s="20"/>
      <c r="O22" s="20"/>
      <c r="P22" s="22"/>
    </row>
    <row r="23" ht="15.75" customHeight="1">
      <c r="A23" s="8"/>
      <c r="B23" s="9">
        <v>2.0</v>
      </c>
      <c r="C23" s="10">
        <v>0.0101721609209894</v>
      </c>
      <c r="D23" s="10">
        <v>0.0115918090263673</v>
      </c>
      <c r="E23" s="11">
        <f t="shared" si="13"/>
        <v>1.139562097</v>
      </c>
      <c r="G23" s="9">
        <v>2.0</v>
      </c>
      <c r="H23" s="10">
        <v>0.00737657871430836</v>
      </c>
      <c r="I23" s="10">
        <v>0.0128418236468692</v>
      </c>
      <c r="J23" s="11">
        <f t="shared" si="14"/>
        <v>1.740891563</v>
      </c>
      <c r="K23" s="22"/>
      <c r="L23" s="19"/>
      <c r="M23" s="20"/>
      <c r="N23" s="20"/>
      <c r="O23" s="20"/>
      <c r="P23" s="22"/>
    </row>
    <row r="24" ht="15.75" customHeight="1">
      <c r="A24" s="8"/>
      <c r="B24" s="9">
        <v>3.0</v>
      </c>
      <c r="C24" s="10">
        <v>0.00992342633703594</v>
      </c>
      <c r="D24" s="10">
        <v>0.0136033259293014</v>
      </c>
      <c r="E24" s="11">
        <f t="shared" si="13"/>
        <v>1.370829537</v>
      </c>
      <c r="G24" s="9">
        <v>3.0</v>
      </c>
      <c r="H24" s="10">
        <v>0.0067082537488172</v>
      </c>
      <c r="I24" s="10">
        <v>0.0159377896098824</v>
      </c>
      <c r="J24" s="11">
        <f t="shared" si="14"/>
        <v>2.375847755</v>
      </c>
      <c r="K24" s="22"/>
      <c r="L24" s="19"/>
      <c r="M24" s="20"/>
      <c r="N24" s="20"/>
      <c r="O24" s="20"/>
      <c r="P24" s="22"/>
    </row>
    <row r="25" ht="15.75" customHeight="1">
      <c r="A25" s="8"/>
      <c r="B25" s="9">
        <v>4.0</v>
      </c>
      <c r="C25" s="10">
        <v>0.0106889026045663</v>
      </c>
      <c r="D25" s="10">
        <v>0.00972828457233951</v>
      </c>
      <c r="E25" s="11">
        <f t="shared" si="13"/>
        <v>0.9101294054</v>
      </c>
      <c r="G25" s="9">
        <v>4.0</v>
      </c>
      <c r="H25" s="10">
        <v>0.00752746858231841</v>
      </c>
      <c r="I25" s="10">
        <v>0.0117321989361908</v>
      </c>
      <c r="J25" s="11">
        <f t="shared" si="14"/>
        <v>1.558584909</v>
      </c>
      <c r="K25" s="22"/>
      <c r="L25" s="19"/>
      <c r="M25" s="20"/>
      <c r="N25" s="20"/>
      <c r="O25" s="20"/>
      <c r="P25" s="22"/>
    </row>
    <row r="26" ht="15.75" customHeight="1">
      <c r="A26" s="8"/>
      <c r="B26" s="9">
        <v>5.0</v>
      </c>
      <c r="C26" s="10">
        <v>0.0100910504386191</v>
      </c>
      <c r="D26" s="10">
        <v>0.0146676165454983</v>
      </c>
      <c r="E26" s="11">
        <f t="shared" si="13"/>
        <v>1.453527225</v>
      </c>
      <c r="G26" s="9">
        <v>5.0</v>
      </c>
      <c r="H26" s="10">
        <v>0.00784861302646285</v>
      </c>
      <c r="I26" s="10">
        <v>0.0180607004263336</v>
      </c>
      <c r="J26" s="11">
        <f t="shared" si="14"/>
        <v>2.301132744</v>
      </c>
      <c r="K26" s="22"/>
      <c r="L26" s="19"/>
      <c r="M26" s="20"/>
      <c r="N26" s="20"/>
      <c r="O26" s="20"/>
      <c r="P26" s="22"/>
    </row>
    <row r="27" ht="15.75" customHeight="1">
      <c r="A27" s="12"/>
      <c r="B27" s="13" t="s">
        <v>6</v>
      </c>
      <c r="C27" s="14">
        <f t="shared" ref="C27:D27" si="15">AVERAGE(C22:C26)</f>
        <v>0.01026707134</v>
      </c>
      <c r="D27" s="14">
        <f t="shared" si="15"/>
        <v>0.01227750152</v>
      </c>
      <c r="E27" s="15"/>
      <c r="G27" s="13" t="s">
        <v>6</v>
      </c>
      <c r="H27" s="14">
        <f t="shared" ref="H27:I27" si="16">AVERAGE(H22:H26)</f>
        <v>0.00742723315</v>
      </c>
      <c r="I27" s="14">
        <f t="shared" si="16"/>
        <v>0.01460454439</v>
      </c>
      <c r="J27" s="15"/>
      <c r="K27" s="19"/>
      <c r="L27" s="19"/>
      <c r="M27" s="18"/>
      <c r="N27" s="22"/>
      <c r="O27" s="22"/>
      <c r="P27" s="19"/>
    </row>
    <row r="28" ht="15.75" customHeight="1">
      <c r="A28" s="12"/>
      <c r="B28" s="24" t="s">
        <v>7</v>
      </c>
      <c r="C28" s="25">
        <f t="shared" ref="C28:D28" si="17">STDEV(C22:C26)</f>
        <v>0.0003054404613</v>
      </c>
      <c r="D28" s="25">
        <f t="shared" si="17"/>
        <v>0.001915106477</v>
      </c>
      <c r="E28" s="26"/>
      <c r="G28" s="24" t="s">
        <v>7</v>
      </c>
      <c r="H28" s="25">
        <f t="shared" ref="H28:I28" si="18">STDEV(H22:H26)</f>
        <v>0.0004383544755</v>
      </c>
      <c r="I28" s="25">
        <f t="shared" si="18"/>
        <v>0.002505191086</v>
      </c>
      <c r="J28" s="26"/>
      <c r="K28" s="19"/>
      <c r="L28" s="19"/>
      <c r="M28" s="18"/>
      <c r="N28" s="22"/>
      <c r="O28" s="22"/>
      <c r="P28" s="19"/>
    </row>
    <row r="29" ht="15.75" customHeight="1">
      <c r="H29" s="19"/>
      <c r="I29" s="19"/>
      <c r="J29" s="19"/>
      <c r="K29" s="19"/>
      <c r="L29" s="19"/>
      <c r="M29" s="19"/>
      <c r="N29" s="19"/>
      <c r="O29" s="19"/>
      <c r="P29" s="19"/>
    </row>
    <row r="30" ht="15.75" customHeight="1">
      <c r="H30" s="20"/>
      <c r="I30" s="21"/>
      <c r="J30" s="21"/>
      <c r="K30" s="19"/>
      <c r="L30" s="19"/>
      <c r="M30" s="20"/>
      <c r="N30" s="21"/>
      <c r="O30" s="21"/>
      <c r="P30" s="19"/>
    </row>
    <row r="31" ht="15.75" customHeight="1">
      <c r="H31" s="20"/>
      <c r="I31" s="20"/>
      <c r="J31" s="20"/>
      <c r="K31" s="22"/>
      <c r="L31" s="19"/>
      <c r="M31" s="20"/>
      <c r="N31" s="20"/>
      <c r="O31" s="20"/>
      <c r="P31" s="22"/>
    </row>
    <row r="32" ht="15.75" customHeight="1">
      <c r="H32" s="20"/>
      <c r="I32" s="20"/>
      <c r="J32" s="20"/>
      <c r="K32" s="22"/>
      <c r="L32" s="19"/>
      <c r="M32" s="20"/>
      <c r="N32" s="20"/>
      <c r="O32" s="20"/>
      <c r="P32" s="22"/>
    </row>
    <row r="33" ht="15.75" customHeight="1">
      <c r="H33" s="20"/>
      <c r="I33" s="20"/>
      <c r="J33" s="20"/>
      <c r="K33" s="22"/>
      <c r="L33" s="19"/>
      <c r="M33" s="20"/>
      <c r="N33" s="20"/>
      <c r="O33" s="20"/>
      <c r="P33" s="22"/>
    </row>
    <row r="34" ht="15.75" customHeight="1">
      <c r="H34" s="20"/>
      <c r="I34" s="20"/>
      <c r="J34" s="20"/>
      <c r="K34" s="22"/>
      <c r="L34" s="19"/>
      <c r="M34" s="20"/>
      <c r="N34" s="20"/>
      <c r="O34" s="20"/>
      <c r="P34" s="22"/>
    </row>
    <row r="35" ht="15.75" customHeight="1">
      <c r="H35" s="20"/>
      <c r="I35" s="20"/>
      <c r="J35" s="20"/>
      <c r="K35" s="22"/>
      <c r="L35" s="19"/>
      <c r="M35" s="20"/>
      <c r="N35" s="20"/>
      <c r="O35" s="20"/>
      <c r="P35" s="22"/>
    </row>
    <row r="36" ht="15.75" customHeight="1">
      <c r="H36" s="18"/>
      <c r="I36" s="22"/>
      <c r="J36" s="22"/>
      <c r="K36" s="19"/>
      <c r="L36" s="19"/>
      <c r="M36" s="18"/>
      <c r="N36" s="22"/>
      <c r="O36" s="22"/>
      <c r="P36" s="19"/>
    </row>
    <row r="37" ht="15.75" customHeight="1">
      <c r="H37" s="18"/>
      <c r="I37" s="22"/>
      <c r="J37" s="22"/>
      <c r="K37" s="19"/>
      <c r="L37" s="19"/>
      <c r="M37" s="18"/>
      <c r="N37" s="22"/>
      <c r="O37" s="22"/>
      <c r="P37" s="1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B2:E2"/>
    <mergeCell ref="G2:J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7.33"/>
    <col customWidth="1" min="2" max="2" width="8.0"/>
    <col customWidth="1" min="3" max="5" width="9.0"/>
    <col customWidth="1" min="6" max="6" width="3.56"/>
    <col customWidth="1" min="7" max="7" width="7.44"/>
    <col customWidth="1" min="8" max="9" width="7.67"/>
    <col customWidth="1" min="10" max="10" width="9.22"/>
    <col customWidth="1" min="11" max="11" width="3.56"/>
    <col customWidth="1" min="12" max="12" width="7.44"/>
    <col customWidth="1" min="13" max="14" width="8.56"/>
    <col customWidth="1" min="15" max="15" width="9.22"/>
    <col customWidth="1" min="16" max="29" width="10.56"/>
  </cols>
  <sheetData>
    <row r="1">
      <c r="A1" s="1"/>
      <c r="B1" s="1"/>
      <c r="C1" s="27"/>
      <c r="D1" s="27"/>
      <c r="E1" s="12"/>
      <c r="G1" s="1"/>
      <c r="H1" s="27"/>
      <c r="I1" s="27"/>
      <c r="J1" s="12"/>
      <c r="L1" s="1"/>
      <c r="M1" s="27"/>
      <c r="N1" s="27"/>
      <c r="O1" s="12"/>
    </row>
    <row r="2">
      <c r="A2" s="1"/>
      <c r="B2" s="28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>
      <c r="A3" s="1"/>
      <c r="B3" s="5" t="s">
        <v>2</v>
      </c>
      <c r="C3" s="31" t="s">
        <v>3</v>
      </c>
      <c r="D3" s="31" t="s">
        <v>4</v>
      </c>
      <c r="E3" s="32" t="s">
        <v>5</v>
      </c>
      <c r="G3" s="33" t="s">
        <v>2</v>
      </c>
      <c r="H3" s="31" t="s">
        <v>8</v>
      </c>
      <c r="I3" s="34" t="s">
        <v>9</v>
      </c>
      <c r="J3" s="35" t="s">
        <v>10</v>
      </c>
      <c r="L3" s="33" t="s">
        <v>2</v>
      </c>
      <c r="M3" s="31" t="s">
        <v>11</v>
      </c>
      <c r="N3" s="31" t="s">
        <v>12</v>
      </c>
      <c r="O3" s="7" t="s">
        <v>10</v>
      </c>
    </row>
    <row r="4" ht="15.75" customHeight="1">
      <c r="A4" s="8"/>
      <c r="B4" s="9">
        <v>1.0</v>
      </c>
      <c r="C4" s="10">
        <v>0.864570063323216</v>
      </c>
      <c r="D4" s="10">
        <v>0.804589324025241</v>
      </c>
      <c r="E4" s="14">
        <f t="shared" ref="E4:E8" si="1">D4-C4</f>
        <v>-0.0599807393</v>
      </c>
      <c r="G4" s="36">
        <v>1.0</v>
      </c>
      <c r="H4" s="10">
        <v>0.0106202742830613</v>
      </c>
      <c r="I4" s="37">
        <v>0.00983150534802559</v>
      </c>
      <c r="J4" s="14">
        <f t="shared" ref="J4:J8" si="2">I4/H4</f>
        <v>0.9257298904</v>
      </c>
      <c r="L4" s="36">
        <v>1.0</v>
      </c>
      <c r="M4" s="10">
        <v>0.010459816385106</v>
      </c>
      <c r="N4" s="10">
        <v>0.0117964715468826</v>
      </c>
      <c r="O4" s="11">
        <f t="shared" ref="O4:O8" si="3">N4/M4</f>
        <v>1.127789544</v>
      </c>
    </row>
    <row r="5" ht="15.75" customHeight="1">
      <c r="A5" s="8"/>
      <c r="B5" s="9">
        <v>2.0</v>
      </c>
      <c r="C5" s="10">
        <v>0.869923974339408</v>
      </c>
      <c r="D5" s="10">
        <v>0.832455526491199</v>
      </c>
      <c r="E5" s="14">
        <f t="shared" si="1"/>
        <v>-0.03746844785</v>
      </c>
      <c r="G5" s="36">
        <v>2.0</v>
      </c>
      <c r="H5" s="10">
        <v>0.0101815382725403</v>
      </c>
      <c r="I5" s="37">
        <v>0.0111794660543088</v>
      </c>
      <c r="J5" s="14">
        <f t="shared" si="2"/>
        <v>1.098013459</v>
      </c>
      <c r="L5" s="36">
        <v>2.0</v>
      </c>
      <c r="M5" s="10">
        <v>0.0101721609209894</v>
      </c>
      <c r="N5" s="10">
        <v>0.0115918090263673</v>
      </c>
      <c r="O5" s="11">
        <f t="shared" si="3"/>
        <v>1.139562097</v>
      </c>
    </row>
    <row r="6" ht="15.75" customHeight="1">
      <c r="A6" s="8"/>
      <c r="B6" s="9">
        <v>3.0</v>
      </c>
      <c r="C6" s="10">
        <v>0.862581598592586</v>
      </c>
      <c r="D6" s="10">
        <v>0.890559631398735</v>
      </c>
      <c r="E6" s="14">
        <f t="shared" si="1"/>
        <v>0.02797803281</v>
      </c>
      <c r="G6" s="36">
        <v>3.0</v>
      </c>
      <c r="H6" s="10">
        <v>0.0098826505549502</v>
      </c>
      <c r="I6" s="37">
        <v>0.0128682388929544</v>
      </c>
      <c r="J6" s="14">
        <f t="shared" si="2"/>
        <v>1.302104008</v>
      </c>
      <c r="L6" s="36">
        <v>3.0</v>
      </c>
      <c r="M6" s="10">
        <v>0.00992342633703594</v>
      </c>
      <c r="N6" s="10">
        <v>0.0136033259293014</v>
      </c>
      <c r="O6" s="11">
        <f t="shared" si="3"/>
        <v>1.370829537</v>
      </c>
    </row>
    <row r="7" ht="15.75" customHeight="1">
      <c r="A7" s="8"/>
      <c r="B7" s="9">
        <v>4.0</v>
      </c>
      <c r="C7" s="10">
        <v>0.852390060562522</v>
      </c>
      <c r="D7" s="10">
        <v>0.814272688359091</v>
      </c>
      <c r="E7" s="14">
        <f t="shared" si="1"/>
        <v>-0.0381173722</v>
      </c>
      <c r="G7" s="36">
        <v>4.0</v>
      </c>
      <c r="H7" s="10">
        <v>0.0106453462127337</v>
      </c>
      <c r="I7" s="37">
        <v>0.0106077194812733</v>
      </c>
      <c r="J7" s="14">
        <f t="shared" si="2"/>
        <v>0.9964654291</v>
      </c>
      <c r="L7" s="36">
        <v>4.0</v>
      </c>
      <c r="M7" s="10">
        <v>0.0106889026045663</v>
      </c>
      <c r="N7" s="10">
        <v>0.00972828457233951</v>
      </c>
      <c r="O7" s="11">
        <f t="shared" si="3"/>
        <v>0.9101294054</v>
      </c>
    </row>
    <row r="8" ht="15.75" customHeight="1">
      <c r="A8" s="8"/>
      <c r="B8" s="9">
        <v>5.0</v>
      </c>
      <c r="C8" s="10">
        <v>0.866769104317743</v>
      </c>
      <c r="D8" s="10">
        <v>0.838684110824243</v>
      </c>
      <c r="E8" s="14">
        <f t="shared" si="1"/>
        <v>-0.02808499349</v>
      </c>
      <c r="G8" s="36">
        <v>5.0</v>
      </c>
      <c r="H8" s="10">
        <v>0.0104411587386038</v>
      </c>
      <c r="I8" s="37">
        <v>0.0115668244835107</v>
      </c>
      <c r="J8" s="14">
        <f t="shared" si="2"/>
        <v>1.107810423</v>
      </c>
      <c r="L8" s="36">
        <v>5.0</v>
      </c>
      <c r="M8" s="10">
        <v>0.0100910504386191</v>
      </c>
      <c r="N8" s="10">
        <v>0.0146676165454983</v>
      </c>
      <c r="O8" s="11">
        <f t="shared" si="3"/>
        <v>1.453527225</v>
      </c>
    </row>
    <row r="9" ht="15.75" customHeight="1">
      <c r="A9" s="12"/>
      <c r="B9" s="13" t="s">
        <v>6</v>
      </c>
      <c r="C9" s="14">
        <f t="shared" ref="C9:D9" si="4">AVERAGE(C4:C8)</f>
        <v>0.8632469602</v>
      </c>
      <c r="D9" s="14">
        <f t="shared" si="4"/>
        <v>0.8361122562</v>
      </c>
      <c r="E9" s="38"/>
      <c r="G9" s="35" t="s">
        <v>6</v>
      </c>
      <c r="H9" s="14">
        <f t="shared" ref="H9:I9" si="5">AVERAGE(H4:H8)</f>
        <v>0.01035419361</v>
      </c>
      <c r="I9" s="14">
        <f t="shared" si="5"/>
        <v>0.01121075085</v>
      </c>
      <c r="J9" s="38"/>
      <c r="L9" s="35" t="s">
        <v>6</v>
      </c>
      <c r="M9" s="14">
        <f t="shared" ref="M9:N9" si="6">AVERAGE(M4:M8)</f>
        <v>0.01026707134</v>
      </c>
      <c r="N9" s="14">
        <f t="shared" si="6"/>
        <v>0.01227750152</v>
      </c>
      <c r="O9" s="15"/>
    </row>
    <row r="10" ht="15.75" customHeight="1">
      <c r="A10" s="12"/>
      <c r="B10" s="24" t="s">
        <v>7</v>
      </c>
      <c r="C10" s="25">
        <f t="shared" ref="C10:D10" si="7">STDEV(C4:C8)</f>
        <v>0.006653074377</v>
      </c>
      <c r="D10" s="25">
        <f t="shared" si="7"/>
        <v>0.03337351027</v>
      </c>
      <c r="E10" s="39"/>
      <c r="F10" s="40"/>
      <c r="G10" s="41" t="s">
        <v>7</v>
      </c>
      <c r="H10" s="25">
        <f t="shared" ref="H10:I10" si="8">STDEV(H4:H8)</f>
        <v>0.0003222167029</v>
      </c>
      <c r="I10" s="25">
        <f t="shared" si="8"/>
        <v>0.001133688534</v>
      </c>
      <c r="J10" s="39"/>
      <c r="K10" s="40"/>
      <c r="L10" s="41" t="s">
        <v>7</v>
      </c>
      <c r="M10" s="25">
        <f t="shared" ref="M10:N10" si="9">STDEV(M4:M8)</f>
        <v>0.0003054404613</v>
      </c>
      <c r="N10" s="25">
        <f t="shared" si="9"/>
        <v>0.001915106477</v>
      </c>
      <c r="O10" s="26"/>
    </row>
    <row r="11" ht="15.75" customHeight="1"/>
    <row r="12" ht="15.75" customHeight="1">
      <c r="B12" s="42" t="s">
        <v>1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/>
    </row>
    <row r="13">
      <c r="A13" s="1"/>
      <c r="B13" s="5" t="s">
        <v>2</v>
      </c>
      <c r="C13" s="31" t="s">
        <v>3</v>
      </c>
      <c r="D13" s="31" t="s">
        <v>4</v>
      </c>
      <c r="E13" s="32" t="s">
        <v>5</v>
      </c>
      <c r="G13" s="33" t="s">
        <v>2</v>
      </c>
      <c r="H13" s="31" t="s">
        <v>8</v>
      </c>
      <c r="I13" s="34" t="s">
        <v>9</v>
      </c>
      <c r="J13" s="35" t="s">
        <v>10</v>
      </c>
      <c r="K13" s="18"/>
      <c r="L13" s="33" t="s">
        <v>2</v>
      </c>
      <c r="M13" s="31" t="s">
        <v>11</v>
      </c>
      <c r="N13" s="31" t="s">
        <v>12</v>
      </c>
      <c r="O13" s="7" t="s">
        <v>10</v>
      </c>
      <c r="P13" s="18"/>
    </row>
    <row r="14" ht="15.75" customHeight="1">
      <c r="A14" s="8"/>
      <c r="B14" s="9">
        <v>1.0</v>
      </c>
      <c r="C14" s="10">
        <v>0.947131421737098</v>
      </c>
      <c r="D14" s="10">
        <v>0.885223437716761</v>
      </c>
      <c r="E14" s="14">
        <f t="shared" ref="E14:E18" si="10">D14-C14</f>
        <v>-0.06190798402</v>
      </c>
      <c r="G14" s="36">
        <v>1.0</v>
      </c>
      <c r="H14" s="10">
        <v>0.00839507228482654</v>
      </c>
      <c r="I14" s="37">
        <v>0.0105927240663496</v>
      </c>
      <c r="J14" s="14">
        <f t="shared" ref="J14:J18" si="11">I14/H14</f>
        <v>1.26177878</v>
      </c>
      <c r="K14" s="22"/>
      <c r="L14" s="36">
        <v>1.0</v>
      </c>
      <c r="M14" s="10">
        <v>0.00767525168036346</v>
      </c>
      <c r="N14" s="10">
        <v>0.0144502093096963</v>
      </c>
      <c r="O14" s="11">
        <f t="shared" ref="O14:O18" si="12">N14/M14</f>
        <v>1.88270169</v>
      </c>
      <c r="P14" s="22"/>
    </row>
    <row r="15" ht="15.75" customHeight="1">
      <c r="A15" s="8"/>
      <c r="B15" s="9">
        <v>2.0</v>
      </c>
      <c r="C15" s="10">
        <v>0.944007940471157</v>
      </c>
      <c r="D15" s="10">
        <v>0.920338523559741</v>
      </c>
      <c r="E15" s="14">
        <f t="shared" si="10"/>
        <v>-0.02366941691</v>
      </c>
      <c r="G15" s="36">
        <v>2.0</v>
      </c>
      <c r="H15" s="10">
        <v>0.00800691105084039</v>
      </c>
      <c r="I15" s="37">
        <v>0.0109898825743448</v>
      </c>
      <c r="J15" s="14">
        <f t="shared" si="11"/>
        <v>1.372549602</v>
      </c>
      <c r="K15" s="22"/>
      <c r="L15" s="36">
        <v>2.0</v>
      </c>
      <c r="M15" s="10">
        <v>0.00737657871430836</v>
      </c>
      <c r="N15" s="10">
        <v>0.0128418236468692</v>
      </c>
      <c r="O15" s="11">
        <f t="shared" si="12"/>
        <v>1.740891563</v>
      </c>
      <c r="P15" s="22"/>
    </row>
    <row r="16" ht="15.75" customHeight="1">
      <c r="A16" s="8"/>
      <c r="B16" s="9">
        <v>3.0</v>
      </c>
      <c r="C16" s="10">
        <v>0.959148977538475</v>
      </c>
      <c r="D16" s="10">
        <v>0.961416948220774</v>
      </c>
      <c r="E16" s="14">
        <f t="shared" si="10"/>
        <v>0.002267970682</v>
      </c>
      <c r="G16" s="36">
        <v>3.0</v>
      </c>
      <c r="H16" s="10">
        <v>0.00735819386334854</v>
      </c>
      <c r="I16" s="37">
        <v>0.0133329803820425</v>
      </c>
      <c r="J16" s="14">
        <f t="shared" si="11"/>
        <v>1.811990908</v>
      </c>
      <c r="K16" s="22"/>
      <c r="L16" s="36">
        <v>3.0</v>
      </c>
      <c r="M16" s="10">
        <v>0.0067082537488172</v>
      </c>
      <c r="N16" s="10">
        <v>0.0159377896098824</v>
      </c>
      <c r="O16" s="11">
        <f t="shared" si="12"/>
        <v>2.375847755</v>
      </c>
      <c r="P16" s="22"/>
    </row>
    <row r="17" ht="15.75" customHeight="1">
      <c r="A17" s="8"/>
      <c r="B17" s="9">
        <v>4.0</v>
      </c>
      <c r="C17" s="10">
        <v>0.947074450287211</v>
      </c>
      <c r="D17" s="10">
        <v>0.909691829042373</v>
      </c>
      <c r="E17" s="14">
        <f t="shared" si="10"/>
        <v>-0.03738262124</v>
      </c>
      <c r="G17" s="36">
        <v>4.0</v>
      </c>
      <c r="H17" s="10">
        <v>0.00816470356995412</v>
      </c>
      <c r="I17" s="37">
        <v>0.0108418258355121</v>
      </c>
      <c r="J17" s="14">
        <f t="shared" si="11"/>
        <v>1.327889708</v>
      </c>
      <c r="K17" s="22"/>
      <c r="L17" s="36">
        <v>4.0</v>
      </c>
      <c r="M17" s="10">
        <v>0.00752746858231841</v>
      </c>
      <c r="N17" s="10">
        <v>0.0117321989361908</v>
      </c>
      <c r="O17" s="11">
        <f t="shared" si="12"/>
        <v>1.558584909</v>
      </c>
      <c r="P17" s="22"/>
    </row>
    <row r="18" ht="15.75" customHeight="1">
      <c r="A18" s="8"/>
      <c r="B18" s="9">
        <v>5.0</v>
      </c>
      <c r="C18" s="10">
        <v>0.927682562146045</v>
      </c>
      <c r="D18" s="10">
        <v>0.890162590341736</v>
      </c>
      <c r="E18" s="14">
        <f t="shared" si="10"/>
        <v>-0.0375199718</v>
      </c>
      <c r="G18" s="36">
        <v>5.0</v>
      </c>
      <c r="H18" s="10">
        <v>0.00866363929042093</v>
      </c>
      <c r="I18" s="37">
        <v>0.0128820709601469</v>
      </c>
      <c r="J18" s="14">
        <f t="shared" si="11"/>
        <v>1.4869122</v>
      </c>
      <c r="K18" s="22"/>
      <c r="L18" s="36">
        <v>5.0</v>
      </c>
      <c r="M18" s="10">
        <v>0.00784861302646285</v>
      </c>
      <c r="N18" s="10">
        <v>0.0180607004263336</v>
      </c>
      <c r="O18" s="11">
        <f t="shared" si="12"/>
        <v>2.301132744</v>
      </c>
      <c r="P18" s="22"/>
    </row>
    <row r="19" ht="15.75" customHeight="1">
      <c r="A19" s="12"/>
      <c r="B19" s="13" t="s">
        <v>6</v>
      </c>
      <c r="C19" s="14">
        <f t="shared" ref="C19:D19" si="13">AVERAGE(C14:C18)</f>
        <v>0.9450090704</v>
      </c>
      <c r="D19" s="14">
        <f t="shared" si="13"/>
        <v>0.9133666658</v>
      </c>
      <c r="E19" s="38"/>
      <c r="G19" s="35" t="s">
        <v>6</v>
      </c>
      <c r="H19" s="14">
        <f t="shared" ref="H19:I19" si="14">AVERAGE(H14:H18)</f>
        <v>0.008117704012</v>
      </c>
      <c r="I19" s="14">
        <f t="shared" si="14"/>
        <v>0.01172789676</v>
      </c>
      <c r="J19" s="38"/>
      <c r="K19" s="19"/>
      <c r="L19" s="35" t="s">
        <v>6</v>
      </c>
      <c r="M19" s="14">
        <f t="shared" ref="M19:N19" si="15">AVERAGE(M14:M18)</f>
        <v>0.00742723315</v>
      </c>
      <c r="N19" s="14">
        <f t="shared" si="15"/>
        <v>0.01460454439</v>
      </c>
      <c r="O19" s="15"/>
      <c r="P19" s="19"/>
    </row>
    <row r="20" ht="15.75" customHeight="1">
      <c r="A20" s="12"/>
      <c r="B20" s="24" t="s">
        <v>7</v>
      </c>
      <c r="C20" s="25">
        <f t="shared" ref="C20:D20" si="16">STDEV(C14:C18)</f>
        <v>0.01129067417</v>
      </c>
      <c r="D20" s="25">
        <f t="shared" si="16"/>
        <v>0.03041961239</v>
      </c>
      <c r="E20" s="39"/>
      <c r="F20" s="40"/>
      <c r="G20" s="41" t="s">
        <v>7</v>
      </c>
      <c r="H20" s="25">
        <f t="shared" ref="H20:I20" si="17">STDEV(H14:H18)</f>
        <v>0.0004915074241</v>
      </c>
      <c r="I20" s="25">
        <f t="shared" si="17"/>
        <v>0.001277381617</v>
      </c>
      <c r="J20" s="39"/>
      <c r="K20" s="43"/>
      <c r="L20" s="41" t="s">
        <v>7</v>
      </c>
      <c r="M20" s="25">
        <f t="shared" ref="M20:N20" si="18">STDEV(M14:M18)</f>
        <v>0.0004383544755</v>
      </c>
      <c r="N20" s="25">
        <f t="shared" si="18"/>
        <v>0.002505191086</v>
      </c>
      <c r="O20" s="26"/>
      <c r="P20" s="19"/>
    </row>
    <row r="21" ht="15.75" customHeight="1">
      <c r="K21" s="19"/>
      <c r="L21" s="19"/>
      <c r="M21" s="19"/>
      <c r="N21" s="19"/>
      <c r="O21" s="19"/>
      <c r="P21" s="19"/>
    </row>
    <row r="22" ht="15.75" customHeight="1">
      <c r="K22" s="19"/>
      <c r="L22" s="19"/>
      <c r="M22" s="20"/>
      <c r="N22" s="21"/>
      <c r="O22" s="21"/>
      <c r="P22" s="19"/>
      <c r="Q22" s="44"/>
    </row>
    <row r="23" ht="15.75" customHeight="1">
      <c r="K23" s="22"/>
      <c r="L23" s="19"/>
      <c r="M23" s="20"/>
      <c r="N23" s="20"/>
      <c r="O23" s="20"/>
      <c r="P23" s="22"/>
      <c r="Q23" s="45"/>
    </row>
    <row r="24" ht="15.75" customHeight="1">
      <c r="K24" s="22"/>
      <c r="L24" s="19"/>
      <c r="M24" s="20"/>
      <c r="N24" s="20"/>
      <c r="O24" s="20"/>
      <c r="P24" s="22"/>
    </row>
    <row r="25" ht="15.75" customHeight="1">
      <c r="K25" s="22"/>
      <c r="L25" s="19"/>
      <c r="M25" s="20"/>
      <c r="N25" s="20"/>
      <c r="O25" s="20"/>
      <c r="P25" s="22"/>
    </row>
    <row r="26" ht="15.75" customHeight="1">
      <c r="K26" s="22"/>
      <c r="L26" s="19"/>
      <c r="M26" s="20"/>
      <c r="N26" s="20"/>
      <c r="O26" s="20"/>
      <c r="P26" s="22"/>
    </row>
    <row r="27" ht="15.75" customHeight="1">
      <c r="K27" s="22"/>
      <c r="L27" s="19"/>
      <c r="M27" s="20"/>
      <c r="N27" s="20"/>
      <c r="O27" s="20"/>
      <c r="P27" s="22"/>
    </row>
    <row r="28" ht="15.75" customHeight="1">
      <c r="K28" s="19"/>
      <c r="L28" s="19"/>
      <c r="M28" s="18"/>
      <c r="N28" s="22"/>
      <c r="O28" s="22"/>
      <c r="P28" s="19"/>
    </row>
    <row r="29" ht="15.75" customHeight="1">
      <c r="K29" s="19"/>
      <c r="L29" s="19"/>
      <c r="M29" s="18"/>
      <c r="N29" s="22"/>
      <c r="O29" s="22"/>
      <c r="P29" s="19"/>
    </row>
    <row r="30" ht="15.75" customHeight="1">
      <c r="H30" s="19"/>
      <c r="I30" s="19"/>
      <c r="J30" s="19"/>
      <c r="K30" s="19"/>
      <c r="L30" s="19"/>
      <c r="M30" s="19"/>
      <c r="N30" s="19"/>
      <c r="O30" s="19"/>
      <c r="P30" s="19"/>
    </row>
    <row r="31" ht="15.75" customHeight="1">
      <c r="H31" s="20"/>
      <c r="I31" s="21"/>
      <c r="J31" s="21"/>
      <c r="K31" s="19"/>
      <c r="L31" s="19"/>
      <c r="M31" s="20"/>
      <c r="N31" s="21"/>
      <c r="O31" s="21"/>
      <c r="P31" s="19"/>
    </row>
    <row r="32" ht="15.75" customHeight="1">
      <c r="H32" s="20"/>
      <c r="I32" s="20"/>
      <c r="J32" s="20"/>
      <c r="K32" s="22"/>
      <c r="L32" s="19"/>
      <c r="M32" s="20"/>
      <c r="N32" s="20"/>
      <c r="O32" s="20"/>
      <c r="P32" s="22"/>
    </row>
    <row r="33" ht="15.75" customHeight="1">
      <c r="H33" s="20"/>
      <c r="I33" s="20"/>
      <c r="J33" s="20"/>
      <c r="K33" s="22"/>
      <c r="L33" s="19"/>
      <c r="M33" s="20"/>
      <c r="N33" s="20"/>
      <c r="O33" s="20"/>
      <c r="P33" s="22"/>
    </row>
    <row r="34" ht="15.75" customHeight="1">
      <c r="H34" s="20"/>
      <c r="I34" s="20"/>
      <c r="J34" s="20"/>
      <c r="K34" s="22"/>
      <c r="L34" s="19"/>
      <c r="M34" s="20"/>
      <c r="N34" s="20"/>
      <c r="O34" s="20"/>
      <c r="P34" s="22"/>
    </row>
    <row r="35" ht="15.75" customHeight="1">
      <c r="H35" s="20"/>
      <c r="I35" s="20"/>
      <c r="J35" s="20"/>
      <c r="K35" s="22"/>
      <c r="L35" s="19"/>
      <c r="M35" s="20"/>
      <c r="N35" s="20"/>
      <c r="O35" s="20"/>
      <c r="P35" s="22"/>
    </row>
    <row r="36" ht="15.75" customHeight="1">
      <c r="H36" s="20"/>
      <c r="I36" s="20"/>
      <c r="J36" s="20"/>
      <c r="K36" s="22"/>
      <c r="L36" s="19"/>
      <c r="M36" s="20"/>
      <c r="N36" s="20"/>
      <c r="O36" s="20"/>
      <c r="P36" s="22"/>
    </row>
    <row r="37" ht="15.75" customHeight="1">
      <c r="H37" s="18"/>
      <c r="I37" s="22"/>
      <c r="J37" s="22"/>
      <c r="K37" s="19"/>
      <c r="L37" s="19"/>
      <c r="M37" s="18"/>
      <c r="N37" s="22"/>
      <c r="O37" s="22"/>
      <c r="P37" s="19"/>
    </row>
    <row r="38" ht="15.75" customHeight="1">
      <c r="H38" s="18"/>
      <c r="I38" s="22"/>
      <c r="J38" s="22"/>
      <c r="K38" s="19"/>
      <c r="L38" s="19"/>
      <c r="M38" s="18"/>
      <c r="N38" s="22"/>
      <c r="O38" s="22"/>
      <c r="P38" s="1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C48" s="19"/>
      <c r="D48" s="19"/>
      <c r="E48" s="1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">
    <mergeCell ref="B2:O2"/>
    <mergeCell ref="B12:O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2025-12-14T19:50:25Z</dcterms:created>
  <dc:creator>Graham, Sean R.</dc:creator>
</cp:coreProperties>
</file>