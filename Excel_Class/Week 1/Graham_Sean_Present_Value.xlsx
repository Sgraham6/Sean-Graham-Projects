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gra\OneDrive\Documents\Excel Class\"/>
    </mc:Choice>
  </mc:AlternateContent>
  <xr:revisionPtr revIDLastSave="0" documentId="13_ncr:1_{76D888DB-8D0A-47DF-87F3-CDB1CF6AA074}" xr6:coauthVersionLast="45" xr6:coauthVersionMax="45" xr10:uidLastSave="{00000000-0000-0000-0000-000000000000}"/>
  <bookViews>
    <workbookView xWindow="810" yWindow="-120" windowWidth="19800" windowHeight="11760" xr2:uid="{34E9ECD0-F546-4E06-BA99-94C2FA0A98C0}"/>
  </bookViews>
  <sheets>
    <sheet name="Present Value" sheetId="1" r:id="rId1"/>
  </sheets>
  <definedNames>
    <definedName name="_xlnm.Print_Titles" localSheetId="0">'Present Value'!$11:$16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18" i="1" l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7" i="1"/>
  <c r="F9" i="1" l="1"/>
</calcChain>
</file>

<file path=xl/sharedStrings.xml><?xml version="1.0" encoding="utf-8"?>
<sst xmlns="http://schemas.openxmlformats.org/spreadsheetml/2006/main" count="9" uniqueCount="9">
  <si>
    <t>Input Section</t>
  </si>
  <si>
    <t>Discount Rate</t>
  </si>
  <si>
    <t>Output Present Value Result</t>
  </si>
  <si>
    <r>
      <t xml:space="preserve">Timing of Benefit Payments </t>
    </r>
    <r>
      <rPr>
        <sz val="8"/>
        <color theme="1"/>
        <rFont val="Calibri"/>
        <family val="2"/>
        <scheme val="minor"/>
      </rPr>
      <t>(1=EOY, 0.5=MOY, 0=BOY)</t>
    </r>
  </si>
  <si>
    <t>P = Present Value</t>
  </si>
  <si>
    <t>Present Value Calculation Details</t>
  </si>
  <si>
    <t>Year</t>
  </si>
  <si>
    <t>Benefit Cash Flows</t>
  </si>
  <si>
    <t>Discounted Cash Flows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</si>
</sst>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6"/>
      <color theme="4"/>
      <name val="Calibri"/>
      <family val="2"/>
      <scheme val="minor"/>
    </font>
    <font>
      <b/>
      <sz val="14"/>
      <color theme="9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2">
    <xf numFmtId="0" fontId="0" fillId="0" borderId="0"/>
    <xf numFmtId="43" fontId="1" fillId="0" borderId="0" applyFont="0" applyFill="0" applyBorder="0" applyAlignment="0" applyProtection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8" fillId="0" borderId="0" applyNumberFormat="0" applyFill="0" applyBorder="0" applyAlignment="0" applyProtection="0"/>
    <xf numFmtId="0" fontId="1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10" fontId="0" fillId="3" borderId="0" xfId="0" applyNumberFormat="1" applyFill="1" applyAlignment="1">
      <alignment horizontal="right"/>
    </xf>
    <xf numFmtId="0" fontId="0" fillId="0" borderId="0" xfId="0" applyFill="1"/>
    <xf numFmtId="0" fontId="0" fillId="0" borderId="2" xfId="0" applyBorder="1"/>
    <xf numFmtId="3" fontId="5" fillId="0" borderId="3" xfId="0" applyNumberFormat="1" applyFont="1" applyBorder="1" applyAlignment="1">
      <alignment horizontal="right"/>
    </xf>
    <xf numFmtId="0" fontId="0" fillId="0" borderId="1" xfId="0" applyBorder="1" applyAlignment="1"/>
    <xf numFmtId="0" fontId="0" fillId="0" borderId="2" xfId="0" applyBorder="1" applyAlignment="1"/>
    <xf numFmtId="0" fontId="0" fillId="0" borderId="3" xfId="0" applyBorder="1" applyAlignment="1"/>
    <xf numFmtId="0" fontId="6" fillId="0" borderId="0" xfId="0" applyFont="1" applyAlignment="1">
      <alignment horizontal="center"/>
    </xf>
    <xf numFmtId="0" fontId="7" fillId="0" borderId="0" xfId="2" applyAlignment="1">
      <alignment horizontal="center"/>
    </xf>
    <xf numFmtId="41" fontId="7" fillId="3" borderId="0" xfId="1" applyNumberFormat="1" applyFont="1" applyFill="1"/>
    <xf numFmtId="0" fontId="5" fillId="0" borderId="1" xfId="0" applyFont="1" applyBorder="1" applyAlignment="1">
      <alignment horizontal="left"/>
    </xf>
    <xf numFmtId="0" fontId="6" fillId="0" borderId="0" xfId="0" applyFont="1" applyAlignment="1">
      <alignment horizontal="right"/>
    </xf>
    <xf numFmtId="43" fontId="7" fillId="3" borderId="0" xfId="1" applyNumberFormat="1" applyFont="1" applyFill="1" applyAlignment="1">
      <alignment horizontal="left"/>
    </xf>
    <xf numFmtId="41" fontId="0" fillId="0" borderId="0" xfId="0" applyNumberFormat="1"/>
    <xf numFmtId="0" fontId="2" fillId="4" borderId="1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12">
    <cellStyle name="Comma" xfId="1" builtinId="3"/>
    <cellStyle name="Comma 2" xfId="4" xr:uid="{6C77A037-74F0-4850-8ECE-4EC50CE4C502}"/>
    <cellStyle name="Comma 2 2" xfId="6" xr:uid="{3F4536F1-FEBC-4870-887F-1ECC481A6D4A}"/>
    <cellStyle name="Comma 3" xfId="8" xr:uid="{36EB641D-F9E5-4BC0-98A1-520056EB7B14}"/>
    <cellStyle name="Currency 2" xfId="5" xr:uid="{46A7D3BE-B980-4086-98B6-D5BB93B493ED}"/>
    <cellStyle name="Hyperlink 2" xfId="10" xr:uid="{DD99B5F5-B997-4084-9428-EF67FE69C0B6}"/>
    <cellStyle name="Normal" xfId="0" builtinId="0"/>
    <cellStyle name="Normal 2" xfId="3" xr:uid="{67C30CC0-736C-4653-ABA7-7BA7B8EEB008}"/>
    <cellStyle name="Normal 3" xfId="7" xr:uid="{40066F6B-A4D0-41D7-846B-CB411B88F32B}"/>
    <cellStyle name="Normal 4" xfId="9" xr:uid="{B03EF13B-C60F-4A52-BEB4-6991E981BDF9}"/>
    <cellStyle name="Normal 5" xfId="11" xr:uid="{B486D952-47FD-4DCE-8AD7-442C860FF0F0}"/>
    <cellStyle name="Normal 6" xfId="2" xr:uid="{7FF82D22-42BC-4773-9966-9AA0DD9BE3B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CCD0C-E3C4-44D7-A93C-B662535089B6}">
  <sheetPr>
    <pageSetUpPr fitToPage="1"/>
  </sheetPr>
  <dimension ref="B1:F136"/>
  <sheetViews>
    <sheetView showGridLines="0" tabSelected="1" workbookViewId="0">
      <pane ySplit="16" topLeftCell="A17" activePane="bottomLeft" state="frozen"/>
      <selection pane="bottomLeft" activeCell="F21" sqref="F21"/>
    </sheetView>
  </sheetViews>
  <sheetFormatPr defaultRowHeight="15" x14ac:dyDescent="0.25"/>
  <cols>
    <col min="1" max="1" width="1.7109375" customWidth="1"/>
    <col min="3" max="3" width="22.85546875" customWidth="1"/>
    <col min="4" max="5" width="10.7109375" customWidth="1"/>
    <col min="6" max="6" width="25.7109375" customWidth="1"/>
    <col min="7" max="7" width="1.42578125" customWidth="1"/>
  </cols>
  <sheetData>
    <row r="1" spans="2:6" ht="15.75" thickBot="1" x14ac:dyDescent="0.3"/>
    <row r="2" spans="2:6" ht="18" customHeight="1" thickBot="1" x14ac:dyDescent="0.3">
      <c r="B2" s="22" t="s">
        <v>0</v>
      </c>
      <c r="C2" s="23"/>
      <c r="D2" s="23"/>
      <c r="E2" s="23"/>
      <c r="F2" s="24"/>
    </row>
    <row r="3" spans="2:6" ht="3.75" customHeight="1" x14ac:dyDescent="0.25"/>
    <row r="4" spans="2:6" x14ac:dyDescent="0.25">
      <c r="B4" s="1" t="s">
        <v>1</v>
      </c>
      <c r="E4" s="3"/>
      <c r="F4" s="2">
        <v>5.2499999999999998E-2</v>
      </c>
    </row>
    <row r="5" spans="2:6" x14ac:dyDescent="0.25">
      <c r="B5" s="1" t="s">
        <v>3</v>
      </c>
      <c r="C5" s="1"/>
      <c r="D5" s="1"/>
      <c r="E5" s="3"/>
      <c r="F5" s="14">
        <v>0</v>
      </c>
    </row>
    <row r="6" spans="2:6" ht="3.75" customHeight="1" thickBot="1" x14ac:dyDescent="0.3"/>
    <row r="7" spans="2:6" ht="18" customHeight="1" thickBot="1" x14ac:dyDescent="0.3">
      <c r="B7" s="19" t="s">
        <v>2</v>
      </c>
      <c r="C7" s="20"/>
      <c r="D7" s="20"/>
      <c r="E7" s="20"/>
      <c r="F7" s="21"/>
    </row>
    <row r="8" spans="2:6" ht="3.75" customHeight="1" thickBot="1" x14ac:dyDescent="0.3">
      <c r="B8" s="6"/>
      <c r="C8" s="7"/>
      <c r="D8" s="7"/>
      <c r="E8" s="7"/>
      <c r="F8" s="8"/>
    </row>
    <row r="9" spans="2:6" ht="18" customHeight="1" thickBot="1" x14ac:dyDescent="0.35">
      <c r="B9" s="12" t="s">
        <v>4</v>
      </c>
      <c r="C9" s="4"/>
      <c r="D9" s="4"/>
      <c r="E9" s="4"/>
      <c r="F9" s="5">
        <f>SUM(F17:F136)</f>
        <v>518511837.31582928</v>
      </c>
    </row>
    <row r="10" spans="2:6" ht="3.75" customHeight="1" thickBot="1" x14ac:dyDescent="0.3"/>
    <row r="11" spans="2:6" ht="18" customHeight="1" thickBot="1" x14ac:dyDescent="0.3">
      <c r="B11" s="16" t="s">
        <v>5</v>
      </c>
      <c r="C11" s="17"/>
      <c r="D11" s="17"/>
      <c r="E11" s="17"/>
      <c r="F11" s="18"/>
    </row>
    <row r="12" spans="2:6" ht="7.5" customHeight="1" x14ac:dyDescent="0.25"/>
    <row r="13" spans="2:6" hidden="1" x14ac:dyDescent="0.25"/>
    <row r="14" spans="2:6" hidden="1" x14ac:dyDescent="0.25"/>
    <row r="15" spans="2:6" hidden="1" x14ac:dyDescent="0.25"/>
    <row r="16" spans="2:6" x14ac:dyDescent="0.25">
      <c r="B16" s="9" t="s">
        <v>6</v>
      </c>
      <c r="C16" s="9" t="s">
        <v>7</v>
      </c>
      <c r="D16" s="9"/>
      <c r="E16" s="9"/>
      <c r="F16" s="13" t="s">
        <v>8</v>
      </c>
    </row>
    <row r="17" spans="2:6" x14ac:dyDescent="0.25">
      <c r="B17" s="10">
        <v>1</v>
      </c>
      <c r="C17" s="11">
        <v>11683622</v>
      </c>
      <c r="F17" s="15">
        <f>C17/(1+$F$4)^(B17-$B$17+$F$5)</f>
        <v>11683622</v>
      </c>
    </row>
    <row r="18" spans="2:6" x14ac:dyDescent="0.25">
      <c r="B18" s="10">
        <v>2</v>
      </c>
      <c r="C18" s="11">
        <v>12282307</v>
      </c>
      <c r="F18" s="15">
        <f>C18/(1+$F$4)^(B18-$B$17+$F$5)</f>
        <v>11669650.356294537</v>
      </c>
    </row>
    <row r="19" spans="2:6" x14ac:dyDescent="0.25">
      <c r="B19" s="10">
        <v>3</v>
      </c>
      <c r="C19" s="11">
        <v>12930973</v>
      </c>
      <c r="F19" s="15">
        <f>C19/(1+$F$4)^(B19-$B$17+$F$5)</f>
        <v>11673121.230415085</v>
      </c>
    </row>
    <row r="20" spans="2:6" x14ac:dyDescent="0.25">
      <c r="B20" s="10">
        <v>4</v>
      </c>
      <c r="C20" s="11">
        <v>13693816</v>
      </c>
      <c r="F20" s="15">
        <f>C20/(1+$F$4)^(B20-$B$17+$F$5)</f>
        <v>11745139.369733183</v>
      </c>
    </row>
    <row r="21" spans="2:6" x14ac:dyDescent="0.25">
      <c r="B21" s="10">
        <v>5</v>
      </c>
      <c r="C21" s="11">
        <v>14783907</v>
      </c>
      <c r="F21" s="15">
        <f>C21/(1+$F$4)^(B21-$B$17+$F$5)</f>
        <v>12047607.325212289</v>
      </c>
    </row>
    <row r="22" spans="2:6" x14ac:dyDescent="0.25">
      <c r="B22" s="10">
        <v>6</v>
      </c>
      <c r="C22" s="11">
        <v>15864835</v>
      </c>
      <c r="F22" s="15">
        <f>C22/(1+$F$4)^(B22-$B$17+$F$5)</f>
        <v>12283582.219400115</v>
      </c>
    </row>
    <row r="23" spans="2:6" x14ac:dyDescent="0.25">
      <c r="B23" s="10">
        <v>7</v>
      </c>
      <c r="C23" s="11">
        <v>16977187</v>
      </c>
      <c r="F23" s="15">
        <f>C23/(1+$F$4)^(B23-$B$17+$F$5)</f>
        <v>12489156.429988438</v>
      </c>
    </row>
    <row r="24" spans="2:6" x14ac:dyDescent="0.25">
      <c r="B24" s="10">
        <v>8</v>
      </c>
      <c r="C24" s="11">
        <v>18260270</v>
      </c>
      <c r="F24" s="15">
        <f>C24/(1+$F$4)^(B24-$B$17+$F$5)</f>
        <v>12762991.007889662</v>
      </c>
    </row>
    <row r="25" spans="2:6" x14ac:dyDescent="0.25">
      <c r="B25" s="10">
        <v>9</v>
      </c>
      <c r="C25" s="11">
        <v>19351600</v>
      </c>
      <c r="F25" s="15">
        <f>C25/(1+$F$4)^(B25-$B$17+$F$5)</f>
        <v>12851092.289475391</v>
      </c>
    </row>
    <row r="26" spans="2:6" x14ac:dyDescent="0.25">
      <c r="B26" s="10">
        <v>10</v>
      </c>
      <c r="C26" s="11">
        <v>20863277</v>
      </c>
      <c r="F26" s="15">
        <f>C26/(1+$F$4)^(B26-$B$17+$F$5)</f>
        <v>13163869.965364492</v>
      </c>
    </row>
    <row r="27" spans="2:6" x14ac:dyDescent="0.25">
      <c r="B27" s="10">
        <v>11</v>
      </c>
      <c r="C27" s="11">
        <v>22579574</v>
      </c>
      <c r="F27" s="15">
        <f>C27/(1+$F$4)^(B27-$B$17+$F$5)</f>
        <v>13536135.681244474</v>
      </c>
    </row>
    <row r="28" spans="2:6" x14ac:dyDescent="0.25">
      <c r="B28" s="10">
        <v>12</v>
      </c>
      <c r="C28" s="11">
        <v>24504101</v>
      </c>
      <c r="F28" s="15">
        <f>C28/(1+$F$4)^(B28-$B$17+$F$5)</f>
        <v>13957113.951737307</v>
      </c>
    </row>
    <row r="29" spans="2:6" x14ac:dyDescent="0.25">
      <c r="B29" s="10">
        <v>13</v>
      </c>
      <c r="C29" s="11">
        <v>26318482</v>
      </c>
      <c r="F29" s="15">
        <f>C29/(1+$F$4)^(B29-$B$17+$F$5)</f>
        <v>14242806.769044857</v>
      </c>
    </row>
    <row r="30" spans="2:6" x14ac:dyDescent="0.25">
      <c r="B30" s="10">
        <v>14</v>
      </c>
      <c r="C30" s="11">
        <v>28300403</v>
      </c>
      <c r="F30" s="15">
        <f>C30/(1+$F$4)^(B30-$B$17+$F$5)</f>
        <v>14551416.158514492</v>
      </c>
    </row>
    <row r="31" spans="2:6" x14ac:dyDescent="0.25">
      <c r="B31" s="10">
        <v>15</v>
      </c>
      <c r="C31" s="11">
        <v>30563624</v>
      </c>
      <c r="F31" s="15">
        <f>C31/(1+$F$4)^(B31-$B$17+$F$5)</f>
        <v>14931223.116627656</v>
      </c>
    </row>
    <row r="32" spans="2:6" x14ac:dyDescent="0.25">
      <c r="B32" s="10">
        <v>16</v>
      </c>
      <c r="C32" s="11">
        <v>32754109</v>
      </c>
      <c r="F32" s="15">
        <f>C32/(1+$F$4)^(B32-$B$17+$F$5)</f>
        <v>15203172.470579721</v>
      </c>
    </row>
    <row r="33" spans="2:6" x14ac:dyDescent="0.25">
      <c r="B33" s="10">
        <v>17</v>
      </c>
      <c r="C33" s="11">
        <v>34693405</v>
      </c>
      <c r="F33" s="15">
        <f>C33/(1+$F$4)^(B33-$B$17+$F$5)</f>
        <v>15300064.224392528</v>
      </c>
    </row>
    <row r="34" spans="2:6" x14ac:dyDescent="0.25">
      <c r="B34" s="10">
        <v>18</v>
      </c>
      <c r="C34" s="11">
        <v>37158439</v>
      </c>
      <c r="F34" s="15">
        <f>C34/(1+$F$4)^(B34-$B$17+$F$5)</f>
        <v>15569751.628058305</v>
      </c>
    </row>
    <row r="35" spans="2:6" x14ac:dyDescent="0.25">
      <c r="B35" s="10">
        <v>19</v>
      </c>
      <c r="C35" s="11">
        <v>39151446</v>
      </c>
      <c r="F35" s="15">
        <f>C35/(1+$F$4)^(B35-$B$17+$F$5)</f>
        <v>15586547.434510859</v>
      </c>
    </row>
    <row r="36" spans="2:6" x14ac:dyDescent="0.25">
      <c r="B36" s="10">
        <v>20</v>
      </c>
      <c r="C36" s="11">
        <v>40880133</v>
      </c>
      <c r="F36" s="15">
        <f>C36/(1+$F$4)^(B36-$B$17+$F$5)</f>
        <v>15462948.676964521</v>
      </c>
    </row>
    <row r="37" spans="2:6" x14ac:dyDescent="0.25">
      <c r="B37" s="10">
        <v>21</v>
      </c>
      <c r="C37" s="11">
        <v>42870412</v>
      </c>
      <c r="F37" s="15">
        <f>C37/(1+$F$4)^(B37-$B$17+$F$5)</f>
        <v>15406910.761778597</v>
      </c>
    </row>
    <row r="38" spans="2:6" x14ac:dyDescent="0.25">
      <c r="B38" s="10">
        <v>22</v>
      </c>
      <c r="C38" s="11">
        <v>45007659</v>
      </c>
      <c r="F38" s="15">
        <f>C38/(1+$F$4)^(B38-$B$17+$F$5)</f>
        <v>15368172.610646276</v>
      </c>
    </row>
    <row r="39" spans="2:6" x14ac:dyDescent="0.25">
      <c r="B39" s="10">
        <v>23</v>
      </c>
      <c r="C39" s="11">
        <v>46548197</v>
      </c>
      <c r="F39" s="15">
        <f>C39/(1+$F$4)^(B39-$B$17+$F$5)</f>
        <v>15101377.514570344</v>
      </c>
    </row>
    <row r="40" spans="2:6" x14ac:dyDescent="0.25">
      <c r="B40" s="10">
        <v>24</v>
      </c>
      <c r="C40" s="11">
        <v>48004382</v>
      </c>
      <c r="F40" s="15">
        <f>C40/(1+$F$4)^(B40-$B$17+$F$5)</f>
        <v>14796959.303513855</v>
      </c>
    </row>
    <row r="41" spans="2:6" x14ac:dyDescent="0.25">
      <c r="B41" s="10">
        <v>25</v>
      </c>
      <c r="C41" s="11">
        <v>49356321</v>
      </c>
      <c r="F41" s="15">
        <f>C41/(1+$F$4)^(B41-$B$17+$F$5)</f>
        <v>14454806.152952781</v>
      </c>
    </row>
    <row r="42" spans="2:6" x14ac:dyDescent="0.25">
      <c r="B42" s="10">
        <v>26</v>
      </c>
      <c r="C42" s="11">
        <v>50270765</v>
      </c>
      <c r="F42" s="15">
        <f>C42/(1+$F$4)^(B42-$B$17+$F$5)</f>
        <v>13988233.767329751</v>
      </c>
    </row>
    <row r="43" spans="2:6" x14ac:dyDescent="0.25">
      <c r="B43" s="10">
        <v>27</v>
      </c>
      <c r="C43" s="11">
        <v>50907520</v>
      </c>
      <c r="F43" s="15">
        <f>C43/(1+$F$4)^(B43-$B$17+$F$5)</f>
        <v>13458827.391126499</v>
      </c>
    </row>
    <row r="44" spans="2:6" x14ac:dyDescent="0.25">
      <c r="B44" s="10">
        <v>28</v>
      </c>
      <c r="C44" s="11">
        <v>51125265</v>
      </c>
      <c r="F44" s="15">
        <f>C44/(1+$F$4)^(B44-$B$17+$F$5)</f>
        <v>12842179.928505948</v>
      </c>
    </row>
    <row r="45" spans="2:6" x14ac:dyDescent="0.25">
      <c r="B45" s="10">
        <v>29</v>
      </c>
      <c r="C45" s="11">
        <v>51169152</v>
      </c>
      <c r="F45" s="15">
        <f>C45/(1+$F$4)^(B45-$B$17+$F$5)</f>
        <v>12212070.237685889</v>
      </c>
    </row>
    <row r="46" spans="2:6" x14ac:dyDescent="0.25">
      <c r="B46" s="10">
        <v>30</v>
      </c>
      <c r="C46" s="11">
        <v>50911981</v>
      </c>
      <c r="F46" s="15">
        <f>C46/(1+$F$4)^(B46-$B$17+$F$5)</f>
        <v>11544601.998738412</v>
      </c>
    </row>
    <row r="47" spans="2:6" x14ac:dyDescent="0.25">
      <c r="B47" s="10">
        <v>31</v>
      </c>
      <c r="C47" s="11">
        <v>50468544</v>
      </c>
      <c r="F47" s="15">
        <f>C47/(1+$F$4)^(B47-$B$17+$F$5)</f>
        <v>10873206.609266767</v>
      </c>
    </row>
    <row r="48" spans="2:6" x14ac:dyDescent="0.25">
      <c r="B48" s="10">
        <v>32</v>
      </c>
      <c r="C48" s="11">
        <v>49742852</v>
      </c>
      <c r="F48" s="15">
        <f>C48/(1+$F$4)^(B48-$B$17+$F$5)</f>
        <v>10182289.535430221</v>
      </c>
    </row>
    <row r="49" spans="2:6" x14ac:dyDescent="0.25">
      <c r="B49" s="10">
        <v>33</v>
      </c>
      <c r="C49" s="11">
        <v>48841140</v>
      </c>
      <c r="F49" s="15">
        <f>C49/(1+$F$4)^(B49-$B$17+$F$5)</f>
        <v>9499012.2556614913</v>
      </c>
    </row>
    <row r="50" spans="2:6" x14ac:dyDescent="0.25">
      <c r="B50" s="10">
        <v>34</v>
      </c>
      <c r="C50" s="11">
        <v>47675927</v>
      </c>
      <c r="F50" s="15">
        <f>C50/(1+$F$4)^(B50-$B$17+$F$5)</f>
        <v>8809874.0051026586</v>
      </c>
    </row>
    <row r="51" spans="2:6" x14ac:dyDescent="0.25">
      <c r="B51" s="10">
        <v>35</v>
      </c>
      <c r="C51" s="11">
        <v>46192160</v>
      </c>
      <c r="F51" s="15">
        <f>C51/(1+$F$4)^(B51-$B$17+$F$5)</f>
        <v>8109922.7531120647</v>
      </c>
    </row>
    <row r="52" spans="2:6" x14ac:dyDescent="0.25">
      <c r="B52" s="10">
        <v>36</v>
      </c>
      <c r="C52" s="11">
        <v>44435243</v>
      </c>
      <c r="F52" s="15">
        <f>C52/(1+$F$4)^(B52-$B$17+$F$5)</f>
        <v>7412315.5897437334</v>
      </c>
    </row>
    <row r="53" spans="2:6" x14ac:dyDescent="0.25">
      <c r="B53" s="10">
        <v>37</v>
      </c>
      <c r="C53" s="11">
        <v>42484026</v>
      </c>
      <c r="F53" s="15">
        <f>C53/(1+$F$4)^(B53-$B$17+$F$5)</f>
        <v>6733330.0611817893</v>
      </c>
    </row>
    <row r="54" spans="2:6" x14ac:dyDescent="0.25">
      <c r="B54" s="10">
        <v>38</v>
      </c>
      <c r="C54" s="11">
        <v>40381734</v>
      </c>
      <c r="F54" s="15">
        <f>C54/(1+$F$4)^(B54-$B$17+$F$5)</f>
        <v>6080889.2941070059</v>
      </c>
    </row>
    <row r="55" spans="2:6" x14ac:dyDescent="0.25">
      <c r="B55" s="10">
        <v>39</v>
      </c>
      <c r="C55" s="11">
        <v>38145904</v>
      </c>
      <c r="F55" s="15">
        <f>C55/(1+$F$4)^(B55-$B$17+$F$5)</f>
        <v>5457678.3924110197</v>
      </c>
    </row>
    <row r="56" spans="2:6" x14ac:dyDescent="0.25">
      <c r="B56" s="10">
        <v>40</v>
      </c>
      <c r="C56" s="11">
        <v>35824482</v>
      </c>
      <c r="F56" s="15">
        <f>C56/(1+$F$4)^(B56-$B$17+$F$5)</f>
        <v>4869875.3341592122</v>
      </c>
    </row>
    <row r="57" spans="2:6" x14ac:dyDescent="0.25">
      <c r="B57" s="10">
        <v>41</v>
      </c>
      <c r="C57" s="11">
        <v>33458143</v>
      </c>
      <c r="F57" s="15">
        <f>C57/(1+$F$4)^(B57-$B$17+$F$5)</f>
        <v>4321332.1895974213</v>
      </c>
    </row>
    <row r="58" spans="2:6" x14ac:dyDescent="0.25">
      <c r="B58" s="10">
        <v>42</v>
      </c>
      <c r="C58" s="11">
        <v>31079665</v>
      </c>
      <c r="F58" s="15">
        <f>C58/(1+$F$4)^(B58-$B$17+$F$5)</f>
        <v>3813906.5202991758</v>
      </c>
    </row>
    <row r="59" spans="2:6" x14ac:dyDescent="0.25">
      <c r="B59" s="10">
        <v>43</v>
      </c>
      <c r="C59" s="11">
        <v>28724397</v>
      </c>
      <c r="F59" s="15">
        <f>C59/(1+$F$4)^(B59-$B$17+$F$5)</f>
        <v>3349056.9382078974</v>
      </c>
    </row>
    <row r="60" spans="2:6" x14ac:dyDescent="0.25">
      <c r="B60" s="10">
        <v>44</v>
      </c>
      <c r="C60" s="11">
        <v>26420763</v>
      </c>
      <c r="F60" s="15">
        <f>C60/(1+$F$4)^(B60-$B$17+$F$5)</f>
        <v>2926812.2328404924</v>
      </c>
    </row>
    <row r="61" spans="2:6" x14ac:dyDescent="0.25">
      <c r="B61" s="10">
        <v>45</v>
      </c>
      <c r="C61" s="11">
        <v>24188159</v>
      </c>
      <c r="F61" s="15">
        <f>C61/(1+$F$4)^(B61-$B$17+$F$5)</f>
        <v>2545834.7864793935</v>
      </c>
    </row>
    <row r="62" spans="2:6" x14ac:dyDescent="0.25">
      <c r="B62" s="10">
        <v>46</v>
      </c>
      <c r="C62" s="11">
        <v>22038921</v>
      </c>
      <c r="F62" s="15">
        <f>C62/(1+$F$4)^(B62-$B$17+$F$5)</f>
        <v>2203918.9813578078</v>
      </c>
    </row>
    <row r="63" spans="2:6" x14ac:dyDescent="0.25">
      <c r="B63" s="10">
        <v>47</v>
      </c>
      <c r="C63" s="11">
        <v>19981828</v>
      </c>
      <c r="F63" s="15">
        <f>C63/(1+$F$4)^(B63-$B$17+$F$5)</f>
        <v>1898534.1304286225</v>
      </c>
    </row>
    <row r="64" spans="2:6" x14ac:dyDescent="0.25">
      <c r="B64" s="10">
        <v>48</v>
      </c>
      <c r="C64" s="11">
        <v>18024578</v>
      </c>
      <c r="F64" s="15">
        <f>C64/(1+$F$4)^(B64-$B$17+$F$5)</f>
        <v>1627144.7667076143</v>
      </c>
    </row>
    <row r="65" spans="2:6" x14ac:dyDescent="0.25">
      <c r="B65" s="10">
        <v>49</v>
      </c>
      <c r="C65" s="11">
        <v>16173124</v>
      </c>
      <c r="F65" s="15">
        <f>C65/(1+$F$4)^(B65-$B$17+$F$5)</f>
        <v>1387180.2597190663</v>
      </c>
    </row>
    <row r="66" spans="2:6" x14ac:dyDescent="0.25">
      <c r="B66" s="10">
        <v>50</v>
      </c>
      <c r="C66" s="11">
        <v>14432005</v>
      </c>
      <c r="F66" s="15">
        <f>C66/(1+$F$4)^(B66-$B$17+$F$5)</f>
        <v>1176098.1038367855</v>
      </c>
    </row>
    <row r="67" spans="2:6" x14ac:dyDescent="0.25">
      <c r="B67" s="10">
        <v>51</v>
      </c>
      <c r="C67" s="11">
        <v>12804620</v>
      </c>
      <c r="F67" s="15">
        <f>C67/(1+$F$4)^(B67-$B$17+$F$5)</f>
        <v>991428.65978462098</v>
      </c>
    </row>
    <row r="68" spans="2:6" x14ac:dyDescent="0.25">
      <c r="B68" s="10">
        <v>52</v>
      </c>
      <c r="C68" s="11">
        <v>11293094</v>
      </c>
      <c r="F68" s="15">
        <f>C68/(1+$F$4)^(B68-$B$17+$F$5)</f>
        <v>830779.19713900646</v>
      </c>
    </row>
    <row r="69" spans="2:6" x14ac:dyDescent="0.25">
      <c r="B69" s="10">
        <v>53</v>
      </c>
      <c r="C69" s="11">
        <v>9898270</v>
      </c>
      <c r="F69" s="15">
        <f>C69/(1+$F$4)^(B69-$B$17+$F$5)</f>
        <v>691846.68078400998</v>
      </c>
    </row>
    <row r="70" spans="2:6" x14ac:dyDescent="0.25">
      <c r="B70" s="10">
        <v>54</v>
      </c>
      <c r="C70" s="11">
        <v>8619497</v>
      </c>
      <c r="F70" s="15">
        <f>C70/(1+$F$4)^(B70-$B$17+$F$5)</f>
        <v>572414.18033327453</v>
      </c>
    </row>
    <row r="71" spans="2:6" x14ac:dyDescent="0.25">
      <c r="B71" s="10">
        <v>55</v>
      </c>
      <c r="C71" s="11">
        <v>7454934</v>
      </c>
      <c r="F71" s="15">
        <f>C71/(1+$F$4)^(B71-$B$17+$F$5)</f>
        <v>470381.42071420344</v>
      </c>
    </row>
    <row r="72" spans="2:6" x14ac:dyDescent="0.25">
      <c r="B72" s="10">
        <v>56</v>
      </c>
      <c r="C72" s="11">
        <v>6401930</v>
      </c>
      <c r="F72" s="15">
        <f>C72/(1+$F$4)^(B72-$B$17+$F$5)</f>
        <v>383791.34203841642</v>
      </c>
    </row>
    <row r="73" spans="2:6" x14ac:dyDescent="0.25">
      <c r="B73" s="10">
        <v>57</v>
      </c>
      <c r="C73" s="11">
        <v>5456719</v>
      </c>
      <c r="F73" s="15">
        <f>C73/(1+$F$4)^(B73-$B$17+$F$5)</f>
        <v>310809.10834686947</v>
      </c>
    </row>
    <row r="74" spans="2:6" x14ac:dyDescent="0.25">
      <c r="B74" s="10">
        <v>58</v>
      </c>
      <c r="C74" s="11">
        <v>4614605</v>
      </c>
      <c r="F74" s="15">
        <f>C74/(1+$F$4)^(B74-$B$17+$F$5)</f>
        <v>249732.21856753144</v>
      </c>
    </row>
    <row r="75" spans="2:6" x14ac:dyDescent="0.25">
      <c r="B75" s="10">
        <v>59</v>
      </c>
      <c r="C75" s="11">
        <v>3870118</v>
      </c>
      <c r="F75" s="15">
        <f>C75/(1+$F$4)^(B75-$B$17+$F$5)</f>
        <v>198994.99132763807</v>
      </c>
    </row>
    <row r="76" spans="2:6" x14ac:dyDescent="0.25">
      <c r="B76" s="10">
        <v>60</v>
      </c>
      <c r="C76" s="11">
        <v>3217240</v>
      </c>
      <c r="F76" s="15">
        <f>C76/(1+$F$4)^(B76-$B$17+$F$5)</f>
        <v>157173.48892141232</v>
      </c>
    </row>
    <row r="77" spans="2:6" x14ac:dyDescent="0.25">
      <c r="B77" s="10">
        <v>61</v>
      </c>
      <c r="C77" s="11">
        <v>2649797</v>
      </c>
      <c r="F77" s="15">
        <f>C77/(1+$F$4)^(B77-$B$17+$F$5)</f>
        <v>122994.68189460979</v>
      </c>
    </row>
    <row r="78" spans="2:6" x14ac:dyDescent="0.25">
      <c r="B78" s="10">
        <v>62</v>
      </c>
      <c r="C78" s="11">
        <v>2161000</v>
      </c>
      <c r="F78" s="15">
        <f>C78/(1+$F$4)^(B78-$B$17+$F$5)</f>
        <v>95302.960522220965</v>
      </c>
    </row>
    <row r="79" spans="2:6" x14ac:dyDescent="0.25">
      <c r="B79" s="10">
        <v>63</v>
      </c>
      <c r="C79" s="11">
        <v>1743832</v>
      </c>
      <c r="F79" s="15">
        <f>C79/(1+$F$4)^(B79-$B$17+$F$5)</f>
        <v>73069.168185919727</v>
      </c>
    </row>
    <row r="80" spans="2:6" x14ac:dyDescent="0.25">
      <c r="B80" s="10">
        <v>64</v>
      </c>
      <c r="C80" s="11">
        <v>1391546</v>
      </c>
      <c r="F80" s="15">
        <f>C80/(1+$F$4)^(B80-$B$17+$F$5)</f>
        <v>55399.390067660897</v>
      </c>
    </row>
    <row r="81" spans="2:6" x14ac:dyDescent="0.25">
      <c r="B81" s="10">
        <v>65</v>
      </c>
      <c r="C81" s="11">
        <v>1097090</v>
      </c>
      <c r="F81" s="15">
        <f>C81/(1+$F$4)^(B81-$B$17+$F$5)</f>
        <v>41498.038376401077</v>
      </c>
    </row>
    <row r="82" spans="2:6" x14ac:dyDescent="0.25">
      <c r="B82" s="10">
        <v>66</v>
      </c>
      <c r="C82" s="11">
        <v>853565</v>
      </c>
      <c r="F82" s="15">
        <f>C82/(1+$F$4)^(B82-$B$17+$F$5)</f>
        <v>30676.076048864903</v>
      </c>
    </row>
    <row r="83" spans="2:6" x14ac:dyDescent="0.25">
      <c r="B83" s="10">
        <v>67</v>
      </c>
      <c r="C83" s="11">
        <v>654700</v>
      </c>
      <c r="F83" s="15">
        <f>C83/(1+$F$4)^(B83-$B$17+$F$5)</f>
        <v>22355.45139338051</v>
      </c>
    </row>
    <row r="84" spans="2:6" x14ac:dyDescent="0.25">
      <c r="B84" s="10">
        <v>68</v>
      </c>
      <c r="C84" s="11">
        <v>494476</v>
      </c>
      <c r="F84" s="15">
        <f>C84/(1+$F$4)^(B84-$B$17+$F$5)</f>
        <v>16042.21067427771</v>
      </c>
    </row>
    <row r="85" spans="2:6" x14ac:dyDescent="0.25">
      <c r="B85" s="10">
        <v>69</v>
      </c>
      <c r="C85" s="11">
        <v>367170</v>
      </c>
      <c r="F85" s="15">
        <f>C85/(1+$F$4)^(B85-$B$17+$F$5)</f>
        <v>11317.853888764586</v>
      </c>
    </row>
    <row r="86" spans="2:6" x14ac:dyDescent="0.25">
      <c r="B86" s="10">
        <v>70</v>
      </c>
      <c r="C86" s="11">
        <v>267594</v>
      </c>
      <c r="F86" s="15">
        <f>C86/(1+$F$4)^(B86-$B$17+$F$5)</f>
        <v>7837.0237051877775</v>
      </c>
    </row>
    <row r="87" spans="2:6" x14ac:dyDescent="0.25">
      <c r="B87" s="10">
        <v>71</v>
      </c>
      <c r="C87" s="11">
        <v>191058</v>
      </c>
      <c r="F87" s="15">
        <f>C87/(1+$F$4)^(B87-$B$17+$F$5)</f>
        <v>5316.4032116288281</v>
      </c>
    </row>
    <row r="88" spans="2:6" x14ac:dyDescent="0.25">
      <c r="B88" s="10">
        <v>72</v>
      </c>
      <c r="C88" s="11">
        <v>133400</v>
      </c>
      <c r="F88" s="15">
        <f>C88/(1+$F$4)^(B88-$B$17+$F$5)</f>
        <v>3526.8452931084944</v>
      </c>
    </row>
    <row r="89" spans="2:6" x14ac:dyDescent="0.25">
      <c r="B89" s="10">
        <v>73</v>
      </c>
      <c r="C89" s="11">
        <v>90936</v>
      </c>
      <c r="F89" s="15">
        <f>C89/(1+$F$4)^(B89-$B$17+$F$5)</f>
        <v>2284.2536231227432</v>
      </c>
    </row>
    <row r="90" spans="2:6" x14ac:dyDescent="0.25">
      <c r="B90" s="10">
        <v>74</v>
      </c>
      <c r="C90" s="11">
        <v>60430</v>
      </c>
      <c r="F90" s="15">
        <f>C90/(1+$F$4)^(B90-$B$17+$F$5)</f>
        <v>1442.2447448651453</v>
      </c>
    </row>
    <row r="91" spans="2:6" x14ac:dyDescent="0.25">
      <c r="B91" s="10">
        <v>75</v>
      </c>
      <c r="C91" s="11">
        <v>39039</v>
      </c>
      <c r="F91" s="15">
        <f>C91/(1+$F$4)^(B91-$B$17+$F$5)</f>
        <v>885.24391653624753</v>
      </c>
    </row>
    <row r="92" spans="2:6" x14ac:dyDescent="0.25">
      <c r="B92" s="10">
        <v>76</v>
      </c>
      <c r="C92" s="11">
        <v>24441</v>
      </c>
      <c r="F92" s="15">
        <f>C92/(1+$F$4)^(B92-$B$17+$F$5)</f>
        <v>526.57608702430832</v>
      </c>
    </row>
    <row r="93" spans="2:6" x14ac:dyDescent="0.25">
      <c r="B93" s="10">
        <v>77</v>
      </c>
      <c r="C93" s="11">
        <v>14788</v>
      </c>
      <c r="F93" s="15">
        <f>C93/(1+$F$4)^(B93-$B$17+$F$5)</f>
        <v>302.71190372221088</v>
      </c>
    </row>
    <row r="94" spans="2:6" x14ac:dyDescent="0.25">
      <c r="B94" s="10">
        <v>78</v>
      </c>
      <c r="C94" s="11">
        <v>8622</v>
      </c>
      <c r="F94" s="15">
        <f>C94/(1+$F$4)^(B94-$B$17+$F$5)</f>
        <v>167.68953924205749</v>
      </c>
    </row>
    <row r="95" spans="2:6" x14ac:dyDescent="0.25">
      <c r="B95" s="10">
        <v>79</v>
      </c>
      <c r="C95" s="11">
        <v>4833</v>
      </c>
      <c r="F95" s="15">
        <f>C95/(1+$F$4)^(B95-$B$17+$F$5)</f>
        <v>89.308468824089047</v>
      </c>
    </row>
    <row r="96" spans="2:6" x14ac:dyDescent="0.25">
      <c r="B96" s="10">
        <v>80</v>
      </c>
      <c r="C96" s="11">
        <v>2605</v>
      </c>
      <c r="F96" s="15">
        <f>C96/(1+$F$4)^(B96-$B$17+$F$5)</f>
        <v>45.736346718989445</v>
      </c>
    </row>
    <row r="97" spans="2:6" x14ac:dyDescent="0.25">
      <c r="B97" s="10">
        <v>81</v>
      </c>
      <c r="C97" s="11">
        <v>1349</v>
      </c>
      <c r="F97" s="15">
        <f>C97/(1+$F$4)^(B97-$B$17+$F$5)</f>
        <v>22.503164195993186</v>
      </c>
    </row>
    <row r="98" spans="2:6" x14ac:dyDescent="0.25">
      <c r="B98" s="10">
        <v>82</v>
      </c>
      <c r="C98" s="11">
        <v>670</v>
      </c>
      <c r="F98" s="15">
        <f>C98/(1+$F$4)^(B98-$B$17+$F$5)</f>
        <v>10.619017526004436</v>
      </c>
    </row>
    <row r="99" spans="2:6" x14ac:dyDescent="0.25">
      <c r="B99" s="10">
        <v>83</v>
      </c>
      <c r="C99" s="11">
        <v>318</v>
      </c>
      <c r="F99" s="15">
        <f>C99/(1+$F$4)^(B99-$B$17+$F$5)</f>
        <v>4.7886660378904677</v>
      </c>
    </row>
    <row r="100" spans="2:6" x14ac:dyDescent="0.25">
      <c r="B100" s="10">
        <v>84</v>
      </c>
      <c r="C100" s="11">
        <v>146</v>
      </c>
      <c r="F100" s="15">
        <f>C100/(1+$F$4)^(B100-$B$17+$F$5)</f>
        <v>2.0889025576480327</v>
      </c>
    </row>
    <row r="101" spans="2:6" x14ac:dyDescent="0.25">
      <c r="B101" s="10">
        <v>85</v>
      </c>
      <c r="C101" s="11">
        <v>64</v>
      </c>
      <c r="F101" s="15">
        <f>C101/(1+$F$4)^(B101-$B$17+$F$5)</f>
        <v>0.87000789828180847</v>
      </c>
    </row>
    <row r="102" spans="2:6" x14ac:dyDescent="0.25">
      <c r="B102" s="10">
        <v>86</v>
      </c>
      <c r="C102" s="11">
        <v>28</v>
      </c>
      <c r="F102" s="15">
        <f>C102/(1+$F$4)^(B102-$B$17+$F$5)</f>
        <v>0.36164223800312706</v>
      </c>
    </row>
    <row r="103" spans="2:6" x14ac:dyDescent="0.25">
      <c r="B103" s="10">
        <v>87</v>
      </c>
      <c r="C103" s="11">
        <v>12</v>
      </c>
      <c r="F103" s="15">
        <f>C103/(1+$F$4)^(B103-$B$17+$F$5)</f>
        <v>0.14725846135179929</v>
      </c>
    </row>
    <row r="104" spans="2:6" x14ac:dyDescent="0.25">
      <c r="B104" s="10">
        <v>88</v>
      </c>
      <c r="C104" s="11">
        <v>5</v>
      </c>
      <c r="F104" s="15">
        <f>C104/(1+$F$4)^(B104-$B$17+$F$5)</f>
        <v>5.8297094755264955E-2</v>
      </c>
    </row>
    <row r="105" spans="2:6" x14ac:dyDescent="0.25">
      <c r="B105" s="10">
        <v>89</v>
      </c>
      <c r="C105" s="11">
        <v>1</v>
      </c>
      <c r="F105" s="15">
        <f>C105/(1+$F$4)^(B105-$B$17+$F$5)</f>
        <v>1.1077832732591917E-2</v>
      </c>
    </row>
    <row r="106" spans="2:6" x14ac:dyDescent="0.25">
      <c r="B106" s="10">
        <v>90</v>
      </c>
      <c r="C106" s="11">
        <v>0</v>
      </c>
      <c r="F106" s="15">
        <f>C106/(1+$F$4)^(B106-$B$17+$F$5)</f>
        <v>0</v>
      </c>
    </row>
    <row r="107" spans="2:6" x14ac:dyDescent="0.25">
      <c r="B107" s="10">
        <v>91</v>
      </c>
      <c r="C107" s="11">
        <v>0</v>
      </c>
      <c r="F107" s="15">
        <f>C107/(1+$F$4)^(B107-$B$17+$F$5)</f>
        <v>0</v>
      </c>
    </row>
    <row r="108" spans="2:6" x14ac:dyDescent="0.25">
      <c r="B108" s="10">
        <v>92</v>
      </c>
      <c r="C108" s="11">
        <v>0</v>
      </c>
      <c r="F108" s="15">
        <f>C108/(1+$F$4)^(B108-$B$17+$F$5)</f>
        <v>0</v>
      </c>
    </row>
    <row r="109" spans="2:6" x14ac:dyDescent="0.25">
      <c r="B109" s="10">
        <v>93</v>
      </c>
      <c r="C109" s="11">
        <v>0</v>
      </c>
      <c r="F109" s="15">
        <f>C109/(1+$F$4)^(B109-$B$17+$F$5)</f>
        <v>0</v>
      </c>
    </row>
    <row r="110" spans="2:6" x14ac:dyDescent="0.25">
      <c r="B110" s="10">
        <v>94</v>
      </c>
      <c r="C110" s="11">
        <v>0</v>
      </c>
      <c r="F110" s="15">
        <f>C110/(1+$F$4)^(B110-$B$17+$F$5)</f>
        <v>0</v>
      </c>
    </row>
    <row r="111" spans="2:6" x14ac:dyDescent="0.25">
      <c r="B111" s="10">
        <v>95</v>
      </c>
      <c r="C111" s="11">
        <v>0</v>
      </c>
      <c r="F111" s="15">
        <f>C111/(1+$F$4)^(B111-$B$17+$F$5)</f>
        <v>0</v>
      </c>
    </row>
    <row r="112" spans="2:6" x14ac:dyDescent="0.25">
      <c r="B112" s="10">
        <v>96</v>
      </c>
      <c r="C112" s="11">
        <v>0</v>
      </c>
      <c r="F112" s="15">
        <f>C112/(1+$F$4)^(B112-$B$17+$F$5)</f>
        <v>0</v>
      </c>
    </row>
    <row r="113" spans="2:6" x14ac:dyDescent="0.25">
      <c r="B113" s="10">
        <v>97</v>
      </c>
      <c r="C113" s="11">
        <v>0</v>
      </c>
      <c r="F113" s="15">
        <f>C113/(1+$F$4)^(B113-$B$17+$F$5)</f>
        <v>0</v>
      </c>
    </row>
    <row r="114" spans="2:6" x14ac:dyDescent="0.25">
      <c r="B114" s="10">
        <v>98</v>
      </c>
      <c r="C114" s="11">
        <v>0</v>
      </c>
      <c r="F114" s="15">
        <f>C114/(1+$F$4)^(B114-$B$17+$F$5)</f>
        <v>0</v>
      </c>
    </row>
    <row r="115" spans="2:6" x14ac:dyDescent="0.25">
      <c r="B115" s="10">
        <v>99</v>
      </c>
      <c r="C115" s="11">
        <v>0</v>
      </c>
      <c r="F115" s="15">
        <f>C115/(1+$F$4)^(B115-$B$17+$F$5)</f>
        <v>0</v>
      </c>
    </row>
    <row r="116" spans="2:6" x14ac:dyDescent="0.25">
      <c r="B116" s="10">
        <v>100</v>
      </c>
      <c r="C116" s="11">
        <v>0</v>
      </c>
      <c r="F116" s="15">
        <f>C116/(1+$F$4)^(B116-$B$17+$F$5)</f>
        <v>0</v>
      </c>
    </row>
    <row r="117" spans="2:6" x14ac:dyDescent="0.25">
      <c r="B117" s="10">
        <v>101</v>
      </c>
      <c r="C117" s="11">
        <v>0</v>
      </c>
      <c r="F117" s="15">
        <f>C117/(1+$F$4)^(B117-$B$17+$F$5)</f>
        <v>0</v>
      </c>
    </row>
    <row r="118" spans="2:6" x14ac:dyDescent="0.25">
      <c r="B118" s="10">
        <v>102</v>
      </c>
      <c r="C118" s="11">
        <v>0</v>
      </c>
      <c r="F118" s="15">
        <f>C118/(1+$F$4)^(B118-$B$17+$F$5)</f>
        <v>0</v>
      </c>
    </row>
    <row r="119" spans="2:6" x14ac:dyDescent="0.25">
      <c r="B119" s="10">
        <v>103</v>
      </c>
      <c r="C119" s="11">
        <v>0</v>
      </c>
      <c r="F119" s="15">
        <f>C119/(1+$F$4)^(B119-$B$17+$F$5)</f>
        <v>0</v>
      </c>
    </row>
    <row r="120" spans="2:6" x14ac:dyDescent="0.25">
      <c r="B120" s="10">
        <v>104</v>
      </c>
      <c r="C120" s="11">
        <v>0</v>
      </c>
      <c r="F120" s="15">
        <f>C120/(1+$F$4)^(B120-$B$17+$F$5)</f>
        <v>0</v>
      </c>
    </row>
    <row r="121" spans="2:6" x14ac:dyDescent="0.25">
      <c r="B121" s="10">
        <v>105</v>
      </c>
      <c r="C121" s="11">
        <v>0</v>
      </c>
      <c r="F121" s="15">
        <f>C121/(1+$F$4)^(B121-$B$17+$F$5)</f>
        <v>0</v>
      </c>
    </row>
    <row r="122" spans="2:6" x14ac:dyDescent="0.25">
      <c r="B122" s="10">
        <v>106</v>
      </c>
      <c r="C122" s="11">
        <v>0</v>
      </c>
      <c r="F122" s="15">
        <f>C122/(1+$F$4)^(B122-$B$17+$F$5)</f>
        <v>0</v>
      </c>
    </row>
    <row r="123" spans="2:6" x14ac:dyDescent="0.25">
      <c r="B123" s="10">
        <v>107</v>
      </c>
      <c r="C123" s="11">
        <v>0</v>
      </c>
      <c r="F123" s="15">
        <f>C123/(1+$F$4)^(B123-$B$17+$F$5)</f>
        <v>0</v>
      </c>
    </row>
    <row r="124" spans="2:6" x14ac:dyDescent="0.25">
      <c r="B124" s="10">
        <v>108</v>
      </c>
      <c r="C124" s="11">
        <v>0</v>
      </c>
      <c r="F124" s="15">
        <f>C124/(1+$F$4)^(B124-$B$17+$F$5)</f>
        <v>0</v>
      </c>
    </row>
    <row r="125" spans="2:6" x14ac:dyDescent="0.25">
      <c r="B125" s="10">
        <v>109</v>
      </c>
      <c r="C125" s="11">
        <v>0</v>
      </c>
      <c r="F125" s="15">
        <f>C125/(1+$F$4)^(B125-$B$17+$F$5)</f>
        <v>0</v>
      </c>
    </row>
    <row r="126" spans="2:6" x14ac:dyDescent="0.25">
      <c r="B126" s="10">
        <v>110</v>
      </c>
      <c r="C126" s="11">
        <v>0</v>
      </c>
      <c r="F126" s="15">
        <f>C126/(1+$F$4)^(B126-$B$17+$F$5)</f>
        <v>0</v>
      </c>
    </row>
    <row r="127" spans="2:6" x14ac:dyDescent="0.25">
      <c r="B127" s="10">
        <v>111</v>
      </c>
      <c r="C127" s="11">
        <v>0</v>
      </c>
      <c r="F127" s="15">
        <f>C127/(1+$F$4)^(B127-$B$17+$F$5)</f>
        <v>0</v>
      </c>
    </row>
    <row r="128" spans="2:6" x14ac:dyDescent="0.25">
      <c r="B128" s="10">
        <v>112</v>
      </c>
      <c r="C128" s="11">
        <v>0</v>
      </c>
      <c r="F128" s="15">
        <f>C128/(1+$F$4)^(B128-$B$17+$F$5)</f>
        <v>0</v>
      </c>
    </row>
    <row r="129" spans="2:6" x14ac:dyDescent="0.25">
      <c r="B129" s="10">
        <v>113</v>
      </c>
      <c r="C129" s="11">
        <v>0</v>
      </c>
      <c r="F129" s="15">
        <f>C129/(1+$F$4)^(B129-$B$17+$F$5)</f>
        <v>0</v>
      </c>
    </row>
    <row r="130" spans="2:6" x14ac:dyDescent="0.25">
      <c r="B130" s="10">
        <v>114</v>
      </c>
      <c r="C130" s="11">
        <v>0</v>
      </c>
      <c r="F130" s="15">
        <f>C130/(1+$F$4)^(B130-$B$17+$F$5)</f>
        <v>0</v>
      </c>
    </row>
    <row r="131" spans="2:6" x14ac:dyDescent="0.25">
      <c r="B131" s="10">
        <v>115</v>
      </c>
      <c r="C131" s="11">
        <v>0</v>
      </c>
      <c r="F131" s="15">
        <f>C131/(1+$F$4)^(B131-$B$17+$F$5)</f>
        <v>0</v>
      </c>
    </row>
    <row r="132" spans="2:6" x14ac:dyDescent="0.25">
      <c r="B132" s="10">
        <v>116</v>
      </c>
      <c r="C132" s="11">
        <v>0</v>
      </c>
      <c r="F132" s="15">
        <f>C132/(1+$F$4)^(B132-$B$17+$F$5)</f>
        <v>0</v>
      </c>
    </row>
    <row r="133" spans="2:6" x14ac:dyDescent="0.25">
      <c r="B133" s="10">
        <v>117</v>
      </c>
      <c r="C133" s="11">
        <v>0</v>
      </c>
      <c r="F133" s="15">
        <f>C133/(1+$F$4)^(B133-$B$17+$F$5)</f>
        <v>0</v>
      </c>
    </row>
    <row r="134" spans="2:6" x14ac:dyDescent="0.25">
      <c r="B134" s="10">
        <v>118</v>
      </c>
      <c r="C134" s="11">
        <v>0</v>
      </c>
      <c r="F134" s="15">
        <f>C134/(1+$F$4)^(B134-$B$17+$F$5)</f>
        <v>0</v>
      </c>
    </row>
    <row r="135" spans="2:6" x14ac:dyDescent="0.25">
      <c r="B135" s="10">
        <v>119</v>
      </c>
      <c r="C135" s="11">
        <v>0</v>
      </c>
      <c r="F135" s="15">
        <f>C135/(1+$F$4)^(B135-$B$17+$F$5)</f>
        <v>0</v>
      </c>
    </row>
    <row r="136" spans="2:6" x14ac:dyDescent="0.25">
      <c r="B136" s="10">
        <v>120</v>
      </c>
      <c r="C136" s="11">
        <v>0</v>
      </c>
      <c r="F136" s="15">
        <f>C136/(1+$F$4)^(B136-$B$17+$F$5)</f>
        <v>0</v>
      </c>
    </row>
  </sheetData>
  <mergeCells count="3">
    <mergeCell ref="B11:F11"/>
    <mergeCell ref="B2:F2"/>
    <mergeCell ref="B7:F7"/>
  </mergeCells>
  <pageMargins left="0.7" right="0.7" top="0.75" bottom="0.75" header="0.3" footer="0.3"/>
  <pageSetup fitToHeight="3" orientation="portrait" horizontalDpi="300" verticalDpi="300" r:id="rId1"/>
  <headerFooter>
    <oddFooter>&amp;L&amp;F
&amp;A&amp;C&amp;P of &amp;N&amp;R&amp;D
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Present Value</vt:lpstr>
      <vt:lpstr>'Present Value'!Print_Titles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G</dc:creator>
  <cp:lastModifiedBy>Sean G</cp:lastModifiedBy>
  <cp:lastPrinted>2020-08-28T15:26:39Z</cp:lastPrinted>
  <dcterms:created xsi:type="dcterms:W3CDTF">2020-08-28T00:06:59Z</dcterms:created>
  <dcterms:modified xsi:type="dcterms:W3CDTF">2020-08-28T15:30:28Z</dcterms:modified>
</cp:coreProperties>
</file>