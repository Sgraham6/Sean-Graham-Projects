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7\"/>
    </mc:Choice>
  </mc:AlternateContent>
  <xr:revisionPtr revIDLastSave="12" documentId="8_{7FAB8B29-5978-44C0-B6C0-5460F4CA7025}" xr6:coauthVersionLast="45" xr6:coauthVersionMax="45" xr10:uidLastSave="{51347B2E-D32C-4117-B8B3-602AAE17747A}"/>
  <bookViews>
    <workbookView minimized="1" xWindow="6630" yWindow="4230" windowWidth="14670" windowHeight="8325" activeTab="1" xr2:uid="{C609829F-8274-4E05-A01C-F1940080CA61}"/>
  </bookViews>
  <sheets>
    <sheet name="Weight" sheetId="1" r:id="rId1"/>
    <sheet name="Weight Watch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BenjaminC">OFFSET('Weight Watch'!$B$9,'Weight Watch'!$I$3-9,2,'Weight Watch'!$I$2,1)</definedName>
    <definedName name="Client">[1]X!$C$9</definedName>
    <definedName name="DateC">OFFSET('Weight Watch'!$B$9,'Weight Watch'!$I$3-9,0,'Weight Watch'!$I$2,1)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EricC">OFFSET('Weight Watch'!$B$9,'Weight Watch'!$I$3-9,4,'Weight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GeorgeC">OFFSET('Weight Watch'!$B$9,'Weight Watch'!$I$3-9,3,'Weight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2" l="1"/>
  <c r="I2" i="2" l="1"/>
  <c r="E6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M5" i="1"/>
  <c r="A5" i="1"/>
  <c r="M4" i="1"/>
  <c r="A4" i="1"/>
  <c r="M3" i="1"/>
  <c r="E7" i="2" l="1"/>
  <c r="F6" i="2"/>
  <c r="D5" i="2"/>
  <c r="F7" i="2"/>
  <c r="E5" i="2"/>
  <c r="F5" i="2"/>
  <c r="D6" i="2"/>
  <c r="D7" i="2"/>
</calcChain>
</file>

<file path=xl/sharedStrings.xml><?xml version="1.0" encoding="utf-8"?>
<sst xmlns="http://schemas.openxmlformats.org/spreadsheetml/2006/main" count="18" uniqueCount="13">
  <si>
    <t>Weights</t>
  </si>
  <si>
    <t>Date</t>
  </si>
  <si>
    <t>Benjamin</t>
  </si>
  <si>
    <t>George</t>
  </si>
  <si>
    <t>Eric</t>
  </si>
  <si>
    <t>Weight Watch</t>
  </si>
  <si>
    <t>Time Period (Sarting and Ending Dates)</t>
  </si>
  <si>
    <t>Summary Information over the Given Period Above</t>
  </si>
  <si>
    <t>Average Weight</t>
  </si>
  <si>
    <t>Minimum Weight</t>
  </si>
  <si>
    <t>Maximum Weight</t>
  </si>
  <si>
    <t># of records</t>
  </si>
  <si>
    <t>Starting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</si>
</sst>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ddd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3" fillId="0" borderId="3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5" fillId="0" borderId="0" xfId="1" applyFont="1" applyAlignment="1">
      <alignment horizontal="center"/>
    </xf>
    <xf numFmtId="164" fontId="1" fillId="2" borderId="5" xfId="1" applyNumberFormat="1" applyFill="1" applyBorder="1"/>
    <xf numFmtId="0" fontId="1" fillId="0" borderId="5" xfId="1" applyBorder="1"/>
    <xf numFmtId="165" fontId="1" fillId="3" borderId="5" xfId="1" applyNumberFormat="1" applyFill="1" applyBorder="1" applyAlignment="1">
      <alignment horizontal="center"/>
    </xf>
    <xf numFmtId="0" fontId="7" fillId="4" borderId="11" xfId="0" applyFont="1" applyFill="1" applyBorder="1" applyAlignment="1">
      <alignment horizontal="right"/>
    </xf>
    <xf numFmtId="0" fontId="0" fillId="4" borderId="0" xfId="0" applyFill="1" applyBorder="1"/>
    <xf numFmtId="0" fontId="7" fillId="4" borderId="1" xfId="0" applyFont="1" applyFill="1" applyBorder="1" applyAlignment="1">
      <alignment horizontal="right"/>
    </xf>
    <xf numFmtId="0" fontId="0" fillId="4" borderId="2" xfId="0" applyFill="1" applyBorder="1"/>
    <xf numFmtId="0" fontId="7" fillId="4" borderId="14" xfId="0" applyFont="1" applyFill="1" applyBorder="1" applyAlignment="1">
      <alignment horizontal="right"/>
    </xf>
    <xf numFmtId="0" fontId="0" fillId="4" borderId="15" xfId="0" applyFill="1" applyBorder="1"/>
    <xf numFmtId="14" fontId="0" fillId="5" borderId="3" xfId="0" applyNumberFormat="1" applyFill="1" applyBorder="1"/>
    <xf numFmtId="14" fontId="0" fillId="0" borderId="0" xfId="0" applyNumberFormat="1"/>
    <xf numFmtId="0" fontId="0" fillId="0" borderId="0" xfId="0" applyNumberFormat="1"/>
    <xf numFmtId="165" fontId="7" fillId="4" borderId="15" xfId="0" applyNumberFormat="1" applyFont="1" applyFill="1" applyBorder="1" applyAlignment="1">
      <alignment horizontal="center"/>
    </xf>
    <xf numFmtId="165" fontId="7" fillId="4" borderId="16" xfId="0" applyNumberFormat="1" applyFont="1" applyFill="1" applyBorder="1" applyAlignment="1">
      <alignment horizontal="center"/>
    </xf>
    <xf numFmtId="165" fontId="7" fillId="4" borderId="0" xfId="0" applyNumberFormat="1" applyFont="1" applyFill="1" applyBorder="1" applyAlignment="1">
      <alignment horizontal="center"/>
    </xf>
    <xf numFmtId="165" fontId="7" fillId="4" borderId="12" xfId="0" applyNumberFormat="1" applyFont="1" applyFill="1" applyBorder="1" applyAlignment="1">
      <alignment horizontal="center"/>
    </xf>
    <xf numFmtId="165" fontId="7" fillId="4" borderId="2" xfId="0" applyNumberFormat="1" applyFont="1" applyFill="1" applyBorder="1" applyAlignment="1">
      <alignment horizontal="center"/>
    </xf>
    <xf numFmtId="165" fontId="7" fillId="4" borderId="13" xfId="0" applyNumberFormat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</cellXfs>
  <cellStyles count="2">
    <cellStyle name="Normal" xfId="0" builtinId="0"/>
    <cellStyle name="Normal 2" xfId="1" xr:uid="{58FF6CE4-9287-496D-8EC2-D15E8E9BC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'Weight Watch'!$B$2</c:f>
          <c:strCache>
            <c:ptCount val="1"/>
            <c:pt idx="0">
              <c:v>Weight Watch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83879288181164"/>
          <c:y val="0.1691561181434599"/>
          <c:w val="0.65121398011334208"/>
          <c:h val="0.65614638360078403"/>
        </c:manualLayout>
      </c:layout>
      <c:lineChart>
        <c:grouping val="standard"/>
        <c:varyColors val="0"/>
        <c:ser>
          <c:idx val="0"/>
          <c:order val="0"/>
          <c:tx>
            <c:strRef>
              <c:f>'Weight Watch'!$D$9</c:f>
              <c:strCache>
                <c:ptCount val="1"/>
                <c:pt idx="0">
                  <c:v>Benjamin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[0]!DateC</c:f>
              <c:numCache>
                <c:formatCode>m/d/yyyy\ ddd</c:formatCode>
                <c:ptCount val="6"/>
                <c:pt idx="0">
                  <c:v>42736</c:v>
                </c:pt>
                <c:pt idx="1">
                  <c:v>42810</c:v>
                </c:pt>
                <c:pt idx="2">
                  <c:v>42876</c:v>
                </c:pt>
                <c:pt idx="3">
                  <c:v>42960</c:v>
                </c:pt>
                <c:pt idx="4">
                  <c:v>43030</c:v>
                </c:pt>
                <c:pt idx="5">
                  <c:v>43086</c:v>
                </c:pt>
              </c:numCache>
            </c:numRef>
          </c:cat>
          <c:val>
            <c:numRef>
              <c:f>[0]!BenjaminC</c:f>
              <c:numCache>
                <c:formatCode>0.0</c:formatCode>
                <c:ptCount val="6"/>
                <c:pt idx="0">
                  <c:v>190</c:v>
                </c:pt>
                <c:pt idx="1">
                  <c:v>187</c:v>
                </c:pt>
                <c:pt idx="2">
                  <c:v>183.5</c:v>
                </c:pt>
                <c:pt idx="3">
                  <c:v>170</c:v>
                </c:pt>
                <c:pt idx="4">
                  <c:v>169.5</c:v>
                </c:pt>
                <c:pt idx="5">
                  <c:v>175.5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CC-4112-814E-503ABD208DB1}"/>
            </c:ext>
          </c:extLst>
        </c:ser>
        <c:ser>
          <c:idx val="2"/>
          <c:order val="1"/>
          <c:tx>
            <c:strRef>
              <c:f>'Weight Watch'!$E$9</c:f>
              <c:strCache>
                <c:ptCount val="1"/>
                <c:pt idx="0">
                  <c:v>George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[0]!DateC</c:f>
              <c:numCache>
                <c:formatCode>m/d/yyyy\ ddd</c:formatCode>
                <c:ptCount val="6"/>
                <c:pt idx="0">
                  <c:v>42736</c:v>
                </c:pt>
                <c:pt idx="1">
                  <c:v>42810</c:v>
                </c:pt>
                <c:pt idx="2">
                  <c:v>42876</c:v>
                </c:pt>
                <c:pt idx="3">
                  <c:v>42960</c:v>
                </c:pt>
                <c:pt idx="4">
                  <c:v>43030</c:v>
                </c:pt>
                <c:pt idx="5">
                  <c:v>43086</c:v>
                </c:pt>
              </c:numCache>
            </c:numRef>
          </c:cat>
          <c:val>
            <c:numRef>
              <c:f>[0]!GeorgeC</c:f>
              <c:numCache>
                <c:formatCode>0.0</c:formatCode>
                <c:ptCount val="6"/>
                <c:pt idx="0">
                  <c:v>172</c:v>
                </c:pt>
                <c:pt idx="1">
                  <c:v>164</c:v>
                </c:pt>
                <c:pt idx="2">
                  <c:v>161</c:v>
                </c:pt>
                <c:pt idx="3">
                  <c:v>160</c:v>
                </c:pt>
                <c:pt idx="4">
                  <c:v>156</c:v>
                </c:pt>
                <c:pt idx="5">
                  <c:v>163.5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CC-4112-814E-503ABD208DB1}"/>
            </c:ext>
          </c:extLst>
        </c:ser>
        <c:ser>
          <c:idx val="3"/>
          <c:order val="2"/>
          <c:tx>
            <c:strRef>
              <c:f>'Weight Watch'!$F$9</c:f>
              <c:strCache>
                <c:ptCount val="1"/>
                <c:pt idx="0">
                  <c:v>Eric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numRef>
              <c:f>[0]!DateC</c:f>
              <c:numCache>
                <c:formatCode>m/d/yyyy\ ddd</c:formatCode>
                <c:ptCount val="6"/>
                <c:pt idx="0">
                  <c:v>42736</c:v>
                </c:pt>
                <c:pt idx="1">
                  <c:v>42810</c:v>
                </c:pt>
                <c:pt idx="2">
                  <c:v>42876</c:v>
                </c:pt>
                <c:pt idx="3">
                  <c:v>42960</c:v>
                </c:pt>
                <c:pt idx="4">
                  <c:v>43030</c:v>
                </c:pt>
                <c:pt idx="5">
                  <c:v>43086</c:v>
                </c:pt>
              </c:numCache>
            </c:numRef>
          </c:cat>
          <c:val>
            <c:numRef>
              <c:f>[0]!EricC</c:f>
              <c:numCache>
                <c:formatCode>0.0</c:formatCode>
                <c:ptCount val="6"/>
                <c:pt idx="0">
                  <c:v>169</c:v>
                </c:pt>
                <c:pt idx="1">
                  <c:v>158</c:v>
                </c:pt>
                <c:pt idx="2">
                  <c:v>156</c:v>
                </c:pt>
                <c:pt idx="3">
                  <c:v>152.5</c:v>
                </c:pt>
                <c:pt idx="4">
                  <c:v>153</c:v>
                </c:pt>
                <c:pt idx="5">
                  <c:v>155.5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CC-4112-814E-503ABD208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079983"/>
        <c:axId val="429980095"/>
      </c:lineChart>
      <c:dateAx>
        <c:axId val="436079983"/>
        <c:scaling>
          <c:orientation val="minMax"/>
        </c:scaling>
        <c:delete val="0"/>
        <c:axPos val="b"/>
        <c:title>
          <c:tx>
            <c:strRef>
              <c:f>'Weight Watch'!$B$9</c:f>
              <c:strCache>
                <c:ptCount val="1"/>
                <c:pt idx="0">
                  <c:v>Date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80095"/>
        <c:crosses val="autoZero"/>
        <c:auto val="1"/>
        <c:lblOffset val="100"/>
        <c:baseTimeUnit val="days"/>
      </c:dateAx>
      <c:valAx>
        <c:axId val="42998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strRef>
              <c:f>'Weight Watch'!$D$8</c:f>
              <c:strCache>
                <c:ptCount val="1"/>
                <c:pt idx="0">
                  <c:v>Weights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07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361949</xdr:colOff>
      <xdr:row>4</xdr:row>
      <xdr:rowOff>85725</xdr:rowOff>
    </xdr:from>
    <xdr:to>
      <xdr:col>14</xdr:col>
      <xdr:colOff>76200</xdr:colOff>
      <xdr:row>20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F29489-D2B3-4644-A2BD-C5DD6B605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FB3F-A888-4131-91A4-EA4AE65B16E7}">
  <dimension ref="A1:M68"/>
  <sheetViews>
    <sheetView workbookViewId="0">
      <selection activeCell="B3" sqref="B3"/>
    </sheetView>
  </sheetViews>
  <sheetFormatPr defaultRowHeight="12.75" x14ac:dyDescent="0.2"/>
  <cols>
    <col min="1" max="1" width="4.7109375" style="1" customWidth="1"/>
    <col min="2" max="2" width="14.7109375" style="1" bestFit="1" customWidth="1"/>
    <col min="3" max="3" width="1.7109375" style="1" customWidth="1"/>
    <col min="4" max="6" width="13" style="1" customWidth="1"/>
    <col min="7" max="16384" width="9.140625" style="1"/>
  </cols>
  <sheetData>
    <row r="1" spans="1:13" ht="16.5" thickBot="1" x14ac:dyDescent="0.3">
      <c r="D1" s="24" t="s">
        <v>0</v>
      </c>
      <c r="E1" s="25"/>
      <c r="F1" s="25"/>
    </row>
    <row r="2" spans="1:13" ht="13.5" thickBot="1" x14ac:dyDescent="0.25">
      <c r="B2" s="2" t="s">
        <v>1</v>
      </c>
      <c r="C2" s="2"/>
      <c r="D2" s="3" t="s">
        <v>2</v>
      </c>
      <c r="E2" s="3" t="s">
        <v>3</v>
      </c>
      <c r="F2" s="4" t="s">
        <v>4</v>
      </c>
    </row>
    <row r="3" spans="1:13" x14ac:dyDescent="0.2">
      <c r="A3" s="5">
        <v>1</v>
      </c>
      <c r="B3" s="6">
        <v>42736</v>
      </c>
      <c r="C3" s="7"/>
      <c r="D3" s="8">
        <v>190</v>
      </c>
      <c r="E3" s="8">
        <v>172</v>
      </c>
      <c r="F3" s="8">
        <v>169</v>
      </c>
      <c r="M3" s="1">
        <f>EDATE(B3,6*12)</f>
        <v>44927</v>
      </c>
    </row>
    <row r="4" spans="1:13" x14ac:dyDescent="0.2">
      <c r="A4" s="5">
        <f>A3+1</f>
        <v>2</v>
      </c>
      <c r="B4" s="6">
        <v>42810</v>
      </c>
      <c r="C4" s="7"/>
      <c r="D4" s="8">
        <v>187</v>
      </c>
      <c r="E4" s="8">
        <v>164</v>
      </c>
      <c r="F4" s="8">
        <v>158</v>
      </c>
      <c r="M4" s="1">
        <f t="shared" ref="M4:M27" si="0">EDATE(B4,6*12)</f>
        <v>45001</v>
      </c>
    </row>
    <row r="5" spans="1:13" x14ac:dyDescent="0.2">
      <c r="A5" s="5">
        <f t="shared" ref="A5:A68" si="1">A4+1</f>
        <v>3</v>
      </c>
      <c r="B5" s="6">
        <v>42876</v>
      </c>
      <c r="C5" s="7"/>
      <c r="D5" s="8">
        <v>183.5</v>
      </c>
      <c r="E5" s="8">
        <v>161</v>
      </c>
      <c r="F5" s="8">
        <v>156</v>
      </c>
      <c r="M5" s="1">
        <f t="shared" si="0"/>
        <v>45067</v>
      </c>
    </row>
    <row r="6" spans="1:13" x14ac:dyDescent="0.2">
      <c r="A6" s="5">
        <f t="shared" si="1"/>
        <v>4</v>
      </c>
      <c r="B6" s="6">
        <v>42960</v>
      </c>
      <c r="C6" s="7"/>
      <c r="D6" s="8">
        <v>170</v>
      </c>
      <c r="E6" s="8">
        <v>160</v>
      </c>
      <c r="F6" s="8">
        <v>152.5</v>
      </c>
      <c r="M6" s="1">
        <f t="shared" si="0"/>
        <v>45151</v>
      </c>
    </row>
    <row r="7" spans="1:13" x14ac:dyDescent="0.2">
      <c r="A7" s="5">
        <f t="shared" si="1"/>
        <v>5</v>
      </c>
      <c r="B7" s="6">
        <v>43030</v>
      </c>
      <c r="C7" s="7"/>
      <c r="D7" s="8">
        <v>169.5</v>
      </c>
      <c r="E7" s="8">
        <v>156</v>
      </c>
      <c r="F7" s="8">
        <v>153</v>
      </c>
      <c r="M7" s="1">
        <f t="shared" si="0"/>
        <v>45221</v>
      </c>
    </row>
    <row r="8" spans="1:13" x14ac:dyDescent="0.2">
      <c r="A8" s="5">
        <f t="shared" si="1"/>
        <v>6</v>
      </c>
      <c r="B8" s="6">
        <v>43086</v>
      </c>
      <c r="C8" s="7"/>
      <c r="D8" s="8">
        <v>175.5</v>
      </c>
      <c r="E8" s="8">
        <v>163.5</v>
      </c>
      <c r="F8" s="8">
        <v>155.5</v>
      </c>
      <c r="M8" s="1">
        <f t="shared" si="0"/>
        <v>45277</v>
      </c>
    </row>
    <row r="9" spans="1:13" x14ac:dyDescent="0.2">
      <c r="A9" s="5">
        <f t="shared" si="1"/>
        <v>7</v>
      </c>
      <c r="B9" s="6">
        <v>43137</v>
      </c>
      <c r="C9" s="7"/>
      <c r="D9" s="8">
        <v>180</v>
      </c>
      <c r="E9" s="8">
        <v>164</v>
      </c>
      <c r="F9" s="8">
        <v>157.5</v>
      </c>
      <c r="M9" s="1">
        <f t="shared" si="0"/>
        <v>45328</v>
      </c>
    </row>
    <row r="10" spans="1:13" x14ac:dyDescent="0.2">
      <c r="A10" s="5">
        <f t="shared" si="1"/>
        <v>8</v>
      </c>
      <c r="B10" s="6">
        <v>43214</v>
      </c>
      <c r="C10" s="7"/>
      <c r="D10" s="8">
        <v>175.5</v>
      </c>
      <c r="E10" s="8">
        <v>165</v>
      </c>
      <c r="F10" s="8">
        <v>155</v>
      </c>
      <c r="M10" s="1">
        <f t="shared" si="0"/>
        <v>45406</v>
      </c>
    </row>
    <row r="11" spans="1:13" x14ac:dyDescent="0.2">
      <c r="A11" s="5">
        <f t="shared" si="1"/>
        <v>9</v>
      </c>
      <c r="B11" s="6">
        <v>43234</v>
      </c>
      <c r="C11" s="7"/>
      <c r="D11" s="8">
        <v>171.4</v>
      </c>
      <c r="E11" s="8">
        <v>165.2</v>
      </c>
      <c r="F11" s="8">
        <v>152</v>
      </c>
      <c r="M11" s="1">
        <f t="shared" si="0"/>
        <v>45426</v>
      </c>
    </row>
    <row r="12" spans="1:13" x14ac:dyDescent="0.2">
      <c r="A12" s="5">
        <f t="shared" si="1"/>
        <v>10</v>
      </c>
      <c r="B12" s="6">
        <v>43263</v>
      </c>
      <c r="C12" s="7"/>
      <c r="D12" s="8">
        <v>171.4</v>
      </c>
      <c r="E12" s="8">
        <v>157.4</v>
      </c>
      <c r="F12" s="8">
        <v>154</v>
      </c>
      <c r="M12" s="1">
        <f t="shared" si="0"/>
        <v>45455</v>
      </c>
    </row>
    <row r="13" spans="1:13" x14ac:dyDescent="0.2">
      <c r="A13" s="5">
        <f t="shared" si="1"/>
        <v>11</v>
      </c>
      <c r="B13" s="6">
        <v>43293</v>
      </c>
      <c r="C13" s="7"/>
      <c r="D13" s="8">
        <v>169.5</v>
      </c>
      <c r="E13" s="8">
        <v>154</v>
      </c>
      <c r="F13" s="8">
        <v>154</v>
      </c>
      <c r="M13" s="1">
        <f t="shared" si="0"/>
        <v>45485</v>
      </c>
    </row>
    <row r="14" spans="1:13" x14ac:dyDescent="0.2">
      <c r="A14" s="5">
        <f t="shared" si="1"/>
        <v>12</v>
      </c>
      <c r="B14" s="6">
        <v>43334</v>
      </c>
      <c r="C14" s="7"/>
      <c r="D14" s="8">
        <v>176</v>
      </c>
      <c r="E14" s="8">
        <v>154</v>
      </c>
      <c r="F14" s="8">
        <v>153.5</v>
      </c>
      <c r="M14" s="1">
        <f t="shared" si="0"/>
        <v>45526</v>
      </c>
    </row>
    <row r="15" spans="1:13" x14ac:dyDescent="0.2">
      <c r="A15" s="5">
        <f t="shared" si="1"/>
        <v>13</v>
      </c>
      <c r="B15" s="6">
        <v>43369</v>
      </c>
      <c r="C15" s="7"/>
      <c r="D15" s="8">
        <v>184</v>
      </c>
      <c r="E15" s="8">
        <v>161.5</v>
      </c>
      <c r="F15" s="8">
        <v>159.5</v>
      </c>
      <c r="M15" s="1">
        <f t="shared" si="0"/>
        <v>45561</v>
      </c>
    </row>
    <row r="16" spans="1:13" x14ac:dyDescent="0.2">
      <c r="A16" s="5">
        <f t="shared" si="1"/>
        <v>14</v>
      </c>
      <c r="B16" s="6">
        <v>43411</v>
      </c>
      <c r="C16" s="7"/>
      <c r="D16" s="8">
        <v>184.5</v>
      </c>
      <c r="E16" s="8">
        <v>162</v>
      </c>
      <c r="F16" s="8">
        <v>155</v>
      </c>
      <c r="M16" s="1">
        <f t="shared" si="0"/>
        <v>45603</v>
      </c>
    </row>
    <row r="17" spans="1:13" x14ac:dyDescent="0.2">
      <c r="A17" s="5">
        <f t="shared" si="1"/>
        <v>15</v>
      </c>
      <c r="B17" s="6">
        <v>43464</v>
      </c>
      <c r="C17" s="7"/>
      <c r="D17" s="8">
        <v>183</v>
      </c>
      <c r="E17" s="8">
        <v>163</v>
      </c>
      <c r="F17" s="8">
        <v>155.5</v>
      </c>
      <c r="M17" s="1">
        <f t="shared" si="0"/>
        <v>45656</v>
      </c>
    </row>
    <row r="18" spans="1:13" x14ac:dyDescent="0.2">
      <c r="A18" s="5">
        <f t="shared" si="1"/>
        <v>16</v>
      </c>
      <c r="B18" s="6">
        <v>43497</v>
      </c>
      <c r="C18" s="7"/>
      <c r="D18" s="8">
        <v>180</v>
      </c>
      <c r="E18" s="8">
        <v>164</v>
      </c>
      <c r="F18" s="8">
        <v>158.5</v>
      </c>
      <c r="M18" s="1">
        <f t="shared" si="0"/>
        <v>45689</v>
      </c>
    </row>
    <row r="19" spans="1:13" x14ac:dyDescent="0.2">
      <c r="A19" s="5">
        <f t="shared" si="1"/>
        <v>17</v>
      </c>
      <c r="B19" s="6">
        <v>43524</v>
      </c>
      <c r="C19" s="7"/>
      <c r="D19" s="8">
        <v>188</v>
      </c>
      <c r="E19" s="8">
        <v>168</v>
      </c>
      <c r="F19" s="8">
        <v>161</v>
      </c>
      <c r="M19" s="1">
        <f t="shared" si="0"/>
        <v>45716</v>
      </c>
    </row>
    <row r="20" spans="1:13" x14ac:dyDescent="0.2">
      <c r="A20" s="5">
        <f t="shared" si="1"/>
        <v>18</v>
      </c>
      <c r="B20" s="6">
        <v>43574</v>
      </c>
      <c r="C20" s="7"/>
      <c r="D20" s="8">
        <v>180</v>
      </c>
      <c r="E20" s="8">
        <v>164.8</v>
      </c>
      <c r="F20" s="8">
        <v>153.6</v>
      </c>
      <c r="M20" s="1">
        <f t="shared" si="0"/>
        <v>45766</v>
      </c>
    </row>
    <row r="21" spans="1:13" x14ac:dyDescent="0.2">
      <c r="A21" s="5">
        <f t="shared" si="1"/>
        <v>19</v>
      </c>
      <c r="B21" s="6">
        <v>43600</v>
      </c>
      <c r="C21" s="7"/>
      <c r="D21" s="8">
        <v>184.5</v>
      </c>
      <c r="E21" s="8">
        <v>167.5</v>
      </c>
      <c r="F21" s="8">
        <v>159</v>
      </c>
      <c r="M21" s="1">
        <f t="shared" si="0"/>
        <v>45792</v>
      </c>
    </row>
    <row r="22" spans="1:13" x14ac:dyDescent="0.2">
      <c r="A22" s="5">
        <f t="shared" si="1"/>
        <v>20</v>
      </c>
      <c r="B22" s="6">
        <v>43635</v>
      </c>
      <c r="C22" s="7"/>
      <c r="D22" s="8">
        <v>178.5</v>
      </c>
      <c r="E22" s="8">
        <v>160</v>
      </c>
      <c r="F22" s="8">
        <v>158</v>
      </c>
      <c r="M22" s="1">
        <f t="shared" si="0"/>
        <v>45827</v>
      </c>
    </row>
    <row r="23" spans="1:13" x14ac:dyDescent="0.2">
      <c r="A23" s="5">
        <f t="shared" si="1"/>
        <v>21</v>
      </c>
      <c r="B23" s="6">
        <v>43655</v>
      </c>
      <c r="C23" s="7"/>
      <c r="D23" s="8">
        <v>176.5</v>
      </c>
      <c r="E23" s="8">
        <v>157</v>
      </c>
      <c r="F23" s="8">
        <v>157</v>
      </c>
      <c r="M23" s="1">
        <f t="shared" si="0"/>
        <v>45847</v>
      </c>
    </row>
    <row r="24" spans="1:13" x14ac:dyDescent="0.2">
      <c r="A24" s="5">
        <f t="shared" si="1"/>
        <v>22</v>
      </c>
      <c r="B24" s="6">
        <v>43700</v>
      </c>
      <c r="C24" s="7"/>
      <c r="D24" s="8">
        <v>176</v>
      </c>
      <c r="E24" s="8">
        <v>151</v>
      </c>
      <c r="F24" s="8">
        <v>155</v>
      </c>
      <c r="M24" s="1">
        <f t="shared" si="0"/>
        <v>45892</v>
      </c>
    </row>
    <row r="25" spans="1:13" x14ac:dyDescent="0.2">
      <c r="A25" s="5">
        <f t="shared" si="1"/>
        <v>23</v>
      </c>
      <c r="B25" s="6">
        <v>43719</v>
      </c>
      <c r="C25" s="7"/>
      <c r="D25" s="8">
        <v>175.5</v>
      </c>
      <c r="E25" s="8">
        <v>151.5</v>
      </c>
      <c r="F25" s="8">
        <v>154</v>
      </c>
      <c r="M25" s="1">
        <f t="shared" si="0"/>
        <v>45911</v>
      </c>
    </row>
    <row r="26" spans="1:13" x14ac:dyDescent="0.2">
      <c r="A26" s="5">
        <f t="shared" si="1"/>
        <v>24</v>
      </c>
      <c r="B26" s="6">
        <v>43749</v>
      </c>
      <c r="C26" s="7"/>
      <c r="D26" s="8">
        <v>171</v>
      </c>
      <c r="E26" s="8">
        <v>153</v>
      </c>
      <c r="F26" s="8">
        <v>159</v>
      </c>
      <c r="M26" s="1">
        <f t="shared" si="0"/>
        <v>45941</v>
      </c>
    </row>
    <row r="27" spans="1:13" x14ac:dyDescent="0.2">
      <c r="A27" s="5">
        <f t="shared" si="1"/>
        <v>25</v>
      </c>
      <c r="B27" s="6">
        <v>43784</v>
      </c>
      <c r="C27" s="7"/>
      <c r="D27" s="8">
        <v>172</v>
      </c>
      <c r="E27" s="8">
        <v>149.5</v>
      </c>
      <c r="F27" s="8">
        <v>152</v>
      </c>
      <c r="M27" s="1">
        <f t="shared" si="0"/>
        <v>45976</v>
      </c>
    </row>
    <row r="28" spans="1:13" x14ac:dyDescent="0.2">
      <c r="A28" s="5">
        <f t="shared" si="1"/>
        <v>26</v>
      </c>
      <c r="B28" s="6"/>
      <c r="C28" s="7"/>
      <c r="D28" s="8"/>
      <c r="E28" s="8"/>
      <c r="F28" s="8"/>
    </row>
    <row r="29" spans="1:13" x14ac:dyDescent="0.2">
      <c r="A29" s="5">
        <f t="shared" si="1"/>
        <v>27</v>
      </c>
      <c r="B29" s="6"/>
      <c r="C29" s="7"/>
      <c r="D29" s="8"/>
      <c r="E29" s="8"/>
      <c r="F29" s="8"/>
    </row>
    <row r="30" spans="1:13" x14ac:dyDescent="0.2">
      <c r="A30" s="5">
        <f t="shared" si="1"/>
        <v>28</v>
      </c>
      <c r="B30" s="6"/>
      <c r="C30" s="7"/>
      <c r="D30" s="8"/>
      <c r="E30" s="8"/>
      <c r="F30" s="8"/>
    </row>
    <row r="31" spans="1:13" x14ac:dyDescent="0.2">
      <c r="A31" s="5">
        <f t="shared" si="1"/>
        <v>29</v>
      </c>
      <c r="B31" s="6"/>
      <c r="C31" s="7"/>
      <c r="D31" s="8"/>
      <c r="E31" s="8"/>
      <c r="F31" s="8"/>
    </row>
    <row r="32" spans="1:13" x14ac:dyDescent="0.2">
      <c r="A32" s="5">
        <f t="shared" si="1"/>
        <v>30</v>
      </c>
      <c r="B32" s="6"/>
      <c r="C32" s="7"/>
      <c r="D32" s="8"/>
      <c r="E32" s="8"/>
      <c r="F32" s="8"/>
    </row>
    <row r="33" spans="1:6" x14ac:dyDescent="0.2">
      <c r="A33" s="5">
        <f t="shared" si="1"/>
        <v>31</v>
      </c>
      <c r="B33" s="6"/>
      <c r="C33" s="7"/>
      <c r="D33" s="8"/>
      <c r="E33" s="8"/>
      <c r="F33" s="8"/>
    </row>
    <row r="34" spans="1:6" x14ac:dyDescent="0.2">
      <c r="A34" s="5">
        <f t="shared" si="1"/>
        <v>32</v>
      </c>
      <c r="B34" s="6"/>
      <c r="C34" s="7"/>
      <c r="D34" s="8"/>
      <c r="E34" s="8"/>
      <c r="F34" s="8"/>
    </row>
    <row r="35" spans="1:6" x14ac:dyDescent="0.2">
      <c r="A35" s="5">
        <f t="shared" si="1"/>
        <v>33</v>
      </c>
      <c r="B35" s="6"/>
      <c r="C35" s="7"/>
      <c r="D35" s="8"/>
      <c r="E35" s="8"/>
      <c r="F35" s="8"/>
    </row>
    <row r="36" spans="1:6" x14ac:dyDescent="0.2">
      <c r="A36" s="5">
        <f t="shared" si="1"/>
        <v>34</v>
      </c>
      <c r="B36" s="6"/>
      <c r="C36" s="7"/>
      <c r="D36" s="8"/>
      <c r="E36" s="8"/>
      <c r="F36" s="8"/>
    </row>
    <row r="37" spans="1:6" x14ac:dyDescent="0.2">
      <c r="A37" s="5">
        <f t="shared" si="1"/>
        <v>35</v>
      </c>
      <c r="B37" s="6"/>
      <c r="C37" s="7"/>
      <c r="D37" s="8"/>
      <c r="E37" s="8"/>
      <c r="F37" s="8"/>
    </row>
    <row r="38" spans="1:6" x14ac:dyDescent="0.2">
      <c r="A38" s="5">
        <f t="shared" si="1"/>
        <v>36</v>
      </c>
      <c r="B38" s="6"/>
      <c r="C38" s="7"/>
      <c r="D38" s="8"/>
      <c r="E38" s="8"/>
      <c r="F38" s="8"/>
    </row>
    <row r="39" spans="1:6" x14ac:dyDescent="0.2">
      <c r="A39" s="5">
        <f t="shared" si="1"/>
        <v>37</v>
      </c>
      <c r="B39" s="6"/>
      <c r="C39" s="7"/>
      <c r="D39" s="8"/>
      <c r="E39" s="8"/>
      <c r="F39" s="8"/>
    </row>
    <row r="40" spans="1:6" x14ac:dyDescent="0.2">
      <c r="A40" s="5">
        <f t="shared" si="1"/>
        <v>38</v>
      </c>
      <c r="B40" s="6"/>
      <c r="C40" s="7"/>
      <c r="D40" s="8"/>
      <c r="E40" s="8"/>
      <c r="F40" s="8"/>
    </row>
    <row r="41" spans="1:6" x14ac:dyDescent="0.2">
      <c r="A41" s="5">
        <f t="shared" si="1"/>
        <v>39</v>
      </c>
      <c r="B41" s="6"/>
      <c r="C41" s="7"/>
      <c r="D41" s="8"/>
      <c r="E41" s="8"/>
      <c r="F41" s="8"/>
    </row>
    <row r="42" spans="1:6" x14ac:dyDescent="0.2">
      <c r="A42" s="5">
        <f t="shared" si="1"/>
        <v>40</v>
      </c>
      <c r="B42" s="6"/>
      <c r="C42" s="7"/>
      <c r="D42" s="8"/>
      <c r="E42" s="8"/>
      <c r="F42" s="8"/>
    </row>
    <row r="43" spans="1:6" x14ac:dyDescent="0.2">
      <c r="A43" s="5">
        <f t="shared" si="1"/>
        <v>41</v>
      </c>
      <c r="B43" s="6"/>
      <c r="C43" s="7"/>
      <c r="D43" s="8"/>
      <c r="E43" s="8"/>
      <c r="F43" s="8"/>
    </row>
    <row r="44" spans="1:6" x14ac:dyDescent="0.2">
      <c r="A44" s="5">
        <f t="shared" si="1"/>
        <v>42</v>
      </c>
      <c r="B44" s="6"/>
      <c r="C44" s="7"/>
      <c r="D44" s="8"/>
      <c r="E44" s="8"/>
      <c r="F44" s="8"/>
    </row>
    <row r="45" spans="1:6" x14ac:dyDescent="0.2">
      <c r="A45" s="5">
        <f t="shared" si="1"/>
        <v>43</v>
      </c>
      <c r="B45" s="6"/>
      <c r="C45" s="7"/>
      <c r="D45" s="8"/>
      <c r="E45" s="8"/>
      <c r="F45" s="8"/>
    </row>
    <row r="46" spans="1:6" x14ac:dyDescent="0.2">
      <c r="A46" s="5">
        <f t="shared" si="1"/>
        <v>44</v>
      </c>
      <c r="B46" s="6"/>
      <c r="C46" s="7"/>
      <c r="D46" s="8"/>
      <c r="E46" s="8"/>
      <c r="F46" s="8"/>
    </row>
    <row r="47" spans="1:6" x14ac:dyDescent="0.2">
      <c r="A47" s="5">
        <f t="shared" si="1"/>
        <v>45</v>
      </c>
      <c r="B47" s="6"/>
      <c r="C47" s="7"/>
      <c r="D47" s="8"/>
      <c r="E47" s="8"/>
      <c r="F47" s="8"/>
    </row>
    <row r="48" spans="1:6" x14ac:dyDescent="0.2">
      <c r="A48" s="5">
        <f t="shared" si="1"/>
        <v>46</v>
      </c>
      <c r="B48" s="6"/>
      <c r="C48" s="7"/>
      <c r="D48" s="8"/>
      <c r="E48" s="8"/>
      <c r="F48" s="8"/>
    </row>
    <row r="49" spans="1:6" x14ac:dyDescent="0.2">
      <c r="A49" s="5">
        <f t="shared" si="1"/>
        <v>47</v>
      </c>
      <c r="B49" s="6"/>
      <c r="C49" s="7"/>
      <c r="D49" s="8"/>
      <c r="E49" s="8"/>
      <c r="F49" s="8"/>
    </row>
    <row r="50" spans="1:6" x14ac:dyDescent="0.2">
      <c r="A50" s="5">
        <f t="shared" si="1"/>
        <v>48</v>
      </c>
      <c r="B50" s="6"/>
      <c r="C50" s="7"/>
      <c r="D50" s="8"/>
      <c r="E50" s="8"/>
      <c r="F50" s="8"/>
    </row>
    <row r="51" spans="1:6" x14ac:dyDescent="0.2">
      <c r="A51" s="5">
        <f t="shared" si="1"/>
        <v>49</v>
      </c>
      <c r="B51" s="6"/>
      <c r="C51" s="7"/>
      <c r="D51" s="8"/>
      <c r="E51" s="8"/>
      <c r="F51" s="8"/>
    </row>
    <row r="52" spans="1:6" x14ac:dyDescent="0.2">
      <c r="A52" s="5">
        <f t="shared" si="1"/>
        <v>50</v>
      </c>
      <c r="B52" s="6"/>
      <c r="C52" s="7"/>
      <c r="D52" s="8"/>
      <c r="E52" s="8"/>
      <c r="F52" s="8"/>
    </row>
    <row r="53" spans="1:6" x14ac:dyDescent="0.2">
      <c r="A53" s="5">
        <f t="shared" si="1"/>
        <v>51</v>
      </c>
      <c r="B53" s="6"/>
      <c r="C53" s="7"/>
      <c r="D53" s="8"/>
      <c r="E53" s="8"/>
      <c r="F53" s="8"/>
    </row>
    <row r="54" spans="1:6" x14ac:dyDescent="0.2">
      <c r="A54" s="5">
        <f t="shared" si="1"/>
        <v>52</v>
      </c>
      <c r="B54" s="6"/>
      <c r="C54" s="7"/>
      <c r="D54" s="8"/>
      <c r="E54" s="8"/>
      <c r="F54" s="8"/>
    </row>
    <row r="55" spans="1:6" x14ac:dyDescent="0.2">
      <c r="A55" s="5">
        <f t="shared" si="1"/>
        <v>53</v>
      </c>
      <c r="B55" s="6"/>
      <c r="C55" s="7"/>
      <c r="D55" s="8"/>
      <c r="E55" s="8"/>
      <c r="F55" s="8"/>
    </row>
    <row r="56" spans="1:6" x14ac:dyDescent="0.2">
      <c r="A56" s="5">
        <f t="shared" si="1"/>
        <v>54</v>
      </c>
      <c r="B56" s="6"/>
      <c r="C56" s="7"/>
      <c r="D56" s="8"/>
      <c r="E56" s="8"/>
      <c r="F56" s="8"/>
    </row>
    <row r="57" spans="1:6" x14ac:dyDescent="0.2">
      <c r="A57" s="5">
        <f t="shared" si="1"/>
        <v>55</v>
      </c>
      <c r="B57" s="6"/>
      <c r="C57" s="7"/>
      <c r="D57" s="8"/>
      <c r="E57" s="8"/>
      <c r="F57" s="8"/>
    </row>
    <row r="58" spans="1:6" x14ac:dyDescent="0.2">
      <c r="A58" s="5">
        <f t="shared" si="1"/>
        <v>56</v>
      </c>
      <c r="B58" s="6"/>
      <c r="C58" s="7"/>
      <c r="D58" s="8"/>
      <c r="E58" s="8"/>
      <c r="F58" s="8"/>
    </row>
    <row r="59" spans="1:6" x14ac:dyDescent="0.2">
      <c r="A59" s="5">
        <f t="shared" si="1"/>
        <v>57</v>
      </c>
      <c r="B59" s="6"/>
      <c r="C59" s="7"/>
      <c r="D59" s="8"/>
      <c r="E59" s="8"/>
      <c r="F59" s="8"/>
    </row>
    <row r="60" spans="1:6" x14ac:dyDescent="0.2">
      <c r="A60" s="5">
        <f t="shared" si="1"/>
        <v>58</v>
      </c>
      <c r="B60" s="6"/>
      <c r="C60" s="7"/>
      <c r="D60" s="8"/>
      <c r="E60" s="8"/>
      <c r="F60" s="8"/>
    </row>
    <row r="61" spans="1:6" x14ac:dyDescent="0.2">
      <c r="A61" s="5">
        <f t="shared" si="1"/>
        <v>59</v>
      </c>
      <c r="B61" s="6"/>
      <c r="C61" s="7"/>
      <c r="D61" s="8"/>
      <c r="E61" s="8"/>
      <c r="F61" s="8"/>
    </row>
    <row r="62" spans="1:6" x14ac:dyDescent="0.2">
      <c r="A62" s="5">
        <f t="shared" si="1"/>
        <v>60</v>
      </c>
      <c r="B62" s="6"/>
      <c r="C62" s="7"/>
      <c r="D62" s="8"/>
      <c r="E62" s="8"/>
      <c r="F62" s="8"/>
    </row>
    <row r="63" spans="1:6" x14ac:dyDescent="0.2">
      <c r="A63" s="5">
        <f t="shared" si="1"/>
        <v>61</v>
      </c>
      <c r="B63" s="6"/>
      <c r="C63" s="7"/>
      <c r="D63" s="8"/>
      <c r="E63" s="8"/>
      <c r="F63" s="8"/>
    </row>
    <row r="64" spans="1:6" x14ac:dyDescent="0.2">
      <c r="A64" s="5">
        <f t="shared" si="1"/>
        <v>62</v>
      </c>
      <c r="B64" s="6"/>
      <c r="C64" s="7"/>
      <c r="D64" s="8"/>
      <c r="E64" s="8"/>
      <c r="F64" s="8"/>
    </row>
    <row r="65" spans="1:6" x14ac:dyDescent="0.2">
      <c r="A65" s="5">
        <f t="shared" si="1"/>
        <v>63</v>
      </c>
      <c r="B65" s="6"/>
      <c r="C65" s="7"/>
      <c r="D65" s="8"/>
      <c r="E65" s="8"/>
      <c r="F65" s="8"/>
    </row>
    <row r="66" spans="1:6" x14ac:dyDescent="0.2">
      <c r="A66" s="5">
        <f t="shared" si="1"/>
        <v>64</v>
      </c>
      <c r="B66" s="6"/>
      <c r="C66" s="7"/>
      <c r="D66" s="8"/>
      <c r="E66" s="8"/>
      <c r="F66" s="8"/>
    </row>
    <row r="67" spans="1:6" x14ac:dyDescent="0.2">
      <c r="A67" s="5">
        <f t="shared" si="1"/>
        <v>65</v>
      </c>
      <c r="B67" s="6"/>
      <c r="C67" s="7"/>
      <c r="D67" s="8"/>
      <c r="E67" s="8"/>
      <c r="F67" s="8"/>
    </row>
    <row r="68" spans="1:6" x14ac:dyDescent="0.2">
      <c r="A68" s="5">
        <f t="shared" si="1"/>
        <v>66</v>
      </c>
      <c r="B68" s="6"/>
      <c r="C68" s="7"/>
      <c r="D68" s="8"/>
      <c r="E68" s="8"/>
      <c r="F68" s="8"/>
    </row>
  </sheetData>
  <mergeCells count="1"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2B3A-D102-4F46-A66D-93D12D9649D0}">
  <sheetPr>
    <pageSetUpPr fitToPage="1"/>
  </sheetPr>
  <dimension ref="A2:L75"/>
  <sheetViews>
    <sheetView tabSelected="1" workbookViewId="0">
      <selection activeCell="I2" sqref="I2"/>
    </sheetView>
  </sheetViews>
  <sheetFormatPr defaultRowHeight="15" x14ac:dyDescent="0.25"/>
  <cols>
    <col min="1" max="1" width="3.42578125" customWidth="1"/>
    <col min="2" max="2" width="25.7109375" customWidth="1"/>
    <col min="3" max="3" width="1.42578125" customWidth="1"/>
    <col min="4" max="6" width="14.28515625" customWidth="1"/>
    <col min="8" max="8" width="12.85546875" customWidth="1"/>
    <col min="9" max="9" width="11.42578125" customWidth="1"/>
    <col min="12" max="12" width="9.7109375" bestFit="1" customWidth="1"/>
  </cols>
  <sheetData>
    <row r="2" spans="1:12" ht="21.75" thickBot="1" x14ac:dyDescent="0.4">
      <c r="B2" s="26" t="s">
        <v>5</v>
      </c>
      <c r="C2" s="26"/>
      <c r="D2" s="26"/>
      <c r="E2" s="26"/>
      <c r="F2" s="26"/>
      <c r="H2" t="s">
        <v>11</v>
      </c>
      <c r="I2">
        <f>MAX(1,COUNTIFS(B:B,"&gt;=" &amp; E3,B:B,"&lt;=" &amp; F3))</f>
        <v>6</v>
      </c>
    </row>
    <row r="3" spans="1:12" ht="22.5" customHeight="1" thickBot="1" x14ac:dyDescent="0.3">
      <c r="B3" s="27" t="s">
        <v>6</v>
      </c>
      <c r="C3" s="28"/>
      <c r="D3" s="29"/>
      <c r="E3" s="15">
        <v>42736</v>
      </c>
      <c r="F3" s="15">
        <v>43101</v>
      </c>
      <c r="H3" t="s">
        <v>12</v>
      </c>
      <c r="I3">
        <f>IFERROR(MATCH(E3, $B$10:$B$75,1)+IF(ISERROR(MATCH(E3,$B$10:$B$75,0)),1,0),1)+9</f>
        <v>10</v>
      </c>
    </row>
    <row r="4" spans="1:12" ht="16.5" thickBot="1" x14ac:dyDescent="0.3">
      <c r="B4" s="30" t="s">
        <v>7</v>
      </c>
      <c r="C4" s="31"/>
      <c r="D4" s="31"/>
      <c r="E4" s="31"/>
      <c r="F4" s="32"/>
      <c r="I4" s="16"/>
      <c r="L4" s="16"/>
    </row>
    <row r="5" spans="1:12" x14ac:dyDescent="0.25">
      <c r="B5" s="13" t="s">
        <v>8</v>
      </c>
      <c r="C5" s="14"/>
      <c r="D5" s="18">
        <f ca="1">AVERAGE(BenjaminC)</f>
        <v>179.25</v>
      </c>
      <c r="E5" s="18">
        <f ca="1">AVERAGE(GeorgeC)</f>
        <v>162.75</v>
      </c>
      <c r="F5" s="19">
        <f ca="1">AVERAGE(EricC)</f>
        <v>157.33333333333334</v>
      </c>
      <c r="I5" s="16"/>
    </row>
    <row r="6" spans="1:12" x14ac:dyDescent="0.25">
      <c r="B6" s="9" t="s">
        <v>9</v>
      </c>
      <c r="C6" s="10"/>
      <c r="D6" s="20">
        <f ca="1">MIN(BenjaminC)</f>
        <v>169.5</v>
      </c>
      <c r="E6" s="20">
        <f ca="1">MIN(GeorgeC)</f>
        <v>156</v>
      </c>
      <c r="F6" s="21">
        <f ca="1">MIN(EricC)</f>
        <v>152.5</v>
      </c>
      <c r="I6" s="16"/>
    </row>
    <row r="7" spans="1:12" ht="15.75" thickBot="1" x14ac:dyDescent="0.3">
      <c r="B7" s="11" t="s">
        <v>10</v>
      </c>
      <c r="C7" s="12"/>
      <c r="D7" s="22">
        <f ca="1">MAX(BenjaminC)</f>
        <v>190</v>
      </c>
      <c r="E7" s="22">
        <f ca="1">MAX(GeorgeC)</f>
        <v>172</v>
      </c>
      <c r="F7" s="23">
        <f ca="1">MAX(EricC)</f>
        <v>169</v>
      </c>
      <c r="I7" s="17"/>
    </row>
    <row r="8" spans="1:12" ht="16.5" thickBot="1" x14ac:dyDescent="0.3">
      <c r="A8" s="1"/>
      <c r="B8" s="1"/>
      <c r="C8" s="1"/>
      <c r="D8" s="24" t="s">
        <v>0</v>
      </c>
      <c r="E8" s="25"/>
      <c r="F8" s="25"/>
    </row>
    <row r="9" spans="1:12" ht="15.75" thickBot="1" x14ac:dyDescent="0.3">
      <c r="A9" s="1"/>
      <c r="B9" s="2" t="s">
        <v>1</v>
      </c>
      <c r="C9" s="2"/>
      <c r="D9" s="3" t="s">
        <v>2</v>
      </c>
      <c r="E9" s="3" t="s">
        <v>3</v>
      </c>
      <c r="F9" s="4" t="s">
        <v>4</v>
      </c>
    </row>
    <row r="10" spans="1:12" x14ac:dyDescent="0.25">
      <c r="A10" s="5">
        <v>1</v>
      </c>
      <c r="B10" s="6">
        <v>42736</v>
      </c>
      <c r="C10" s="7"/>
      <c r="D10" s="8">
        <v>190</v>
      </c>
      <c r="E10" s="8">
        <v>172</v>
      </c>
      <c r="F10" s="8">
        <v>169</v>
      </c>
    </row>
    <row r="11" spans="1:12" x14ac:dyDescent="0.25">
      <c r="A11" s="5">
        <f>A10+1</f>
        <v>2</v>
      </c>
      <c r="B11" s="6">
        <v>42810</v>
      </c>
      <c r="C11" s="7"/>
      <c r="D11" s="8">
        <v>187</v>
      </c>
      <c r="E11" s="8">
        <v>164</v>
      </c>
      <c r="F11" s="8">
        <v>158</v>
      </c>
    </row>
    <row r="12" spans="1:12" x14ac:dyDescent="0.25">
      <c r="A12" s="5">
        <f t="shared" ref="A12:A75" si="0">A11+1</f>
        <v>3</v>
      </c>
      <c r="B12" s="6">
        <v>42876</v>
      </c>
      <c r="C12" s="7"/>
      <c r="D12" s="8">
        <v>183.5</v>
      </c>
      <c r="E12" s="8">
        <v>161</v>
      </c>
      <c r="F12" s="8">
        <v>156</v>
      </c>
    </row>
    <row r="13" spans="1:12" x14ac:dyDescent="0.25">
      <c r="A13" s="5">
        <f t="shared" si="0"/>
        <v>4</v>
      </c>
      <c r="B13" s="6">
        <v>42960</v>
      </c>
      <c r="C13" s="7"/>
      <c r="D13" s="8">
        <v>170</v>
      </c>
      <c r="E13" s="8">
        <v>160</v>
      </c>
      <c r="F13" s="8">
        <v>152.5</v>
      </c>
    </row>
    <row r="14" spans="1:12" x14ac:dyDescent="0.25">
      <c r="A14" s="5">
        <f t="shared" si="0"/>
        <v>5</v>
      </c>
      <c r="B14" s="6">
        <v>43030</v>
      </c>
      <c r="C14" s="7"/>
      <c r="D14" s="8">
        <v>169.5</v>
      </c>
      <c r="E14" s="8">
        <v>156</v>
      </c>
      <c r="F14" s="8">
        <v>153</v>
      </c>
    </row>
    <row r="15" spans="1:12" x14ac:dyDescent="0.25">
      <c r="A15" s="5">
        <f t="shared" si="0"/>
        <v>6</v>
      </c>
      <c r="B15" s="6">
        <v>43086</v>
      </c>
      <c r="C15" s="7"/>
      <c r="D15" s="8">
        <v>175.5</v>
      </c>
      <c r="E15" s="8">
        <v>163.5</v>
      </c>
      <c r="F15" s="8">
        <v>155.5</v>
      </c>
    </row>
    <row r="16" spans="1:12" x14ac:dyDescent="0.25">
      <c r="A16" s="5">
        <f t="shared" si="0"/>
        <v>7</v>
      </c>
      <c r="B16" s="6">
        <v>43137</v>
      </c>
      <c r="C16" s="7"/>
      <c r="D16" s="8">
        <v>180</v>
      </c>
      <c r="E16" s="8">
        <v>164</v>
      </c>
      <c r="F16" s="8">
        <v>157.5</v>
      </c>
    </row>
    <row r="17" spans="1:6" x14ac:dyDescent="0.25">
      <c r="A17" s="5">
        <f t="shared" si="0"/>
        <v>8</v>
      </c>
      <c r="B17" s="6">
        <v>43214</v>
      </c>
      <c r="C17" s="7"/>
      <c r="D17" s="8">
        <v>175.5</v>
      </c>
      <c r="E17" s="8">
        <v>165</v>
      </c>
      <c r="F17" s="8">
        <v>155</v>
      </c>
    </row>
    <row r="18" spans="1:6" x14ac:dyDescent="0.25">
      <c r="A18" s="5">
        <f t="shared" si="0"/>
        <v>9</v>
      </c>
      <c r="B18" s="6">
        <v>43234</v>
      </c>
      <c r="C18" s="7"/>
      <c r="D18" s="8">
        <v>171.4</v>
      </c>
      <c r="E18" s="8">
        <v>165.2</v>
      </c>
      <c r="F18" s="8">
        <v>152</v>
      </c>
    </row>
    <row r="19" spans="1:6" x14ac:dyDescent="0.25">
      <c r="A19" s="5">
        <f t="shared" si="0"/>
        <v>10</v>
      </c>
      <c r="B19" s="6">
        <v>43263</v>
      </c>
      <c r="C19" s="7"/>
      <c r="D19" s="8">
        <v>171.4</v>
      </c>
      <c r="E19" s="8">
        <v>157.4</v>
      </c>
      <c r="F19" s="8">
        <v>154</v>
      </c>
    </row>
    <row r="20" spans="1:6" x14ac:dyDescent="0.25">
      <c r="A20" s="5">
        <f t="shared" si="0"/>
        <v>11</v>
      </c>
      <c r="B20" s="6">
        <v>43293</v>
      </c>
      <c r="C20" s="7"/>
      <c r="D20" s="8">
        <v>169.5</v>
      </c>
      <c r="E20" s="8">
        <v>154</v>
      </c>
      <c r="F20" s="8">
        <v>154</v>
      </c>
    </row>
    <row r="21" spans="1:6" x14ac:dyDescent="0.25">
      <c r="A21" s="5">
        <f t="shared" si="0"/>
        <v>12</v>
      </c>
      <c r="B21" s="6">
        <v>43334</v>
      </c>
      <c r="C21" s="7"/>
      <c r="D21" s="8">
        <v>176</v>
      </c>
      <c r="E21" s="8">
        <v>154</v>
      </c>
      <c r="F21" s="8">
        <v>153.5</v>
      </c>
    </row>
    <row r="22" spans="1:6" x14ac:dyDescent="0.25">
      <c r="A22" s="5">
        <f t="shared" si="0"/>
        <v>13</v>
      </c>
      <c r="B22" s="6">
        <v>43369</v>
      </c>
      <c r="C22" s="7"/>
      <c r="D22" s="8">
        <v>184</v>
      </c>
      <c r="E22" s="8">
        <v>161.5</v>
      </c>
      <c r="F22" s="8">
        <v>159.5</v>
      </c>
    </row>
    <row r="23" spans="1:6" x14ac:dyDescent="0.25">
      <c r="A23" s="5">
        <f t="shared" si="0"/>
        <v>14</v>
      </c>
      <c r="B23" s="6">
        <v>43411</v>
      </c>
      <c r="C23" s="7"/>
      <c r="D23" s="8">
        <v>184.5</v>
      </c>
      <c r="E23" s="8">
        <v>162</v>
      </c>
      <c r="F23" s="8">
        <v>155</v>
      </c>
    </row>
    <row r="24" spans="1:6" x14ac:dyDescent="0.25">
      <c r="A24" s="5">
        <f t="shared" si="0"/>
        <v>15</v>
      </c>
      <c r="B24" s="6">
        <v>43464</v>
      </c>
      <c r="C24" s="7"/>
      <c r="D24" s="8">
        <v>183</v>
      </c>
      <c r="E24" s="8">
        <v>163</v>
      </c>
      <c r="F24" s="8">
        <v>155.5</v>
      </c>
    </row>
    <row r="25" spans="1:6" x14ac:dyDescent="0.25">
      <c r="A25" s="5">
        <f t="shared" si="0"/>
        <v>16</v>
      </c>
      <c r="B25" s="6">
        <v>43497</v>
      </c>
      <c r="C25" s="7"/>
      <c r="D25" s="8">
        <v>180</v>
      </c>
      <c r="E25" s="8">
        <v>164</v>
      </c>
      <c r="F25" s="8">
        <v>158.5</v>
      </c>
    </row>
    <row r="26" spans="1:6" x14ac:dyDescent="0.25">
      <c r="A26" s="5">
        <f t="shared" si="0"/>
        <v>17</v>
      </c>
      <c r="B26" s="6">
        <v>43524</v>
      </c>
      <c r="C26" s="7"/>
      <c r="D26" s="8">
        <v>188</v>
      </c>
      <c r="E26" s="8">
        <v>168</v>
      </c>
      <c r="F26" s="8">
        <v>161</v>
      </c>
    </row>
    <row r="27" spans="1:6" x14ac:dyDescent="0.25">
      <c r="A27" s="5">
        <f t="shared" si="0"/>
        <v>18</v>
      </c>
      <c r="B27" s="6">
        <v>43574</v>
      </c>
      <c r="C27" s="7"/>
      <c r="D27" s="8">
        <v>180</v>
      </c>
      <c r="E27" s="8">
        <v>164.8</v>
      </c>
      <c r="F27" s="8">
        <v>153.6</v>
      </c>
    </row>
    <row r="28" spans="1:6" x14ac:dyDescent="0.25">
      <c r="A28" s="5">
        <f t="shared" si="0"/>
        <v>19</v>
      </c>
      <c r="B28" s="6">
        <v>43600</v>
      </c>
      <c r="C28" s="7"/>
      <c r="D28" s="8">
        <v>184.5</v>
      </c>
      <c r="E28" s="8">
        <v>167.5</v>
      </c>
      <c r="F28" s="8">
        <v>159</v>
      </c>
    </row>
    <row r="29" spans="1:6" x14ac:dyDescent="0.25">
      <c r="A29" s="5">
        <f t="shared" si="0"/>
        <v>20</v>
      </c>
      <c r="B29" s="6">
        <v>43635</v>
      </c>
      <c r="C29" s="7"/>
      <c r="D29" s="8">
        <v>178.5</v>
      </c>
      <c r="E29" s="8">
        <v>160</v>
      </c>
      <c r="F29" s="8">
        <v>158</v>
      </c>
    </row>
    <row r="30" spans="1:6" x14ac:dyDescent="0.25">
      <c r="A30" s="5">
        <f t="shared" si="0"/>
        <v>21</v>
      </c>
      <c r="B30" s="6">
        <v>43655</v>
      </c>
      <c r="C30" s="7"/>
      <c r="D30" s="8">
        <v>176.5</v>
      </c>
      <c r="E30" s="8">
        <v>157</v>
      </c>
      <c r="F30" s="8">
        <v>157</v>
      </c>
    </row>
    <row r="31" spans="1:6" x14ac:dyDescent="0.25">
      <c r="A31" s="5">
        <f t="shared" si="0"/>
        <v>22</v>
      </c>
      <c r="B31" s="6">
        <v>43700</v>
      </c>
      <c r="C31" s="7"/>
      <c r="D31" s="8">
        <v>176</v>
      </c>
      <c r="E31" s="8">
        <v>151</v>
      </c>
      <c r="F31" s="8">
        <v>155</v>
      </c>
    </row>
    <row r="32" spans="1:6" x14ac:dyDescent="0.25">
      <c r="A32" s="5">
        <f t="shared" si="0"/>
        <v>23</v>
      </c>
      <c r="B32" s="6">
        <v>43719</v>
      </c>
      <c r="C32" s="7"/>
      <c r="D32" s="8">
        <v>175.5</v>
      </c>
      <c r="E32" s="8">
        <v>151.5</v>
      </c>
      <c r="F32" s="8">
        <v>154</v>
      </c>
    </row>
    <row r="33" spans="1:6" x14ac:dyDescent="0.25">
      <c r="A33" s="5">
        <f t="shared" si="0"/>
        <v>24</v>
      </c>
      <c r="B33" s="6">
        <v>43749</v>
      </c>
      <c r="C33" s="7"/>
      <c r="D33" s="8">
        <v>171</v>
      </c>
      <c r="E33" s="8">
        <v>153</v>
      </c>
      <c r="F33" s="8">
        <v>159</v>
      </c>
    </row>
    <row r="34" spans="1:6" x14ac:dyDescent="0.25">
      <c r="A34" s="5">
        <f t="shared" si="0"/>
        <v>25</v>
      </c>
      <c r="B34" s="6">
        <v>43784</v>
      </c>
      <c r="C34" s="7"/>
      <c r="D34" s="8">
        <v>172</v>
      </c>
      <c r="E34" s="8">
        <v>149.5</v>
      </c>
      <c r="F34" s="8">
        <v>152</v>
      </c>
    </row>
    <row r="35" spans="1:6" x14ac:dyDescent="0.25">
      <c r="A35" s="5">
        <f t="shared" si="0"/>
        <v>26</v>
      </c>
      <c r="B35" s="6"/>
      <c r="C35" s="7"/>
      <c r="D35" s="8"/>
      <c r="E35" s="8"/>
      <c r="F35" s="8"/>
    </row>
    <row r="36" spans="1:6" x14ac:dyDescent="0.25">
      <c r="A36" s="5">
        <f t="shared" si="0"/>
        <v>27</v>
      </c>
      <c r="B36" s="6"/>
      <c r="C36" s="7"/>
      <c r="D36" s="8"/>
      <c r="E36" s="8"/>
      <c r="F36" s="8"/>
    </row>
    <row r="37" spans="1:6" x14ac:dyDescent="0.25">
      <c r="A37" s="5">
        <f t="shared" si="0"/>
        <v>28</v>
      </c>
      <c r="B37" s="6"/>
      <c r="C37" s="7"/>
      <c r="D37" s="8"/>
      <c r="E37" s="8"/>
      <c r="F37" s="8"/>
    </row>
    <row r="38" spans="1:6" x14ac:dyDescent="0.25">
      <c r="A38" s="5">
        <f t="shared" si="0"/>
        <v>29</v>
      </c>
      <c r="B38" s="6"/>
      <c r="C38" s="7"/>
      <c r="D38" s="8"/>
      <c r="E38" s="8"/>
      <c r="F38" s="8"/>
    </row>
    <row r="39" spans="1:6" x14ac:dyDescent="0.25">
      <c r="A39" s="5">
        <f t="shared" si="0"/>
        <v>30</v>
      </c>
      <c r="B39" s="6"/>
      <c r="C39" s="7"/>
      <c r="D39" s="8"/>
      <c r="E39" s="8"/>
      <c r="F39" s="8"/>
    </row>
    <row r="40" spans="1:6" x14ac:dyDescent="0.25">
      <c r="A40" s="5">
        <f t="shared" si="0"/>
        <v>31</v>
      </c>
      <c r="B40" s="6"/>
      <c r="C40" s="7"/>
      <c r="D40" s="8"/>
      <c r="E40" s="8"/>
      <c r="F40" s="8"/>
    </row>
    <row r="41" spans="1:6" x14ac:dyDescent="0.25">
      <c r="A41" s="5">
        <f t="shared" si="0"/>
        <v>32</v>
      </c>
      <c r="B41" s="6"/>
      <c r="C41" s="7"/>
      <c r="D41" s="8"/>
      <c r="E41" s="8"/>
      <c r="F41" s="8"/>
    </row>
    <row r="42" spans="1:6" x14ac:dyDescent="0.25">
      <c r="A42" s="5">
        <f t="shared" si="0"/>
        <v>33</v>
      </c>
      <c r="B42" s="6"/>
      <c r="C42" s="7"/>
      <c r="D42" s="8"/>
      <c r="E42" s="8"/>
      <c r="F42" s="8"/>
    </row>
    <row r="43" spans="1:6" x14ac:dyDescent="0.25">
      <c r="A43" s="5">
        <f t="shared" si="0"/>
        <v>34</v>
      </c>
      <c r="B43" s="6"/>
      <c r="C43" s="7"/>
      <c r="D43" s="8"/>
      <c r="E43" s="8"/>
      <c r="F43" s="8"/>
    </row>
    <row r="44" spans="1:6" x14ac:dyDescent="0.25">
      <c r="A44" s="5">
        <f t="shared" si="0"/>
        <v>35</v>
      </c>
      <c r="B44" s="6"/>
      <c r="C44" s="7"/>
      <c r="D44" s="8"/>
      <c r="E44" s="8"/>
      <c r="F44" s="8"/>
    </row>
    <row r="45" spans="1:6" x14ac:dyDescent="0.25">
      <c r="A45" s="5">
        <f t="shared" si="0"/>
        <v>36</v>
      </c>
      <c r="B45" s="6"/>
      <c r="C45" s="7"/>
      <c r="D45" s="8"/>
      <c r="E45" s="8"/>
      <c r="F45" s="8"/>
    </row>
    <row r="46" spans="1:6" x14ac:dyDescent="0.25">
      <c r="A46" s="5">
        <f t="shared" si="0"/>
        <v>37</v>
      </c>
      <c r="B46" s="6"/>
      <c r="C46" s="7"/>
      <c r="D46" s="8"/>
      <c r="E46" s="8"/>
      <c r="F46" s="8"/>
    </row>
    <row r="47" spans="1:6" x14ac:dyDescent="0.25">
      <c r="A47" s="5">
        <f t="shared" si="0"/>
        <v>38</v>
      </c>
      <c r="B47" s="6"/>
      <c r="C47" s="7"/>
      <c r="D47" s="8"/>
      <c r="E47" s="8"/>
      <c r="F47" s="8"/>
    </row>
    <row r="48" spans="1:6" x14ac:dyDescent="0.25">
      <c r="A48" s="5">
        <f t="shared" si="0"/>
        <v>39</v>
      </c>
      <c r="B48" s="6"/>
      <c r="C48" s="7"/>
      <c r="D48" s="8"/>
      <c r="E48" s="8"/>
      <c r="F48" s="8"/>
    </row>
    <row r="49" spans="1:6" x14ac:dyDescent="0.25">
      <c r="A49" s="5">
        <f t="shared" si="0"/>
        <v>40</v>
      </c>
      <c r="B49" s="6"/>
      <c r="C49" s="7"/>
      <c r="D49" s="8"/>
      <c r="E49" s="8"/>
      <c r="F49" s="8"/>
    </row>
    <row r="50" spans="1:6" x14ac:dyDescent="0.25">
      <c r="A50" s="5">
        <f t="shared" si="0"/>
        <v>41</v>
      </c>
      <c r="B50" s="6"/>
      <c r="C50" s="7"/>
      <c r="D50" s="8"/>
      <c r="E50" s="8"/>
      <c r="F50" s="8"/>
    </row>
    <row r="51" spans="1:6" x14ac:dyDescent="0.25">
      <c r="A51" s="5">
        <f t="shared" si="0"/>
        <v>42</v>
      </c>
      <c r="B51" s="6"/>
      <c r="C51" s="7"/>
      <c r="D51" s="8"/>
      <c r="E51" s="8"/>
      <c r="F51" s="8"/>
    </row>
    <row r="52" spans="1:6" x14ac:dyDescent="0.25">
      <c r="A52" s="5">
        <f t="shared" si="0"/>
        <v>43</v>
      </c>
      <c r="B52" s="6"/>
      <c r="C52" s="7"/>
      <c r="D52" s="8"/>
      <c r="E52" s="8"/>
      <c r="F52" s="8"/>
    </row>
    <row r="53" spans="1:6" x14ac:dyDescent="0.25">
      <c r="A53" s="5">
        <f t="shared" si="0"/>
        <v>44</v>
      </c>
      <c r="B53" s="6"/>
      <c r="C53" s="7"/>
      <c r="D53" s="8"/>
      <c r="E53" s="8"/>
      <c r="F53" s="8"/>
    </row>
    <row r="54" spans="1:6" x14ac:dyDescent="0.25">
      <c r="A54" s="5">
        <f t="shared" si="0"/>
        <v>45</v>
      </c>
      <c r="B54" s="6"/>
      <c r="C54" s="7"/>
      <c r="D54" s="8"/>
      <c r="E54" s="8"/>
      <c r="F54" s="8"/>
    </row>
    <row r="55" spans="1:6" x14ac:dyDescent="0.25">
      <c r="A55" s="5">
        <f t="shared" si="0"/>
        <v>46</v>
      </c>
      <c r="B55" s="6"/>
      <c r="C55" s="7"/>
      <c r="D55" s="8"/>
      <c r="E55" s="8"/>
      <c r="F55" s="8"/>
    </row>
    <row r="56" spans="1:6" x14ac:dyDescent="0.25">
      <c r="A56" s="5">
        <f t="shared" si="0"/>
        <v>47</v>
      </c>
      <c r="B56" s="6"/>
      <c r="C56" s="7"/>
      <c r="D56" s="8"/>
      <c r="E56" s="8"/>
      <c r="F56" s="8"/>
    </row>
    <row r="57" spans="1:6" x14ac:dyDescent="0.25">
      <c r="A57" s="5">
        <f t="shared" si="0"/>
        <v>48</v>
      </c>
      <c r="B57" s="6"/>
      <c r="C57" s="7"/>
      <c r="D57" s="8"/>
      <c r="E57" s="8"/>
      <c r="F57" s="8"/>
    </row>
    <row r="58" spans="1:6" x14ac:dyDescent="0.25">
      <c r="A58" s="5">
        <f t="shared" si="0"/>
        <v>49</v>
      </c>
      <c r="B58" s="6"/>
      <c r="C58" s="7"/>
      <c r="D58" s="8"/>
      <c r="E58" s="8"/>
      <c r="F58" s="8"/>
    </row>
    <row r="59" spans="1:6" x14ac:dyDescent="0.25">
      <c r="A59" s="5">
        <f t="shared" si="0"/>
        <v>50</v>
      </c>
      <c r="B59" s="6"/>
      <c r="C59" s="7"/>
      <c r="D59" s="8"/>
      <c r="E59" s="8"/>
      <c r="F59" s="8"/>
    </row>
    <row r="60" spans="1:6" x14ac:dyDescent="0.25">
      <c r="A60" s="5">
        <f t="shared" si="0"/>
        <v>51</v>
      </c>
      <c r="B60" s="6"/>
      <c r="C60" s="7"/>
      <c r="D60" s="8"/>
      <c r="E60" s="8"/>
      <c r="F60" s="8"/>
    </row>
    <row r="61" spans="1:6" x14ac:dyDescent="0.25">
      <c r="A61" s="5">
        <f t="shared" si="0"/>
        <v>52</v>
      </c>
      <c r="B61" s="6"/>
      <c r="C61" s="7"/>
      <c r="D61" s="8"/>
      <c r="E61" s="8"/>
      <c r="F61" s="8"/>
    </row>
    <row r="62" spans="1:6" x14ac:dyDescent="0.25">
      <c r="A62" s="5">
        <f t="shared" si="0"/>
        <v>53</v>
      </c>
      <c r="B62" s="6"/>
      <c r="C62" s="7"/>
      <c r="D62" s="8"/>
      <c r="E62" s="8"/>
      <c r="F62" s="8"/>
    </row>
    <row r="63" spans="1:6" x14ac:dyDescent="0.25">
      <c r="A63" s="5">
        <f t="shared" si="0"/>
        <v>54</v>
      </c>
      <c r="B63" s="6"/>
      <c r="C63" s="7"/>
      <c r="D63" s="8"/>
      <c r="E63" s="8"/>
      <c r="F63" s="8"/>
    </row>
    <row r="64" spans="1:6" x14ac:dyDescent="0.25">
      <c r="A64" s="5">
        <f t="shared" si="0"/>
        <v>55</v>
      </c>
      <c r="B64" s="6"/>
      <c r="C64" s="7"/>
      <c r="D64" s="8"/>
      <c r="E64" s="8"/>
      <c r="F64" s="8"/>
    </row>
    <row r="65" spans="1:6" x14ac:dyDescent="0.25">
      <c r="A65" s="5">
        <f t="shared" si="0"/>
        <v>56</v>
      </c>
      <c r="B65" s="6"/>
      <c r="C65" s="7"/>
      <c r="D65" s="8"/>
      <c r="E65" s="8"/>
      <c r="F65" s="8"/>
    </row>
    <row r="66" spans="1:6" x14ac:dyDescent="0.25">
      <c r="A66" s="5">
        <f t="shared" si="0"/>
        <v>57</v>
      </c>
      <c r="B66" s="6"/>
      <c r="C66" s="7"/>
      <c r="D66" s="8"/>
      <c r="E66" s="8"/>
      <c r="F66" s="8"/>
    </row>
    <row r="67" spans="1:6" x14ac:dyDescent="0.25">
      <c r="A67" s="5">
        <f t="shared" si="0"/>
        <v>58</v>
      </c>
      <c r="B67" s="6"/>
      <c r="C67" s="7"/>
      <c r="D67" s="8"/>
      <c r="E67" s="8"/>
      <c r="F67" s="8"/>
    </row>
    <row r="68" spans="1:6" x14ac:dyDescent="0.25">
      <c r="A68" s="5">
        <f t="shared" si="0"/>
        <v>59</v>
      </c>
      <c r="B68" s="6"/>
      <c r="C68" s="7"/>
      <c r="D68" s="8"/>
      <c r="E68" s="8"/>
      <c r="F68" s="8"/>
    </row>
    <row r="69" spans="1:6" x14ac:dyDescent="0.25">
      <c r="A69" s="5">
        <f t="shared" si="0"/>
        <v>60</v>
      </c>
      <c r="B69" s="6"/>
      <c r="C69" s="7"/>
      <c r="D69" s="8"/>
      <c r="E69" s="8"/>
      <c r="F69" s="8"/>
    </row>
    <row r="70" spans="1:6" x14ac:dyDescent="0.25">
      <c r="A70" s="5">
        <f t="shared" si="0"/>
        <v>61</v>
      </c>
      <c r="B70" s="6"/>
      <c r="C70" s="7"/>
      <c r="D70" s="8"/>
      <c r="E70" s="8"/>
      <c r="F70" s="8"/>
    </row>
    <row r="71" spans="1:6" x14ac:dyDescent="0.25">
      <c r="A71" s="5">
        <f t="shared" si="0"/>
        <v>62</v>
      </c>
      <c r="B71" s="6"/>
      <c r="C71" s="7"/>
      <c r="D71" s="8"/>
      <c r="E71" s="8"/>
      <c r="F71" s="8"/>
    </row>
    <row r="72" spans="1:6" x14ac:dyDescent="0.25">
      <c r="A72" s="5">
        <f t="shared" si="0"/>
        <v>63</v>
      </c>
      <c r="B72" s="6"/>
      <c r="C72" s="7"/>
      <c r="D72" s="8"/>
      <c r="E72" s="8"/>
      <c r="F72" s="8"/>
    </row>
    <row r="73" spans="1:6" x14ac:dyDescent="0.25">
      <c r="A73" s="5">
        <f t="shared" si="0"/>
        <v>64</v>
      </c>
      <c r="B73" s="6"/>
      <c r="C73" s="7"/>
      <c r="D73" s="8"/>
      <c r="E73" s="8"/>
      <c r="F73" s="8"/>
    </row>
    <row r="74" spans="1:6" x14ac:dyDescent="0.25">
      <c r="A74" s="5">
        <f t="shared" si="0"/>
        <v>65</v>
      </c>
      <c r="B74" s="6"/>
      <c r="C74" s="7"/>
      <c r="D74" s="8"/>
      <c r="E74" s="8"/>
      <c r="F74" s="8"/>
    </row>
    <row r="75" spans="1:6" x14ac:dyDescent="0.25">
      <c r="A75" s="5">
        <f t="shared" si="0"/>
        <v>66</v>
      </c>
      <c r="B75" s="6"/>
      <c r="C75" s="7"/>
      <c r="D75" s="8"/>
      <c r="E75" s="8"/>
      <c r="F75" s="8"/>
    </row>
  </sheetData>
  <mergeCells count="4">
    <mergeCell ref="D8:F8"/>
    <mergeCell ref="B2:F2"/>
    <mergeCell ref="B3:D3"/>
    <mergeCell ref="B4:F4"/>
  </mergeCells>
  <pageMargins left="0.7" right="0.7" top="0.75" bottom="0.75" header="0.3" footer="0.3"/>
  <pageSetup scale="56" orientation="portrait" horizontalDpi="300" verticalDpi="300" r:id="rId1"/>
  <headerFooter>
    <oddFooter>&amp;L&amp;F
&amp;A&amp;C&amp;P of &amp;N&amp;R&amp;D
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</vt:lpstr>
      <vt:lpstr>Weight Watch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2020-10-07T21:18:58Z</cp:lastPrinted>
  <dcterms:created xsi:type="dcterms:W3CDTF">2020-10-05T19:37:49Z</dcterms:created>
  <dcterms:modified xsi:type="dcterms:W3CDTF">2020-10-15T01:20:00Z</dcterms:modified>
</cp:coreProperties>
</file>