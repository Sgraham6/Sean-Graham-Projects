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ed Status" sheetId="1" r:id="rId4"/>
  </sheets>
  <definedNames/>
  <calcPr/>
  <extLst>
    <ext uri="GoogleSheetsCustomDataVersion2">
      <go:sheetsCustomData xmlns:go="http://customooxmlschemas.google.com/" r:id="rId5" roundtripDataChecksum="Wbd8689rph3XEeShq7/lmMgySwmFvVMfAfMN5mRkog0="/>
    </ext>
  </extLst>
</workbook>
</file>

<file path=xl/sharedStrings.xml><?xml version="1.0" encoding="utf-8"?>
<sst xmlns="http://schemas.openxmlformats.org/spreadsheetml/2006/main" count="43" uniqueCount="39">
  <si>
    <t>Funded Status and Zoning for Multiemployer Plans</t>
  </si>
  <si>
    <t>Input Section</t>
  </si>
  <si>
    <t>Unit Credit AL (UCAL)</t>
  </si>
  <si>
    <t>Actuarial Value of Assets (AVA)</t>
  </si>
  <si>
    <t>Years until a fundign deficiency is projected</t>
  </si>
  <si>
    <t>Years until insolvency is projected (ran out of cash)</t>
  </si>
  <si>
    <t>Zoning Determination</t>
  </si>
  <si>
    <t>Funded Percentage (AVA / UCAL)</t>
  </si>
  <si>
    <t>Color Zone</t>
  </si>
  <si>
    <t>Plan Status</t>
  </si>
  <si>
    <t>Action Plan</t>
  </si>
  <si>
    <t>Details</t>
  </si>
  <si>
    <t>Healthy Status - Green</t>
  </si>
  <si>
    <t>The Plan is in Safe Status</t>
  </si>
  <si>
    <t>Endangered Status - Yellow</t>
  </si>
  <si>
    <r>
      <rPr>
        <rFont val="Calibri"/>
        <color rgb="FF222A35"/>
        <sz val="11.0"/>
      </rPr>
      <t xml:space="preserve">The funded percentage is less than 80% funded, </t>
    </r>
    <r>
      <rPr>
        <rFont val="Calibri"/>
        <b/>
        <color rgb="FFFF0000"/>
        <sz val="14.0"/>
      </rPr>
      <t>or</t>
    </r>
  </si>
  <si>
    <t>The plan is projected to experience a funding deficiency within 7 years</t>
  </si>
  <si>
    <t>The Plan is in Endangered Status</t>
  </si>
  <si>
    <t>Seriously Endangered Status - Orange</t>
  </si>
  <si>
    <r>
      <rPr>
        <rFont val="Calibri"/>
        <color rgb="FFC55A11"/>
        <sz val="11.0"/>
      </rPr>
      <t>The funded percentage is less than 80% funded,</t>
    </r>
    <r>
      <rPr>
        <rFont val="Calibri"/>
        <color theme="1"/>
        <sz val="11.0"/>
      </rPr>
      <t xml:space="preserve"> </t>
    </r>
    <r>
      <rPr>
        <rFont val="Calibri"/>
        <b/>
        <color rgb="FFFF0000"/>
        <sz val="14.0"/>
      </rPr>
      <t>and</t>
    </r>
  </si>
  <si>
    <t>The Plan is in Seriously Endangered Status</t>
  </si>
  <si>
    <t>Critical Status - Red</t>
  </si>
  <si>
    <t>Projected to become insolvent within 5 years if funded percentage ≥ 65%, or</t>
  </si>
  <si>
    <t>Projected to become insolvent within 7 years if funded percentage &lt; 65%, or</t>
  </si>
  <si>
    <t>Projected to experience a funding deficiency within 4 years if funded percentage ≥ 65%</t>
  </si>
  <si>
    <t>Projected to experience a funding deficiency within 5 years if funded percentage &lt; 65%</t>
  </si>
  <si>
    <t>The Plan is in Critical Status</t>
  </si>
  <si>
    <t>Color</t>
  </si>
  <si>
    <t>Green</t>
  </si>
  <si>
    <t>Healthy Plan</t>
  </si>
  <si>
    <t>N/A</t>
  </si>
  <si>
    <t>Yellow</t>
  </si>
  <si>
    <t>Endangered Plan</t>
  </si>
  <si>
    <t>Funding-Improvement Plan</t>
  </si>
  <si>
    <t>Orange</t>
  </si>
  <si>
    <t>Seriously Endangered Plan</t>
  </si>
  <si>
    <t>Red</t>
  </si>
  <si>
    <t>Critical Plan</t>
  </si>
  <si>
    <t>Rehabilitation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</si>
</sst>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FFFF00"/>
      <name val="Calibri"/>
    </font>
    <font>
      <b/>
      <sz val="11.0"/>
      <color rgb="FFFFFF00"/>
      <name val="Calibri"/>
    </font>
    <font>
      <sz val="11.0"/>
      <color rgb="FF00B050"/>
      <name val="Calibri"/>
    </font>
    <font>
      <b/>
      <sz val="11.0"/>
      <color rgb="FF222A35"/>
      <name val="Calibri"/>
    </font>
    <font>
      <sz val="11.0"/>
      <color rgb="FF222A35"/>
      <name val="Calibri"/>
    </font>
    <font>
      <b/>
      <sz val="12.0"/>
      <color rgb="FF222A35"/>
      <name val="Calibri"/>
    </font>
    <font>
      <b/>
      <sz val="11.0"/>
      <color rgb="FFC55A11"/>
      <name val="Calibri"/>
    </font>
    <font>
      <sz val="11.0"/>
      <color rgb="FFC55A11"/>
      <name val="Calibri"/>
    </font>
    <font>
      <b/>
      <sz val="12.0"/>
      <color rgb="FFC55A11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sz val="12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66"/>
        <bgColor rgb="FFFFFF66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3" xfId="0" applyBorder="1" applyFill="1" applyFont="1" applyNumberFormat="1"/>
    <xf borderId="0" fillId="0" fontId="4" numFmtId="0" xfId="0" applyAlignment="1" applyFont="1">
      <alignment horizontal="left"/>
    </xf>
    <xf borderId="4" fillId="3" fontId="4" numFmtId="0" xfId="0" applyBorder="1" applyFont="1"/>
    <xf borderId="0" fillId="0" fontId="5" numFmtId="0" xfId="0" applyAlignment="1" applyFont="1">
      <alignment horizontal="left"/>
    </xf>
    <xf borderId="0" fillId="0" fontId="4" numFmtId="10" xfId="0" applyFont="1" applyNumberFormat="1"/>
    <xf borderId="0" fillId="0" fontId="5" numFmtId="0" xfId="0" applyFont="1"/>
    <xf borderId="5" fillId="4" fontId="6" numFmtId="0" xfId="0" applyAlignment="1" applyBorder="1" applyFill="1" applyFont="1">
      <alignment horizontal="right"/>
    </xf>
    <xf borderId="6" fillId="4" fontId="7" numFmtId="0" xfId="0" applyAlignment="1" applyBorder="1" applyFont="1">
      <alignment horizontal="right"/>
    </xf>
    <xf borderId="7" fillId="4" fontId="7" numFmtId="0" xfId="0" applyAlignment="1" applyBorder="1" applyFont="1">
      <alignment horizontal="right"/>
    </xf>
    <xf borderId="8" fillId="4" fontId="7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4" fontId="4" numFmtId="0" xfId="0" applyBorder="1" applyFont="1"/>
    <xf borderId="4" fillId="4" fontId="6" numFmtId="0" xfId="0" applyBorder="1" applyFont="1"/>
    <xf borderId="4" fillId="4" fontId="4" numFmtId="0" xfId="0" applyBorder="1" applyFont="1"/>
    <xf borderId="12" fillId="4" fontId="8" numFmtId="0" xfId="0" applyBorder="1" applyFont="1"/>
    <xf borderId="13" fillId="4" fontId="4" numFmtId="0" xfId="0" applyBorder="1" applyFont="1"/>
    <xf borderId="14" fillId="4" fontId="4" numFmtId="0" xfId="0" applyBorder="1" applyFont="1"/>
    <xf borderId="15" fillId="4" fontId="8" numFmtId="0" xfId="0" applyBorder="1" applyFont="1"/>
    <xf borderId="8" fillId="5" fontId="9" numFmtId="0" xfId="0" applyAlignment="1" applyBorder="1" applyFill="1" applyFont="1">
      <alignment horizontal="center"/>
    </xf>
    <xf borderId="11" fillId="5" fontId="10" numFmtId="0" xfId="0" applyBorder="1" applyFont="1"/>
    <xf borderId="16" fillId="5" fontId="10" numFmtId="0" xfId="0" applyAlignment="1" applyBorder="1" applyFont="1">
      <alignment horizontal="left" readingOrder="0"/>
    </xf>
    <xf borderId="17" fillId="0" fontId="2" numFmtId="0" xfId="0" applyBorder="1" applyFont="1"/>
    <xf borderId="18" fillId="0" fontId="2" numFmtId="0" xfId="0" applyBorder="1" applyFont="1"/>
    <xf borderId="4" fillId="5" fontId="10" numFmtId="0" xfId="0" applyBorder="1" applyFont="1"/>
    <xf borderId="12" fillId="5" fontId="10" numFmtId="0" xfId="0" applyBorder="1" applyFont="1"/>
    <xf borderId="16" fillId="5" fontId="10" numFmtId="0" xfId="0" applyAlignment="1" applyBorder="1" applyFont="1">
      <alignment horizontal="left"/>
    </xf>
    <xf borderId="16" fillId="5" fontId="11" numFmtId="0" xfId="0" applyAlignment="1" applyBorder="1" applyFont="1">
      <alignment horizontal="left"/>
    </xf>
    <xf borderId="4" fillId="5" fontId="11" numFmtId="0" xfId="0" applyBorder="1" applyFont="1"/>
    <xf borderId="11" fillId="5" fontId="4" numFmtId="0" xfId="0" applyBorder="1" applyFont="1"/>
    <xf borderId="4" fillId="5" fontId="4" numFmtId="0" xfId="0" applyBorder="1" applyFont="1"/>
    <xf borderId="12" fillId="5" fontId="4" numFmtId="0" xfId="0" applyBorder="1" applyFont="1"/>
    <xf borderId="8" fillId="6" fontId="12" numFmtId="0" xfId="0" applyAlignment="1" applyBorder="1" applyFill="1" applyFont="1">
      <alignment horizontal="center"/>
    </xf>
    <xf borderId="11" fillId="6" fontId="4" numFmtId="0" xfId="0" applyBorder="1" applyFont="1"/>
    <xf borderId="16" fillId="6" fontId="4" numFmtId="0" xfId="0" applyAlignment="1" applyBorder="1" applyFont="1">
      <alignment horizontal="left"/>
    </xf>
    <xf borderId="4" fillId="6" fontId="13" numFmtId="0" xfId="0" applyBorder="1" applyFont="1"/>
    <xf borderId="12" fillId="6" fontId="4" numFmtId="0" xfId="0" applyBorder="1" applyFont="1"/>
    <xf borderId="16" fillId="6" fontId="13" numFmtId="0" xfId="0" applyAlignment="1" applyBorder="1" applyFont="1">
      <alignment horizontal="left"/>
    </xf>
    <xf borderId="16" fillId="6" fontId="14" numFmtId="0" xfId="0" applyAlignment="1" applyBorder="1" applyFont="1">
      <alignment horizontal="left"/>
    </xf>
    <xf borderId="4" fillId="6" fontId="14" numFmtId="0" xfId="0" applyBorder="1" applyFont="1"/>
    <xf borderId="13" fillId="6" fontId="4" numFmtId="0" xfId="0" applyBorder="1" applyFont="1"/>
    <xf borderId="14" fillId="6" fontId="4" numFmtId="0" xfId="0" applyBorder="1" applyFont="1"/>
    <xf borderId="15" fillId="6" fontId="4" numFmtId="0" xfId="0" applyBorder="1" applyFont="1"/>
    <xf borderId="8" fillId="7" fontId="15" numFmtId="0" xfId="0" applyAlignment="1" applyBorder="1" applyFill="1" applyFont="1">
      <alignment horizontal="center"/>
    </xf>
    <xf borderId="19" fillId="0" fontId="2" numFmtId="0" xfId="0" applyBorder="1" applyFont="1"/>
    <xf borderId="20" fillId="7" fontId="4" numFmtId="0" xfId="0" applyBorder="1" applyFont="1"/>
    <xf borderId="11" fillId="7" fontId="4" numFmtId="0" xfId="0" applyBorder="1" applyFont="1"/>
    <xf borderId="16" fillId="7" fontId="16" numFmtId="0" xfId="0" applyAlignment="1" applyBorder="1" applyFont="1">
      <alignment horizontal="left"/>
    </xf>
    <xf borderId="4" fillId="7" fontId="16" numFmtId="0" xfId="0" applyBorder="1" applyFont="1"/>
    <xf borderId="12" fillId="7" fontId="4" numFmtId="0" xfId="0" applyBorder="1" applyFont="1"/>
    <xf borderId="16" fillId="7" fontId="16" numFmtId="0" xfId="0" applyAlignment="1" applyBorder="1" applyFont="1">
      <alignment horizontal="center"/>
    </xf>
    <xf borderId="4" fillId="7" fontId="17" numFmtId="0" xfId="0" applyBorder="1" applyFont="1"/>
    <xf borderId="4" fillId="7" fontId="15" numFmtId="0" xfId="0" applyBorder="1" applyFont="1"/>
    <xf borderId="13" fillId="7" fontId="4" numFmtId="0" xfId="0" applyBorder="1" applyFont="1"/>
    <xf borderId="14" fillId="7" fontId="4" numFmtId="0" xfId="0" applyBorder="1" applyFont="1"/>
    <xf borderId="15" fillId="7" fontId="4" numFmtId="0" xfId="0" applyBorder="1" applyFont="1"/>
    <xf borderId="5" fillId="8" fontId="5" numFmtId="0" xfId="0" applyBorder="1" applyFill="1" applyFont="1"/>
    <xf borderId="21" fillId="8" fontId="5" numFmtId="0" xfId="0" applyBorder="1" applyFont="1"/>
    <xf borderId="0" fillId="0" fontId="4" numFmtId="0" xfId="0" applyFont="1"/>
    <xf borderId="6" fillId="0" fontId="5" numFmtId="0" xfId="0" applyBorder="1" applyFont="1"/>
    <xf borderId="2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</cellXfs>
  <cellStyles count="1">
    <cellStyle xfId="0" name="Normal" builtinId="0"/>
  </cellStyles>
  <dxfs count="3"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rgb="FF222A35"/>
      </font>
      <fill>
        <patternFill patternType="solid">
          <fgColor rgb="FFFFFF00"/>
          <bgColor rgb="FFFFFF00"/>
        </patternFill>
      </fill>
      <border/>
    </dxf>
    <dxf>
      <font>
        <b/>
        <color rgb="FFC55A11"/>
      </font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.43"/>
    <col customWidth="1" min="3" max="6" width="25.71"/>
    <col customWidth="1" min="7" max="7" width="1.43"/>
    <col customWidth="1" min="8" max="26" width="8.71"/>
  </cols>
  <sheetData>
    <row r="1" ht="7.5" customHeight="1"/>
    <row r="2" ht="18.75" customHeight="1">
      <c r="B2" s="1" t="s">
        <v>0</v>
      </c>
    </row>
    <row r="3" ht="7.5" customHeight="1"/>
    <row r="4" ht="18.75" customHeight="1">
      <c r="B4" s="2" t="s">
        <v>1</v>
      </c>
      <c r="C4" s="3"/>
      <c r="D4" s="3"/>
      <c r="E4" s="3"/>
      <c r="F4" s="3"/>
      <c r="G4" s="4"/>
    </row>
    <row r="5" ht="7.5" customHeight="1"/>
    <row r="6">
      <c r="C6" s="5" t="s">
        <v>2</v>
      </c>
      <c r="F6" s="6">
        <v>1.0E7</v>
      </c>
    </row>
    <row r="7">
      <c r="C7" s="7" t="s">
        <v>3</v>
      </c>
      <c r="F7" s="6">
        <v>7700000.0</v>
      </c>
    </row>
    <row r="8">
      <c r="C8" s="7" t="s">
        <v>4</v>
      </c>
      <c r="F8" s="8">
        <v>10.0</v>
      </c>
    </row>
    <row r="9">
      <c r="C9" s="7" t="s">
        <v>5</v>
      </c>
      <c r="F9" s="8">
        <v>15.0</v>
      </c>
    </row>
    <row r="10" ht="7.5" customHeight="1"/>
    <row r="11" ht="18.75" customHeight="1">
      <c r="B11" s="2" t="s">
        <v>6</v>
      </c>
      <c r="C11" s="3"/>
      <c r="D11" s="3"/>
      <c r="E11" s="3"/>
      <c r="F11" s="3"/>
      <c r="G11" s="4"/>
    </row>
    <row r="12" ht="7.5" customHeight="1"/>
    <row r="13">
      <c r="C13" s="9" t="s">
        <v>7</v>
      </c>
      <c r="F13" s="10">
        <f>F7/F6</f>
        <v>0.77</v>
      </c>
    </row>
    <row r="14" ht="7.5" customHeight="1"/>
    <row r="15">
      <c r="C15" s="11" t="s">
        <v>8</v>
      </c>
      <c r="F15" s="12" t="str">
        <f>UPPER(IF(F38,C45,IF(F31,C44,IF(F26,C43,C42))))</f>
        <v>YELLOW</v>
      </c>
    </row>
    <row r="16">
      <c r="C16" s="11" t="s">
        <v>9</v>
      </c>
      <c r="F16" s="13" t="str">
        <f>IF(F38,D45,IF(F31,D44,IF(F26,D43,D42)))</f>
        <v>Endangered Plan</v>
      </c>
    </row>
    <row r="17">
      <c r="C17" s="11" t="s">
        <v>10</v>
      </c>
      <c r="F17" s="14" t="str">
        <f>IF(F38,E45,IF(F31,E44,IF(F26,E43,E42)))</f>
        <v>Funding-Improvement Plan</v>
      </c>
    </row>
    <row r="18" ht="7.5" customHeight="1"/>
    <row r="19" ht="18.75" customHeight="1">
      <c r="B19" s="2" t="s">
        <v>11</v>
      </c>
      <c r="C19" s="3"/>
      <c r="D19" s="3"/>
      <c r="E19" s="3"/>
      <c r="F19" s="3"/>
      <c r="G19" s="4"/>
    </row>
    <row r="20">
      <c r="B20" s="15" t="s">
        <v>12</v>
      </c>
      <c r="C20" s="16"/>
      <c r="D20" s="16"/>
      <c r="E20" s="16"/>
      <c r="F20" s="16"/>
      <c r="G20" s="17"/>
    </row>
    <row r="21" ht="15.75" customHeight="1">
      <c r="B21" s="18"/>
      <c r="C21" s="19" t="s">
        <v>13</v>
      </c>
      <c r="D21" s="20"/>
      <c r="E21" s="20"/>
      <c r="F21" s="19" t="b">
        <f>NOT(OR(F26, F31, F38))</f>
        <v>0</v>
      </c>
      <c r="G21" s="21"/>
    </row>
    <row r="22" ht="7.5" customHeight="1">
      <c r="B22" s="22"/>
      <c r="C22" s="23"/>
      <c r="D22" s="23"/>
      <c r="E22" s="23"/>
      <c r="F22" s="23"/>
      <c r="G22" s="24"/>
    </row>
    <row r="23" ht="15.75" customHeight="1">
      <c r="B23" s="25" t="s">
        <v>14</v>
      </c>
      <c r="C23" s="16"/>
      <c r="D23" s="16"/>
      <c r="E23" s="16"/>
      <c r="F23" s="16"/>
      <c r="G23" s="17"/>
    </row>
    <row r="24" ht="15.75" customHeight="1">
      <c r="B24" s="26"/>
      <c r="C24" s="27" t="s">
        <v>15</v>
      </c>
      <c r="D24" s="28"/>
      <c r="E24" s="29"/>
      <c r="F24" s="30" t="b">
        <f t="shared" ref="F24:F25" si="1">F29</f>
        <v>1</v>
      </c>
      <c r="G24" s="31"/>
    </row>
    <row r="25" ht="15.75" customHeight="1">
      <c r="B25" s="26"/>
      <c r="C25" s="32" t="s">
        <v>16</v>
      </c>
      <c r="D25" s="28"/>
      <c r="E25" s="29"/>
      <c r="F25" s="30" t="b">
        <f t="shared" si="1"/>
        <v>0</v>
      </c>
      <c r="G25" s="31"/>
    </row>
    <row r="26" ht="15.75" customHeight="1">
      <c r="B26" s="26"/>
      <c r="C26" s="33" t="s">
        <v>17</v>
      </c>
      <c r="D26" s="28"/>
      <c r="E26" s="29"/>
      <c r="F26" s="34" t="b">
        <f>AND(OR(F24:F25),NOT(F31),NOT(F38))</f>
        <v>1</v>
      </c>
      <c r="G26" s="31"/>
    </row>
    <row r="27" ht="7.5" customHeight="1">
      <c r="B27" s="35"/>
      <c r="C27" s="36"/>
      <c r="D27" s="36"/>
      <c r="E27" s="36"/>
      <c r="F27" s="36"/>
      <c r="G27" s="37"/>
    </row>
    <row r="28" ht="15.75" customHeight="1">
      <c r="B28" s="38" t="s">
        <v>18</v>
      </c>
      <c r="C28" s="16"/>
      <c r="D28" s="16"/>
      <c r="E28" s="16"/>
      <c r="F28" s="16"/>
      <c r="G28" s="17"/>
    </row>
    <row r="29" ht="15.75" customHeight="1">
      <c r="B29" s="39"/>
      <c r="C29" s="40" t="s">
        <v>19</v>
      </c>
      <c r="D29" s="28"/>
      <c r="E29" s="29"/>
      <c r="F29" s="41" t="b">
        <f>F13&lt;80%</f>
        <v>1</v>
      </c>
      <c r="G29" s="42"/>
    </row>
    <row r="30" ht="15.75" customHeight="1">
      <c r="B30" s="39"/>
      <c r="C30" s="43" t="s">
        <v>16</v>
      </c>
      <c r="D30" s="28"/>
      <c r="E30" s="29"/>
      <c r="F30" s="41" t="b">
        <f>(F8&lt;=7)</f>
        <v>0</v>
      </c>
      <c r="G30" s="42"/>
    </row>
    <row r="31" ht="15.75" customHeight="1">
      <c r="B31" s="39"/>
      <c r="C31" s="44" t="s">
        <v>20</v>
      </c>
      <c r="D31" s="28"/>
      <c r="E31" s="29"/>
      <c r="F31" s="45" t="b">
        <f>AND(F29:F30,NOT(F38))</f>
        <v>0</v>
      </c>
      <c r="G31" s="42"/>
    </row>
    <row r="32" ht="7.5" customHeight="1">
      <c r="B32" s="46"/>
      <c r="C32" s="47"/>
      <c r="D32" s="47"/>
      <c r="E32" s="47"/>
      <c r="F32" s="47"/>
      <c r="G32" s="48"/>
    </row>
    <row r="33" ht="15.75" customHeight="1">
      <c r="B33" s="49" t="s">
        <v>21</v>
      </c>
      <c r="C33" s="16"/>
      <c r="D33" s="16"/>
      <c r="E33" s="16"/>
      <c r="F33" s="50"/>
      <c r="G33" s="51"/>
    </row>
    <row r="34" ht="15.75" customHeight="1">
      <c r="B34" s="52"/>
      <c r="C34" s="53" t="s">
        <v>22</v>
      </c>
      <c r="D34" s="28"/>
      <c r="E34" s="29"/>
      <c r="F34" s="54" t="b">
        <f>AND(F9&lt;=5,F13&gt;=65%)</f>
        <v>0</v>
      </c>
      <c r="G34" s="55"/>
    </row>
    <row r="35" ht="15.75" customHeight="1">
      <c r="B35" s="52"/>
      <c r="C35" s="53" t="s">
        <v>23</v>
      </c>
      <c r="D35" s="28"/>
      <c r="E35" s="29"/>
      <c r="F35" s="54" t="b">
        <f>AND(F9&lt;=7,F13&lt;65%)</f>
        <v>0</v>
      </c>
      <c r="G35" s="55"/>
    </row>
    <row r="36" ht="15.75" customHeight="1">
      <c r="B36" s="52"/>
      <c r="C36" s="53" t="s">
        <v>24</v>
      </c>
      <c r="D36" s="28"/>
      <c r="E36" s="29"/>
      <c r="F36" s="54" t="b">
        <f>AND(F8&lt;=4,F13&gt;=65%)</f>
        <v>0</v>
      </c>
      <c r="G36" s="55"/>
    </row>
    <row r="37" ht="15.75" customHeight="1">
      <c r="B37" s="52"/>
      <c r="C37" s="56" t="s">
        <v>25</v>
      </c>
      <c r="D37" s="28"/>
      <c r="E37" s="29"/>
      <c r="F37" s="54" t="b">
        <f>AND(F8&lt;=5,F13&lt;65%)</f>
        <v>0</v>
      </c>
      <c r="G37" s="55"/>
    </row>
    <row r="38" ht="15.75" customHeight="1">
      <c r="B38" s="52"/>
      <c r="C38" s="57" t="s">
        <v>26</v>
      </c>
      <c r="D38" s="58"/>
      <c r="E38" s="54"/>
      <c r="F38" s="57" t="b">
        <f>OR(F34:F37)</f>
        <v>0</v>
      </c>
      <c r="G38" s="55"/>
    </row>
    <row r="39" ht="7.5" customHeight="1">
      <c r="B39" s="59"/>
      <c r="C39" s="60"/>
      <c r="D39" s="60"/>
      <c r="E39" s="60"/>
      <c r="F39" s="60"/>
      <c r="G39" s="61"/>
    </row>
    <row r="40" ht="7.5" customHeight="1"/>
    <row r="41" ht="15.75" customHeight="1">
      <c r="C41" s="62" t="s">
        <v>27</v>
      </c>
      <c r="D41" s="63" t="s">
        <v>9</v>
      </c>
      <c r="E41" s="62" t="s">
        <v>10</v>
      </c>
      <c r="F41" s="64"/>
    </row>
    <row r="42" ht="15.75" customHeight="1">
      <c r="C42" s="65" t="s">
        <v>28</v>
      </c>
      <c r="D42" s="66" t="s">
        <v>29</v>
      </c>
      <c r="E42" s="65" t="s">
        <v>30</v>
      </c>
      <c r="F42" s="64"/>
    </row>
    <row r="43" ht="15.75" customHeight="1">
      <c r="C43" s="67" t="s">
        <v>31</v>
      </c>
      <c r="D43" s="11" t="s">
        <v>32</v>
      </c>
      <c r="E43" s="67" t="s">
        <v>33</v>
      </c>
      <c r="F43" s="64"/>
    </row>
    <row r="44" ht="15.75" customHeight="1">
      <c r="C44" s="65" t="s">
        <v>34</v>
      </c>
      <c r="D44" s="66" t="s">
        <v>35</v>
      </c>
      <c r="E44" s="65" t="s">
        <v>33</v>
      </c>
      <c r="F44" s="64"/>
    </row>
    <row r="45" ht="15.75" customHeight="1">
      <c r="C45" s="68" t="s">
        <v>36</v>
      </c>
      <c r="D45" s="69" t="s">
        <v>37</v>
      </c>
      <c r="E45" s="68" t="s">
        <v>38</v>
      </c>
      <c r="F45" s="6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F2"/>
    <mergeCell ref="B4:G4"/>
    <mergeCell ref="C7:D7"/>
    <mergeCell ref="C8:D8"/>
    <mergeCell ref="C9:D9"/>
    <mergeCell ref="B11:G11"/>
    <mergeCell ref="C13:D13"/>
    <mergeCell ref="C29:E29"/>
    <mergeCell ref="C30:E30"/>
    <mergeCell ref="C31:E31"/>
    <mergeCell ref="B33:F33"/>
    <mergeCell ref="C34:E34"/>
    <mergeCell ref="C35:E35"/>
    <mergeCell ref="C36:E36"/>
    <mergeCell ref="C37:E37"/>
    <mergeCell ref="B19:G19"/>
    <mergeCell ref="B20:G20"/>
    <mergeCell ref="B23:G23"/>
    <mergeCell ref="C24:E24"/>
    <mergeCell ref="C25:E25"/>
    <mergeCell ref="C26:E26"/>
    <mergeCell ref="B28:G28"/>
  </mergeCells>
  <conditionalFormatting sqref="F15:F17">
    <cfRule type="expression" dxfId="0" priority="1">
      <formula>$F$15=$C$45</formula>
    </cfRule>
  </conditionalFormatting>
  <conditionalFormatting sqref="F15:F17">
    <cfRule type="expression" dxfId="1" priority="2">
      <formula>$F$15=$C$43</formula>
    </cfRule>
  </conditionalFormatting>
  <conditionalFormatting sqref="F15:F17">
    <cfRule type="expression" dxfId="2" priority="3">
      <formula>$F$15=$C$44</formula>
    </cfRule>
  </conditionalFormatting>
  <printOptions/>
  <pageMargins bottom="0.75" footer="0.0" header="0.0" left="0.7" right="0.7" top="0.75"/>
  <pageSetup orientation="portrait"/>
  <headerFooter>
    <oddFooter>&amp;L&amp;F &amp;A&amp;C&amp;P of &amp;R&amp;D &amp;T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2020-08-31T16:27:53Z</dcterms:created>
  <dc:creator>Sean G</dc:creator>
</cp:coreProperties>
</file>