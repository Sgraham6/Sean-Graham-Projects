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2\"/>
    </mc:Choice>
  </mc:AlternateContent>
  <xr:revisionPtr revIDLastSave="0" documentId="13_ncr:1_{365A470B-B881-427F-9CB3-29F2ED4D0662}" xr6:coauthVersionLast="45" xr6:coauthVersionMax="45" xr10:uidLastSave="{00000000-0000-0000-0000-000000000000}"/>
  <bookViews>
    <workbookView xWindow="810" yWindow="-120" windowWidth="19800" windowHeight="11760" xr2:uid="{8F5AE7A0-BB39-458D-85D7-A7294F95FEFE}"/>
  </bookViews>
  <sheets>
    <sheet name="Retirement Benef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9" i="1" l="1"/>
  <c r="B11" i="1" s="1"/>
  <c r="C15" i="1" l="1"/>
  <c r="C18" i="1" l="1"/>
  <c r="E14" i="1"/>
  <c r="G17" i="1"/>
  <c r="D14" i="1"/>
  <c r="G20" i="1"/>
  <c r="F19" i="1"/>
  <c r="E19" i="1"/>
  <c r="D16" i="1"/>
  <c r="E16" i="1"/>
  <c r="C16" i="1"/>
  <c r="D19" i="1"/>
  <c r="F17" i="1"/>
  <c r="F20" i="1"/>
  <c r="E17" i="1"/>
  <c r="G15" i="1"/>
  <c r="F15" i="1"/>
  <c r="C19" i="1"/>
  <c r="E20" i="1"/>
  <c r="G18" i="1"/>
  <c r="D17" i="1"/>
  <c r="C14" i="1"/>
  <c r="D20" i="1"/>
  <c r="F18" i="1"/>
  <c r="C17" i="1"/>
  <c r="E15" i="1"/>
  <c r="G14" i="1"/>
  <c r="C20" i="1"/>
  <c r="E18" i="1"/>
  <c r="G16" i="1"/>
  <c r="D15" i="1"/>
  <c r="F14" i="1"/>
  <c r="G19" i="1"/>
  <c r="D18" i="1"/>
  <c r="F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G</author>
  </authors>
  <commentList>
    <comment ref="G4" authorId="0" shapeId="0" xr:uid="{8F42E31B-93A9-471B-8E1E-62FF8E848EFF}">
      <text>
        <r>
          <rPr>
            <b/>
            <sz val="9"/>
            <color indexed="81"/>
            <rFont val="Tahoma"/>
            <charset val="1"/>
          </rPr>
          <t>Salary:</t>
        </r>
        <r>
          <rPr>
            <sz val="9"/>
            <color indexed="81"/>
            <rFont val="Tahoma"/>
            <charset val="1"/>
          </rPr>
          <t xml:space="preserve">
Amount received each year</t>
        </r>
      </text>
    </comment>
    <comment ref="G5" authorId="0" shapeId="0" xr:uid="{4FD8601B-5D37-4364-A2DD-A8D83EF20A08}">
      <text>
        <r>
          <rPr>
            <b/>
            <sz val="9"/>
            <color indexed="81"/>
            <rFont val="Tahoma"/>
            <charset val="1"/>
          </rPr>
          <t>Percentage for Each Year of Service:</t>
        </r>
        <r>
          <rPr>
            <sz val="9"/>
            <color indexed="81"/>
            <rFont val="Tahoma"/>
            <charset val="1"/>
          </rPr>
          <t xml:space="preserve">
Accrues starting from the date of participation in the plan</t>
        </r>
      </text>
    </comment>
    <comment ref="G6" authorId="0" shapeId="0" xr:uid="{828A7D17-5130-4077-A2EA-ECADFCD4DB22}">
      <text>
        <r>
          <rPr>
            <b/>
            <sz val="9"/>
            <color indexed="81"/>
            <rFont val="Tahoma"/>
            <charset val="1"/>
          </rPr>
          <t>Early Retirement Reduction Percentage:</t>
        </r>
        <r>
          <rPr>
            <sz val="9"/>
            <color indexed="81"/>
            <rFont val="Tahoma"/>
            <charset val="1"/>
          </rPr>
          <t xml:space="preserve">
Reduction for each year the the retirement precedes age 65</t>
        </r>
      </text>
    </comment>
  </commentList>
</comments>
</file>

<file path=xl/sharedStrings.xml><?xml version="1.0" encoding="utf-8"?>
<sst xmlns="http://schemas.openxmlformats.org/spreadsheetml/2006/main" count="9" uniqueCount="8">
  <si>
    <t>Input Information</t>
  </si>
  <si>
    <t>Average Salary</t>
  </si>
  <si>
    <t>Percentage for each year of service</t>
  </si>
  <si>
    <t>Early retirement reduction percentage</t>
  </si>
  <si>
    <t>Years of
Service</t>
  </si>
  <si>
    <t>Rule</t>
  </si>
  <si>
    <t>Retirement Age*</t>
  </si>
  <si>
    <t>* The maxiumum retirement age can be entered is age 65, which is the normal retirement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</si>
</sst>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2" xfId="0" applyFont="1" applyBorder="1"/>
    <xf numFmtId="0" fontId="0" fillId="0" borderId="3" xfId="0" applyBorder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3" fontId="1" fillId="3" borderId="7" xfId="0" applyNumberFormat="1" applyFont="1" applyFill="1" applyBorder="1"/>
    <xf numFmtId="0" fontId="0" fillId="0" borderId="0" xfId="0" applyBorder="1"/>
    <xf numFmtId="10" fontId="1" fillId="3" borderId="9" xfId="0" applyNumberFormat="1" applyFont="1" applyFill="1" applyBorder="1"/>
    <xf numFmtId="0" fontId="0" fillId="0" borderId="11" xfId="0" applyBorder="1"/>
    <xf numFmtId="10" fontId="1" fillId="3" borderId="12" xfId="0" applyNumberFormat="1" applyFont="1" applyFill="1" applyBorder="1"/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0" borderId="16" xfId="0" applyFont="1" applyBorder="1"/>
    <xf numFmtId="0" fontId="1" fillId="0" borderId="1" xfId="0" applyFont="1" applyBorder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rgb="FFFF0000"/>
      </font>
      <fill>
        <patternFill>
          <bgColor theme="0" tint="-0.14996795556505021"/>
        </patternFill>
      </fill>
    </dxf>
    <dxf>
      <font>
        <b/>
        <i val="0"/>
        <color rgb="FF0070C0"/>
      </font>
      <fill>
        <patternFill>
          <bgColor rgb="FFFFFF66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32BB-88FA-452F-A224-0DCEF67C3B3A}">
  <dimension ref="B2:G22"/>
  <sheetViews>
    <sheetView tabSelected="1" workbookViewId="0">
      <selection activeCell="C14" sqref="C14"/>
    </sheetView>
  </sheetViews>
  <sheetFormatPr defaultRowHeight="15" x14ac:dyDescent="0.25"/>
  <cols>
    <col min="1" max="1" width="2.140625" customWidth="1"/>
    <col min="2" max="2" width="17.140625" customWidth="1"/>
    <col min="3" max="6" width="11.42578125" customWidth="1"/>
    <col min="7" max="7" width="12.85546875" customWidth="1"/>
  </cols>
  <sheetData>
    <row r="2" spans="2:7" ht="15.75" thickBot="1" x14ac:dyDescent="0.3"/>
    <row r="3" spans="2:7" ht="19.5" thickBot="1" x14ac:dyDescent="0.35">
      <c r="B3" s="20" t="s">
        <v>0</v>
      </c>
      <c r="C3" s="21"/>
      <c r="D3" s="21"/>
      <c r="E3" s="21"/>
      <c r="F3" s="21"/>
      <c r="G3" s="22"/>
    </row>
    <row r="4" spans="2:7" x14ac:dyDescent="0.25">
      <c r="B4" s="3" t="s">
        <v>1</v>
      </c>
      <c r="C4" s="4"/>
      <c r="D4" s="4"/>
      <c r="E4" s="5"/>
      <c r="F4" s="5"/>
      <c r="G4" s="6">
        <v>60000</v>
      </c>
    </row>
    <row r="5" spans="2:7" x14ac:dyDescent="0.25">
      <c r="B5" s="23" t="s">
        <v>2</v>
      </c>
      <c r="C5" s="24"/>
      <c r="D5" s="24"/>
      <c r="E5" s="7"/>
      <c r="F5" s="7"/>
      <c r="G5" s="8">
        <v>0.03</v>
      </c>
    </row>
    <row r="6" spans="2:7" ht="15.75" thickBot="1" x14ac:dyDescent="0.3">
      <c r="B6" s="25" t="s">
        <v>3</v>
      </c>
      <c r="C6" s="26"/>
      <c r="D6" s="26"/>
      <c r="E6" s="9"/>
      <c r="F6" s="9"/>
      <c r="G6" s="10">
        <v>0.04</v>
      </c>
    </row>
    <row r="7" spans="2:7" ht="15.75" thickBot="1" x14ac:dyDescent="0.3">
      <c r="B7" s="1" t="s">
        <v>5</v>
      </c>
      <c r="C7" s="2"/>
      <c r="D7" s="2"/>
      <c r="E7" s="2"/>
      <c r="F7" s="2"/>
      <c r="G7" s="17"/>
    </row>
    <row r="8" spans="2:7" ht="5.25" customHeight="1" x14ac:dyDescent="0.25"/>
    <row r="9" spans="2:7" ht="17.25" hidden="1" x14ac:dyDescent="0.25">
      <c r="B9" t="s">
        <v>5</v>
      </c>
      <c r="G9">
        <f>IF(ISBLANK(G7), 85, G7)</f>
        <v>85</v>
      </c>
    </row>
    <row r="10" spans="2:7" ht="8.25" customHeight="1" thickBot="1" x14ac:dyDescent="0.3"/>
    <row r="11" spans="2:7" ht="19.5" thickBot="1" x14ac:dyDescent="0.35">
      <c r="B11" s="27" t="str">
        <f>CONCATENATE("Retirement benefits with ", """", "Rule ", G9, """")</f>
        <v>Retirement benefits with "Rule 85"</v>
      </c>
      <c r="C11" s="28"/>
      <c r="D11" s="28"/>
      <c r="E11" s="28"/>
      <c r="F11" s="28"/>
      <c r="G11" s="29"/>
    </row>
    <row r="12" spans="2:7" ht="15" customHeight="1" thickBot="1" x14ac:dyDescent="0.3">
      <c r="B12" s="30" t="s">
        <v>4</v>
      </c>
      <c r="C12" s="32" t="s">
        <v>6</v>
      </c>
      <c r="D12" s="33"/>
      <c r="E12" s="33"/>
      <c r="F12" s="33"/>
      <c r="G12" s="34"/>
    </row>
    <row r="13" spans="2:7" ht="15.75" thickBot="1" x14ac:dyDescent="0.3">
      <c r="B13" s="31"/>
      <c r="C13" s="11">
        <v>65</v>
      </c>
      <c r="D13" s="12">
        <v>62</v>
      </c>
      <c r="E13" s="13">
        <v>60</v>
      </c>
      <c r="F13" s="12">
        <v>58</v>
      </c>
      <c r="G13" s="14">
        <v>55</v>
      </c>
    </row>
    <row r="14" spans="2:7" ht="15.75" thickBot="1" x14ac:dyDescent="0.3">
      <c r="B14" s="12">
        <v>5</v>
      </c>
      <c r="C14" s="16">
        <f>IF(C$13+$B14&gt;=$G$9, $G$4*$G$5*$B14, $G$4*$G$5*$B14*(1-$G$6*(65-C$13)))</f>
        <v>9000</v>
      </c>
      <c r="D14" s="16">
        <f t="shared" ref="D14:G20" si="0">IF(D$13+$B14&gt;=$G$9, $G$4*$G$5*$B14, $G$4*$G$5*$B14*(1-$G$6*(65-D$13)))</f>
        <v>7920</v>
      </c>
      <c r="E14" s="16">
        <f t="shared" si="0"/>
        <v>7200</v>
      </c>
      <c r="F14" s="16">
        <f t="shared" si="0"/>
        <v>6480</v>
      </c>
      <c r="G14" s="16">
        <f t="shared" si="0"/>
        <v>5400</v>
      </c>
    </row>
    <row r="15" spans="2:7" ht="15.75" thickBot="1" x14ac:dyDescent="0.3">
      <c r="B15" s="15">
        <v>10</v>
      </c>
      <c r="C15" s="16">
        <f t="shared" ref="C15:C20" si="1">IF(C$13+$B15&gt;=$G$9, $G$4*$G$5*$B15, $G$4*$G$5*$B15*(1-$G$6*(65-C$13)))</f>
        <v>18000</v>
      </c>
      <c r="D15" s="16">
        <f t="shared" si="0"/>
        <v>15840</v>
      </c>
      <c r="E15" s="16">
        <f t="shared" si="0"/>
        <v>14400</v>
      </c>
      <c r="F15" s="16">
        <f t="shared" si="0"/>
        <v>12960</v>
      </c>
      <c r="G15" s="16">
        <f t="shared" si="0"/>
        <v>10800</v>
      </c>
    </row>
    <row r="16" spans="2:7" ht="15.75" thickBot="1" x14ac:dyDescent="0.3">
      <c r="B16" s="12">
        <v>20</v>
      </c>
      <c r="C16" s="16">
        <f t="shared" si="1"/>
        <v>36000</v>
      </c>
      <c r="D16" s="16">
        <f t="shared" si="0"/>
        <v>31680</v>
      </c>
      <c r="E16" s="16">
        <f t="shared" si="0"/>
        <v>28800</v>
      </c>
      <c r="F16" s="16">
        <f t="shared" si="0"/>
        <v>25920</v>
      </c>
      <c r="G16" s="16">
        <f t="shared" si="0"/>
        <v>21600</v>
      </c>
    </row>
    <row r="17" spans="2:7" ht="15.75" thickBot="1" x14ac:dyDescent="0.3">
      <c r="B17" s="15">
        <v>25</v>
      </c>
      <c r="C17" s="16">
        <f t="shared" si="1"/>
        <v>45000</v>
      </c>
      <c r="D17" s="16">
        <f t="shared" si="0"/>
        <v>45000</v>
      </c>
      <c r="E17" s="16">
        <f t="shared" si="0"/>
        <v>45000</v>
      </c>
      <c r="F17" s="16">
        <f t="shared" si="0"/>
        <v>32400</v>
      </c>
      <c r="G17" s="16">
        <f t="shared" si="0"/>
        <v>27000</v>
      </c>
    </row>
    <row r="18" spans="2:7" ht="15.75" thickBot="1" x14ac:dyDescent="0.3">
      <c r="B18" s="12">
        <v>30</v>
      </c>
      <c r="C18" s="16">
        <f t="shared" si="1"/>
        <v>54000</v>
      </c>
      <c r="D18" s="16">
        <f t="shared" si="0"/>
        <v>54000</v>
      </c>
      <c r="E18" s="16">
        <f t="shared" si="0"/>
        <v>54000</v>
      </c>
      <c r="F18" s="16">
        <f t="shared" si="0"/>
        <v>54000</v>
      </c>
      <c r="G18" s="16">
        <f t="shared" si="0"/>
        <v>54000</v>
      </c>
    </row>
    <row r="19" spans="2:7" ht="15.75" thickBot="1" x14ac:dyDescent="0.3">
      <c r="B19" s="15">
        <v>35</v>
      </c>
      <c r="C19" s="16">
        <f t="shared" si="1"/>
        <v>63000</v>
      </c>
      <c r="D19" s="16">
        <f t="shared" si="0"/>
        <v>63000</v>
      </c>
      <c r="E19" s="16">
        <f t="shared" si="0"/>
        <v>63000</v>
      </c>
      <c r="F19" s="16">
        <f t="shared" si="0"/>
        <v>63000</v>
      </c>
      <c r="G19" s="16">
        <f t="shared" si="0"/>
        <v>63000</v>
      </c>
    </row>
    <row r="20" spans="2:7" ht="15.75" thickBot="1" x14ac:dyDescent="0.3">
      <c r="B20" s="12">
        <v>40</v>
      </c>
      <c r="C20" s="16">
        <f t="shared" si="1"/>
        <v>72000</v>
      </c>
      <c r="D20" s="16">
        <f t="shared" si="0"/>
        <v>72000</v>
      </c>
      <c r="E20" s="16">
        <f t="shared" si="0"/>
        <v>72000</v>
      </c>
      <c r="F20" s="16">
        <f t="shared" si="0"/>
        <v>72000</v>
      </c>
      <c r="G20" s="16">
        <f t="shared" si="0"/>
        <v>72000</v>
      </c>
    </row>
    <row r="22" spans="2:7" x14ac:dyDescent="0.25">
      <c r="B22" s="18" t="s">
        <v>7</v>
      </c>
      <c r="C22" s="19"/>
      <c r="D22" s="19"/>
      <c r="E22" s="19"/>
      <c r="F22" s="19"/>
      <c r="G22" s="19"/>
    </row>
  </sheetData>
  <mergeCells count="7">
    <mergeCell ref="B22:G22"/>
    <mergeCell ref="B3:G3"/>
    <mergeCell ref="B5:D5"/>
    <mergeCell ref="B6:D6"/>
    <mergeCell ref="B11:G11"/>
    <mergeCell ref="B12:B13"/>
    <mergeCell ref="C12:G12"/>
  </mergeCells>
  <conditionalFormatting sqref="C14:G20">
    <cfRule type="expression" dxfId="1" priority="2">
      <formula>AND(C14/$G$4&gt;50%,C14/$G$4&lt;100%)</formula>
    </cfRule>
    <cfRule type="expression" dxfId="0" priority="1">
      <formula>C14/$G$4&gt;=100%</formula>
    </cfRule>
  </conditionalFormatting>
  <dataValidations count="1">
    <dataValidation type="whole" allowBlank="1" showInputMessage="1" showErrorMessage="1" error="It should be a whole number between 65 and 100." promptTitle="The Rule" prompt="It should be a whole number between 65 and 100. The default is 85." sqref="G7" xr:uid="{967D633C-A1CA-49D7-8A22-558E834B7B49}">
      <formula1>65</formula1>
      <formula2>100</formula2>
    </dataValidation>
  </dataValidations>
  <pageMargins left="0.7" right="0.7" top="0.75" bottom="0.75" header="0.3" footer="0.3"/>
  <pageSetup orientation="portrait" horizontalDpi="300" verticalDpi="300" r:id="rId1"/>
  <headerFooter>
    <oddFooter>&amp;L&amp;F
&amp;A&amp;C&amp;P of &amp;N&amp;R&amp;D
&amp;T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Retirement Benefits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2020-09-02T00:59:27Z</cp:lastPrinted>
  <dcterms:created xsi:type="dcterms:W3CDTF">2020-09-01T15:57:08Z</dcterms:created>
  <dcterms:modified xsi:type="dcterms:W3CDTF">2020-09-02T01:03:37Z</dcterms:modified>
</cp:coreProperties>
</file>