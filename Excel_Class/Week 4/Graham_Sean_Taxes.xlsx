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4\"/>
    </mc:Choice>
  </mc:AlternateContent>
  <xr:revisionPtr revIDLastSave="0" documentId="8_{D050068B-D48E-4C0A-A2B7-1B1C05C1A699}" xr6:coauthVersionLast="45" xr6:coauthVersionMax="45" xr10:uidLastSave="{00000000-0000-0000-0000-000000000000}"/>
  <bookViews>
    <workbookView xWindow="810" yWindow="-120" windowWidth="19800" windowHeight="11760" xr2:uid="{CFD40BC1-1428-430E-8196-4565535DE676}"/>
  </bookViews>
  <sheets>
    <sheet name="Tax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7" i="1" l="1" a="1"/>
  <c r="I7" i="1" s="1"/>
  <c r="F15" i="1" l="1"/>
  <c r="F16" i="1"/>
  <c r="F17" i="1"/>
  <c r="F18" i="1"/>
  <c r="F19" i="1"/>
  <c r="F14" i="1"/>
  <c r="D15" i="1"/>
  <c r="D16" i="1"/>
  <c r="D17" i="1"/>
  <c r="D18" i="1"/>
  <c r="D19" i="1"/>
  <c r="D14" i="1"/>
  <c r="F27" i="1" l="1"/>
  <c r="F28" i="1"/>
  <c r="F29" i="1"/>
  <c r="F30" i="1"/>
  <c r="F31" i="1"/>
  <c r="F32" i="1"/>
  <c r="F26" i="1"/>
  <c r="J28" i="1"/>
  <c r="J24" i="1"/>
  <c r="J25" i="1" s="1"/>
  <c r="J15" i="1"/>
  <c r="J16" i="1"/>
  <c r="J17" i="1"/>
  <c r="J18" i="1"/>
  <c r="J19" i="1"/>
  <c r="J14" i="1"/>
  <c r="H15" i="1"/>
  <c r="H16" i="1"/>
  <c r="H17" i="1"/>
  <c r="H18" i="1"/>
  <c r="H19" i="1"/>
  <c r="H14" i="1"/>
  <c r="D32" i="1" l="1" a="1"/>
  <c r="D32" i="1" s="1"/>
  <c r="D28" i="1" a="1"/>
  <c r="D28" i="1" s="1"/>
  <c r="D29" i="1" a="1"/>
  <c r="D29" i="1" s="1"/>
  <c r="D30" i="1" a="1"/>
  <c r="D30" i="1" s="1"/>
  <c r="D31" i="1" a="1"/>
  <c r="D31" i="1" s="1"/>
  <c r="D26" i="1" a="1"/>
  <c r="D26" i="1" s="1"/>
  <c r="D27" i="1" a="1"/>
  <c r="D27" i="1" s="1"/>
  <c r="J29" i="1" l="1"/>
  <c r="J8" i="1" s="1" a="1"/>
  <c r="J8" i="1" s="1"/>
  <c r="E27" i="1"/>
  <c r="E28" i="1" s="1"/>
  <c r="E29" i="1" s="1"/>
  <c r="E30" i="1" s="1"/>
  <c r="E31" i="1" s="1"/>
  <c r="E32" i="1" s="1"/>
  <c r="I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<sst xmlns="http://schemas.openxmlformats.org/spreadsheetml/2006/main" count="38" uniqueCount="24">
  <si>
    <t>Input Information</t>
  </si>
  <si>
    <t>Taxable Income on Line 43 of Form 1040</t>
  </si>
  <si>
    <t>Filing Status</t>
  </si>
  <si>
    <t>Output Results</t>
  </si>
  <si>
    <t>Federal Tax on Line 44 of Form 1040</t>
  </si>
  <si>
    <r>
      <t>Marginal tax rate (</t>
    </r>
    <r>
      <rPr>
        <sz val="10"/>
        <color rgb="FFFFC000"/>
        <rFont val="Calibri"/>
        <family val="2"/>
        <scheme val="minor"/>
      </rPr>
      <t>the last applicable tax rate applied</t>
    </r>
    <r>
      <rPr>
        <sz val="11"/>
        <color theme="1"/>
        <rFont val="Calibri"/>
        <family val="2"/>
        <scheme val="minor"/>
      </rPr>
      <t>)</t>
    </r>
  </si>
  <si>
    <r>
      <t>Effective tax rate (</t>
    </r>
    <r>
      <rPr>
        <sz val="10"/>
        <color rgb="FFFFC000"/>
        <rFont val="Calibri"/>
        <family val="2"/>
        <scheme val="minor"/>
      </rPr>
      <t>=(Federal Tax) / (Taxable Income)</t>
    </r>
    <r>
      <rPr>
        <sz val="11"/>
        <color theme="1"/>
        <rFont val="Calibri"/>
        <family val="2"/>
        <scheme val="minor"/>
      </rPr>
      <t>)</t>
    </r>
  </si>
  <si>
    <t>Tax Rate Table for the Current Year*</t>
  </si>
  <si>
    <t>Tax Rate</t>
  </si>
  <si>
    <t>Single Filers</t>
  </si>
  <si>
    <t>Married Joint Filers</t>
  </si>
  <si>
    <t>Married Separate Filers</t>
  </si>
  <si>
    <t>Head of Household Filers</t>
  </si>
  <si>
    <t>Lower Bound</t>
  </si>
  <si>
    <t>Upper Bound</t>
  </si>
  <si>
    <t>Breakpoint (lower Bound)</t>
  </si>
  <si>
    <t>Accum Taxes</t>
  </si>
  <si>
    <t>Type of Fliers:</t>
  </si>
  <si>
    <t>Index code:</t>
  </si>
  <si>
    <t>Taxable Income:</t>
  </si>
  <si>
    <t>Drop List</t>
  </si>
  <si>
    <t>* The above rates are for the tax year 2020. It should be updated to the current year if the current year is after 2020</t>
  </si>
  <si>
    <t>Intermediate Calculation Details that can be hidden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</si>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</sst>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FFC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9966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1" fillId="0" borderId="0"/>
  </cellStyleXfs>
  <cellXfs count="62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8" fillId="0" borderId="17" xfId="2" applyFont="1" applyBorder="1" applyAlignment="1">
      <alignment horizontal="center"/>
    </xf>
    <xf numFmtId="0" fontId="8" fillId="0" borderId="26" xfId="2" applyFont="1" applyBorder="1" applyAlignment="1">
      <alignment horizontal="center"/>
    </xf>
    <xf numFmtId="165" fontId="7" fillId="4" borderId="13" xfId="2" applyNumberFormat="1" applyFill="1" applyBorder="1" applyAlignment="1">
      <alignment horizontal="center"/>
    </xf>
    <xf numFmtId="164" fontId="7" fillId="4" borderId="12" xfId="4" applyNumberFormat="1" applyFont="1" applyFill="1" applyBorder="1" applyAlignment="1">
      <alignment horizontal="center"/>
    </xf>
    <xf numFmtId="164" fontId="7" fillId="4" borderId="14" xfId="4" applyNumberFormat="1" applyFont="1" applyFill="1" applyBorder="1" applyAlignment="1">
      <alignment horizontal="center"/>
    </xf>
    <xf numFmtId="165" fontId="7" fillId="4" borderId="15" xfId="2" applyNumberFormat="1" applyFill="1" applyBorder="1" applyAlignment="1">
      <alignment horizontal="center"/>
    </xf>
    <xf numFmtId="164" fontId="7" fillId="4" borderId="27" xfId="4" applyNumberFormat="1" applyFont="1" applyFill="1" applyBorder="1" applyAlignment="1">
      <alignment horizontal="center"/>
    </xf>
    <xf numFmtId="164" fontId="7" fillId="4" borderId="16" xfId="4" applyNumberFormat="1" applyFont="1" applyFill="1" applyBorder="1" applyAlignment="1">
      <alignment horizontal="center"/>
    </xf>
    <xf numFmtId="0" fontId="2" fillId="0" borderId="0" xfId="0" applyFont="1" applyBorder="1"/>
    <xf numFmtId="3" fontId="2" fillId="3" borderId="5" xfId="0" applyNumberFormat="1" applyFont="1" applyFill="1" applyBorder="1"/>
    <xf numFmtId="0" fontId="0" fillId="0" borderId="10" xfId="0" applyBorder="1" applyAlignment="1"/>
    <xf numFmtId="0" fontId="0" fillId="0" borderId="11" xfId="0" applyFill="1" applyBorder="1" applyAlignment="1">
      <alignment horizontal="right"/>
    </xf>
    <xf numFmtId="0" fontId="0" fillId="0" borderId="5" xfId="0" applyFill="1" applyBorder="1"/>
    <xf numFmtId="3" fontId="0" fillId="0" borderId="5" xfId="0" applyNumberFormat="1" applyFill="1" applyBorder="1"/>
    <xf numFmtId="41" fontId="0" fillId="0" borderId="0" xfId="0" applyNumberFormat="1" applyFill="1" applyBorder="1"/>
    <xf numFmtId="41" fontId="0" fillId="0" borderId="7" xfId="0" applyNumberFormat="1" applyFill="1" applyBorder="1"/>
    <xf numFmtId="43" fontId="0" fillId="0" borderId="0" xfId="0" applyNumberFormat="1" applyFill="1" applyBorder="1"/>
    <xf numFmtId="165" fontId="0" fillId="0" borderId="0" xfId="0" applyNumberFormat="1" applyFill="1" applyBorder="1" applyAlignment="1">
      <alignment horizontal="center"/>
    </xf>
    <xf numFmtId="165" fontId="0" fillId="0" borderId="7" xfId="0" applyNumberFormat="1" applyFill="1" applyBorder="1" applyAlignment="1">
      <alignment horizontal="center"/>
    </xf>
    <xf numFmtId="165" fontId="2" fillId="0" borderId="5" xfId="0" applyNumberFormat="1" applyFont="1" applyFill="1" applyBorder="1" applyAlignment="1"/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64" fontId="2" fillId="0" borderId="10" xfId="0" applyNumberFormat="1" applyFont="1" applyFill="1" applyBorder="1" applyAlignment="1">
      <alignment horizontal="right"/>
    </xf>
    <xf numFmtId="164" fontId="2" fillId="0" borderId="11" xfId="0" applyNumberFormat="1" applyFont="1" applyFill="1" applyBorder="1" applyAlignment="1">
      <alignment horizontal="right"/>
    </xf>
    <xf numFmtId="165" fontId="2" fillId="0" borderId="7" xfId="1" applyNumberFormat="1" applyFont="1" applyFill="1" applyBorder="1" applyAlignment="1">
      <alignment horizontal="right"/>
    </xf>
    <xf numFmtId="165" fontId="2" fillId="0" borderId="8" xfId="1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3" borderId="7" xfId="0" applyFont="1" applyFill="1" applyBorder="1" applyAlignment="1">
      <alignment horizontal="right"/>
    </xf>
    <xf numFmtId="0" fontId="2" fillId="3" borderId="8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9" fontId="7" fillId="0" borderId="6" xfId="2" applyNumberFormat="1" applyFont="1" applyBorder="1" applyAlignment="1">
      <alignment horizontal="center"/>
    </xf>
    <xf numFmtId="9" fontId="7" fillId="0" borderId="7" xfId="2" applyNumberFormat="1" applyFont="1" applyBorder="1" applyAlignment="1">
      <alignment horizontal="center"/>
    </xf>
    <xf numFmtId="9" fontId="7" fillId="0" borderId="8" xfId="2" applyNumberFormat="1" applyFont="1" applyBorder="1" applyAlignment="1">
      <alignment horizontal="center"/>
    </xf>
    <xf numFmtId="0" fontId="10" fillId="5" borderId="19" xfId="2" applyFont="1" applyFill="1" applyBorder="1" applyAlignment="1">
      <alignment horizontal="center"/>
    </xf>
    <xf numFmtId="0" fontId="10" fillId="5" borderId="18" xfId="2" applyFont="1" applyFill="1" applyBorder="1" applyAlignment="1">
      <alignment horizontal="center"/>
    </xf>
    <xf numFmtId="0" fontId="10" fillId="5" borderId="20" xfId="2" applyFont="1" applyFill="1" applyBorder="1" applyAlignment="1">
      <alignment horizontal="center"/>
    </xf>
    <xf numFmtId="0" fontId="8" fillId="0" borderId="21" xfId="2" applyFont="1" applyBorder="1" applyAlignment="1">
      <alignment horizontal="center"/>
    </xf>
    <xf numFmtId="0" fontId="8" fillId="0" borderId="25" xfId="2" applyFont="1" applyBorder="1" applyAlignment="1">
      <alignment horizontal="center"/>
    </xf>
    <xf numFmtId="0" fontId="8" fillId="2" borderId="22" xfId="2" applyFont="1" applyFill="1" applyBorder="1" applyAlignment="1">
      <alignment horizontal="center"/>
    </xf>
    <xf numFmtId="0" fontId="8" fillId="2" borderId="23" xfId="2" applyFont="1" applyFill="1" applyBorder="1" applyAlignment="1">
      <alignment horizontal="center"/>
    </xf>
    <xf numFmtId="0" fontId="8" fillId="2" borderId="24" xfId="2" applyFont="1" applyFill="1" applyBorder="1" applyAlignment="1">
      <alignment horizontal="center"/>
    </xf>
  </cellXfs>
  <cellStyles count="12">
    <cellStyle name="Comma 2" xfId="4" xr:uid="{B76ECE51-18F9-4DC3-B750-55B74347D5A2}"/>
    <cellStyle name="Comma 2 2" xfId="6" xr:uid="{CAE94EBC-74A1-4B6F-9B5E-49411F499911}"/>
    <cellStyle name="Comma 3" xfId="8" xr:uid="{54BEBCA3-A9A5-460A-99E4-DADD6E5DCAEF}"/>
    <cellStyle name="Currency 2" xfId="5" xr:uid="{5B03EFB0-E951-460C-8223-6DFA6188C329}"/>
    <cellStyle name="Hyperlink 2" xfId="10" xr:uid="{8EEDE824-9FA9-40C8-956E-A71307824F5E}"/>
    <cellStyle name="Normal" xfId="0" builtinId="0"/>
    <cellStyle name="Normal 2" xfId="3" xr:uid="{84F1E711-5081-4338-A997-4F9FF8DFC626}"/>
    <cellStyle name="Normal 3" xfId="7" xr:uid="{7A6BD177-CAA4-4267-B5A0-DEB8BB474205}"/>
    <cellStyle name="Normal 4" xfId="9" xr:uid="{23E9C867-DC0C-4D58-9222-B65615476A7F}"/>
    <cellStyle name="Normal 5" xfId="11" xr:uid="{45D5D15F-C20F-494C-990E-B39BB866E482}"/>
    <cellStyle name="Normal 6" xfId="2" xr:uid="{99386FF8-ED01-4358-BCE1-62F9938F3A0E}"/>
    <cellStyle name="Percent" xfId="1" builtinId="5"/>
  </cellStyles>
  <dxfs count="0"/>
  <tableStyles count="0" defaultTableStyle="TableStyleMedium2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5B03-6967-498B-91E1-DF686E96233D}">
  <sheetPr>
    <pageSetUpPr fitToPage="1"/>
  </sheetPr>
  <dimension ref="A1:J41"/>
  <sheetViews>
    <sheetView tabSelected="1" workbookViewId="0">
      <selection activeCell="A37" sqref="A37:XFD41"/>
    </sheetView>
  </sheetViews>
  <sheetFormatPr defaultRowHeight="15" x14ac:dyDescent="0.25"/>
  <cols>
    <col min="1" max="1" width="2.140625" customWidth="1"/>
    <col min="2" max="2" width="9.140625" customWidth="1"/>
    <col min="3" max="3" width="11.140625" customWidth="1"/>
    <col min="4" max="4" width="11.28515625" customWidth="1"/>
    <col min="5" max="9" width="11.140625" customWidth="1"/>
    <col min="10" max="10" width="11.28515625" customWidth="1"/>
  </cols>
  <sheetData>
    <row r="1" spans="1:10" ht="11.25" customHeight="1" thickBot="1" x14ac:dyDescent="0.3"/>
    <row r="2" spans="1:10" ht="19.5" thickBot="1" x14ac:dyDescent="0.35">
      <c r="B2" s="37" t="s">
        <v>0</v>
      </c>
      <c r="C2" s="38"/>
      <c r="D2" s="38"/>
      <c r="E2" s="38"/>
      <c r="F2" s="38"/>
      <c r="G2" s="38"/>
      <c r="H2" s="38"/>
      <c r="I2" s="38"/>
      <c r="J2" s="39"/>
    </row>
    <row r="3" spans="1:10" x14ac:dyDescent="0.25">
      <c r="B3" s="40" t="s">
        <v>1</v>
      </c>
      <c r="C3" s="41"/>
      <c r="D3" s="41"/>
      <c r="E3" s="41"/>
      <c r="F3" s="41"/>
      <c r="G3" s="2"/>
      <c r="H3" s="2"/>
      <c r="I3" s="16"/>
      <c r="J3" s="17">
        <v>100000</v>
      </c>
    </row>
    <row r="4" spans="1:10" ht="15.75" thickBot="1" x14ac:dyDescent="0.3">
      <c r="B4" s="42" t="s">
        <v>2</v>
      </c>
      <c r="C4" s="43"/>
      <c r="D4" s="5"/>
      <c r="E4" s="5"/>
      <c r="F4" s="5"/>
      <c r="G4" s="5"/>
      <c r="H4" s="5"/>
      <c r="I4" s="44" t="s">
        <v>10</v>
      </c>
      <c r="J4" s="45"/>
    </row>
    <row r="5" spans="1:10" ht="7.5" customHeight="1" thickBot="1" x14ac:dyDescent="0.3">
      <c r="A5" t="s">
        <v>23</v>
      </c>
    </row>
    <row r="6" spans="1:10" ht="19.5" thickBot="1" x14ac:dyDescent="0.35">
      <c r="B6" s="37" t="s">
        <v>3</v>
      </c>
      <c r="C6" s="38"/>
      <c r="D6" s="38"/>
      <c r="E6" s="38"/>
      <c r="F6" s="38"/>
      <c r="G6" s="38"/>
      <c r="H6" s="38"/>
      <c r="I6" s="38"/>
      <c r="J6" s="39"/>
    </row>
    <row r="7" spans="1:10" x14ac:dyDescent="0.25">
      <c r="B7" s="40" t="s">
        <v>4</v>
      </c>
      <c r="C7" s="41"/>
      <c r="D7" s="41"/>
      <c r="E7" s="41"/>
      <c r="F7" s="28"/>
      <c r="G7" s="28"/>
      <c r="H7" s="28"/>
      <c r="I7" s="33" cm="1">
        <f t="array" ref="I7">INDEX(E26:E32,J29)+(J28-INDEX(D26:D32,J29))*J8</f>
        <v>13580</v>
      </c>
      <c r="J7" s="34"/>
    </row>
    <row r="8" spans="1:10" x14ac:dyDescent="0.25">
      <c r="B8" s="29" t="s">
        <v>5</v>
      </c>
      <c r="C8" s="30"/>
      <c r="D8" s="30"/>
      <c r="E8" s="30"/>
      <c r="F8" s="30"/>
      <c r="G8" s="2"/>
      <c r="H8" s="2"/>
      <c r="I8" s="2"/>
      <c r="J8" s="27" cm="1">
        <f t="array" ref="J8">INDEX(F26:F32,J29)</f>
        <v>0.22</v>
      </c>
    </row>
    <row r="9" spans="1:10" ht="15.75" thickBot="1" x14ac:dyDescent="0.3">
      <c r="B9" s="31" t="s">
        <v>6</v>
      </c>
      <c r="C9" s="32"/>
      <c r="D9" s="32"/>
      <c r="E9" s="32"/>
      <c r="F9" s="32"/>
      <c r="G9" s="5"/>
      <c r="H9" s="5"/>
      <c r="I9" s="35">
        <f>I7/J28</f>
        <v>0.1358</v>
      </c>
      <c r="J9" s="36"/>
    </row>
    <row r="10" spans="1:10" ht="3.75" customHeight="1" thickBot="1" x14ac:dyDescent="0.3"/>
    <row r="11" spans="1:10" ht="16.5" thickBot="1" x14ac:dyDescent="0.3">
      <c r="B11" s="54" t="s">
        <v>7</v>
      </c>
      <c r="C11" s="55"/>
      <c r="D11" s="55"/>
      <c r="E11" s="55"/>
      <c r="F11" s="55"/>
      <c r="G11" s="55"/>
      <c r="H11" s="55"/>
      <c r="I11" s="55"/>
      <c r="J11" s="56"/>
    </row>
    <row r="12" spans="1:10" ht="15.75" thickTop="1" x14ac:dyDescent="0.25">
      <c r="B12" s="57" t="s">
        <v>8</v>
      </c>
      <c r="C12" s="59" t="s">
        <v>9</v>
      </c>
      <c r="D12" s="60"/>
      <c r="E12" s="59" t="s">
        <v>10</v>
      </c>
      <c r="F12" s="60"/>
      <c r="G12" s="59" t="s">
        <v>11</v>
      </c>
      <c r="H12" s="60"/>
      <c r="I12" s="59" t="s">
        <v>12</v>
      </c>
      <c r="J12" s="61"/>
    </row>
    <row r="13" spans="1:10" x14ac:dyDescent="0.25">
      <c r="B13" s="58"/>
      <c r="C13" s="8" t="s">
        <v>13</v>
      </c>
      <c r="D13" s="8" t="s">
        <v>14</v>
      </c>
      <c r="E13" s="8" t="s">
        <v>13</v>
      </c>
      <c r="F13" s="8" t="s">
        <v>14</v>
      </c>
      <c r="G13" s="8" t="s">
        <v>13</v>
      </c>
      <c r="H13" s="8" t="s">
        <v>14</v>
      </c>
      <c r="I13" s="8" t="s">
        <v>13</v>
      </c>
      <c r="J13" s="9" t="s">
        <v>14</v>
      </c>
    </row>
    <row r="14" spans="1:10" x14ac:dyDescent="0.25">
      <c r="B14" s="10">
        <v>0.1</v>
      </c>
      <c r="C14" s="11">
        <v>0</v>
      </c>
      <c r="D14" s="11">
        <f>C15</f>
        <v>9875</v>
      </c>
      <c r="E14" s="11">
        <v>0</v>
      </c>
      <c r="F14" s="11">
        <f>E15</f>
        <v>19750</v>
      </c>
      <c r="G14" s="11">
        <v>0</v>
      </c>
      <c r="H14" s="11">
        <f>G15</f>
        <v>9875</v>
      </c>
      <c r="I14" s="11">
        <v>0</v>
      </c>
      <c r="J14" s="12">
        <f>I15</f>
        <v>14100</v>
      </c>
    </row>
    <row r="15" spans="1:10" x14ac:dyDescent="0.25">
      <c r="B15" s="10">
        <v>0.12</v>
      </c>
      <c r="C15" s="11">
        <v>9875</v>
      </c>
      <c r="D15" s="11">
        <f t="shared" ref="D15:D19" si="0">C16</f>
        <v>40125</v>
      </c>
      <c r="E15" s="11">
        <v>19750</v>
      </c>
      <c r="F15" s="11">
        <f t="shared" ref="F15:F19" si="1">E16</f>
        <v>80250</v>
      </c>
      <c r="G15" s="11">
        <v>9875</v>
      </c>
      <c r="H15" s="11">
        <f t="shared" ref="H15:H19" si="2">G16</f>
        <v>40125</v>
      </c>
      <c r="I15" s="11">
        <v>14100</v>
      </c>
      <c r="J15" s="12">
        <f t="shared" ref="J15:J19" si="3">I16</f>
        <v>53700</v>
      </c>
    </row>
    <row r="16" spans="1:10" x14ac:dyDescent="0.25">
      <c r="B16" s="10">
        <v>0.22</v>
      </c>
      <c r="C16" s="11">
        <v>40125</v>
      </c>
      <c r="D16" s="11">
        <f t="shared" si="0"/>
        <v>85525</v>
      </c>
      <c r="E16" s="11">
        <v>80250</v>
      </c>
      <c r="F16" s="11">
        <f t="shared" si="1"/>
        <v>171050</v>
      </c>
      <c r="G16" s="11">
        <v>40125</v>
      </c>
      <c r="H16" s="11">
        <f t="shared" si="2"/>
        <v>85525</v>
      </c>
      <c r="I16" s="11">
        <v>53700</v>
      </c>
      <c r="J16" s="12">
        <f t="shared" si="3"/>
        <v>85500</v>
      </c>
    </row>
    <row r="17" spans="2:10" x14ac:dyDescent="0.25">
      <c r="B17" s="10">
        <v>0.24</v>
      </c>
      <c r="C17" s="11">
        <v>85525</v>
      </c>
      <c r="D17" s="11">
        <f t="shared" si="0"/>
        <v>163300</v>
      </c>
      <c r="E17" s="11">
        <v>171050</v>
      </c>
      <c r="F17" s="11">
        <f t="shared" si="1"/>
        <v>326600</v>
      </c>
      <c r="G17" s="11">
        <v>85525</v>
      </c>
      <c r="H17" s="11">
        <f t="shared" si="2"/>
        <v>163300</v>
      </c>
      <c r="I17" s="11">
        <v>85500</v>
      </c>
      <c r="J17" s="12">
        <f t="shared" si="3"/>
        <v>163300</v>
      </c>
    </row>
    <row r="18" spans="2:10" x14ac:dyDescent="0.25">
      <c r="B18" s="10">
        <v>0.32</v>
      </c>
      <c r="C18" s="11">
        <v>163300</v>
      </c>
      <c r="D18" s="11">
        <f t="shared" si="0"/>
        <v>207350</v>
      </c>
      <c r="E18" s="11">
        <v>326600</v>
      </c>
      <c r="F18" s="11">
        <f t="shared" si="1"/>
        <v>414700</v>
      </c>
      <c r="G18" s="11">
        <v>163300</v>
      </c>
      <c r="H18" s="11">
        <f t="shared" si="2"/>
        <v>207350</v>
      </c>
      <c r="I18" s="11">
        <v>163300</v>
      </c>
      <c r="J18" s="12">
        <f t="shared" si="3"/>
        <v>207350</v>
      </c>
    </row>
    <row r="19" spans="2:10" x14ac:dyDescent="0.25">
      <c r="B19" s="10">
        <v>0.35</v>
      </c>
      <c r="C19" s="11">
        <v>207350</v>
      </c>
      <c r="D19" s="11">
        <f t="shared" si="0"/>
        <v>518400</v>
      </c>
      <c r="E19" s="11">
        <v>414700</v>
      </c>
      <c r="F19" s="11">
        <f t="shared" si="1"/>
        <v>622050</v>
      </c>
      <c r="G19" s="11">
        <v>207350</v>
      </c>
      <c r="H19" s="11">
        <f t="shared" si="2"/>
        <v>311025</v>
      </c>
      <c r="I19" s="11">
        <v>207350</v>
      </c>
      <c r="J19" s="12">
        <f t="shared" si="3"/>
        <v>518400</v>
      </c>
    </row>
    <row r="20" spans="2:10" ht="15.75" thickBot="1" x14ac:dyDescent="0.3">
      <c r="B20" s="13">
        <v>0.37</v>
      </c>
      <c r="C20" s="14">
        <v>518400</v>
      </c>
      <c r="D20" s="14"/>
      <c r="E20" s="14">
        <v>622050</v>
      </c>
      <c r="F20" s="14"/>
      <c r="G20" s="14">
        <v>311025</v>
      </c>
      <c r="H20" s="14"/>
      <c r="I20" s="14">
        <v>518400</v>
      </c>
      <c r="J20" s="15"/>
    </row>
    <row r="21" spans="2:10" ht="15.75" thickBot="1" x14ac:dyDescent="0.3">
      <c r="B21" s="51" t="s">
        <v>21</v>
      </c>
      <c r="C21" s="52"/>
      <c r="D21" s="52"/>
      <c r="E21" s="52"/>
      <c r="F21" s="52"/>
      <c r="G21" s="52"/>
      <c r="H21" s="52"/>
      <c r="I21" s="52"/>
      <c r="J21" s="53"/>
    </row>
    <row r="22" spans="2:10" ht="7.5" customHeight="1" thickBot="1" x14ac:dyDescent="0.3"/>
    <row r="23" spans="2:10" ht="16.5" thickBot="1" x14ac:dyDescent="0.3">
      <c r="B23" s="46" t="s">
        <v>22</v>
      </c>
      <c r="C23" s="47"/>
      <c r="D23" s="47"/>
      <c r="E23" s="47"/>
      <c r="F23" s="47"/>
      <c r="G23" s="47"/>
      <c r="H23" s="47"/>
      <c r="I23" s="47"/>
      <c r="J23" s="48"/>
    </row>
    <row r="24" spans="2:10" x14ac:dyDescent="0.25">
      <c r="B24" s="49" t="s">
        <v>15</v>
      </c>
      <c r="C24" s="50"/>
      <c r="D24" s="50"/>
      <c r="E24" s="2"/>
      <c r="F24" s="2"/>
      <c r="G24" s="2"/>
      <c r="H24" s="18" t="s">
        <v>17</v>
      </c>
      <c r="I24" s="18"/>
      <c r="J24" s="19" t="str">
        <f>I4</f>
        <v>Married Joint Filers</v>
      </c>
    </row>
    <row r="25" spans="2:10" x14ac:dyDescent="0.25">
      <c r="B25" s="1"/>
      <c r="C25" s="2"/>
      <c r="D25" s="2" t="s">
        <v>13</v>
      </c>
      <c r="E25" s="2" t="s">
        <v>16</v>
      </c>
      <c r="F25" s="7" t="s">
        <v>8</v>
      </c>
      <c r="G25" s="2"/>
      <c r="H25" s="2" t="s">
        <v>18</v>
      </c>
      <c r="I25" s="2"/>
      <c r="J25" s="20">
        <f>MATCH(J24,C12:J12,0)</f>
        <v>3</v>
      </c>
    </row>
    <row r="26" spans="2:10" x14ac:dyDescent="0.25">
      <c r="B26" s="1"/>
      <c r="C26" s="2"/>
      <c r="D26" s="24" cm="1">
        <f t="array" ref="D26">INDEX(C14:J14,$J$25)</f>
        <v>0</v>
      </c>
      <c r="E26" s="24">
        <v>0</v>
      </c>
      <c r="F26" s="25">
        <f>B14</f>
        <v>0.1</v>
      </c>
      <c r="G26" s="2"/>
      <c r="H26" s="2"/>
      <c r="I26" s="2"/>
      <c r="J26" s="3"/>
    </row>
    <row r="27" spans="2:10" x14ac:dyDescent="0.25">
      <c r="B27" s="1"/>
      <c r="C27" s="2"/>
      <c r="D27" s="22" cm="1">
        <f t="array" ref="D27">INDEX(C15:J15,$J$25)</f>
        <v>19750</v>
      </c>
      <c r="E27" s="22">
        <f>E26+(D27-D26)*F26</f>
        <v>1975</v>
      </c>
      <c r="F27" s="25">
        <f t="shared" ref="F27:F32" si="4">B15</f>
        <v>0.12</v>
      </c>
      <c r="G27" s="2"/>
      <c r="H27" s="2"/>
      <c r="I27" s="2"/>
      <c r="J27" s="3"/>
    </row>
    <row r="28" spans="2:10" x14ac:dyDescent="0.25">
      <c r="B28" s="1"/>
      <c r="C28" s="2"/>
      <c r="D28" s="22" cm="1">
        <f t="array" ref="D28">INDEX(C16:J16,$J$25)</f>
        <v>80250</v>
      </c>
      <c r="E28" s="22">
        <f t="shared" ref="E28:E32" si="5">E27+(D28-D27)*F27</f>
        <v>9235</v>
      </c>
      <c r="F28" s="25">
        <f t="shared" si="4"/>
        <v>0.22</v>
      </c>
      <c r="G28" s="2"/>
      <c r="H28" s="30" t="s">
        <v>19</v>
      </c>
      <c r="I28" s="30"/>
      <c r="J28" s="21">
        <f>J3</f>
        <v>100000</v>
      </c>
    </row>
    <row r="29" spans="2:10" x14ac:dyDescent="0.25">
      <c r="B29" s="1"/>
      <c r="C29" s="2"/>
      <c r="D29" s="22" cm="1">
        <f t="array" ref="D29">INDEX(C17:J17,$J$25)</f>
        <v>171050</v>
      </c>
      <c r="E29" s="22">
        <f t="shared" si="5"/>
        <v>29211</v>
      </c>
      <c r="F29" s="25">
        <f t="shared" si="4"/>
        <v>0.24</v>
      </c>
      <c r="G29" s="2"/>
      <c r="H29" s="2" t="s">
        <v>18</v>
      </c>
      <c r="I29" s="2"/>
      <c r="J29" s="20">
        <f>MATCH(J28,D26:D32,1)</f>
        <v>3</v>
      </c>
    </row>
    <row r="30" spans="2:10" x14ac:dyDescent="0.25">
      <c r="B30" s="1"/>
      <c r="C30" s="2"/>
      <c r="D30" s="22" cm="1">
        <f t="array" ref="D30">INDEX(C18:J18,$J$25)</f>
        <v>326600</v>
      </c>
      <c r="E30" s="22">
        <f t="shared" si="5"/>
        <v>66543</v>
      </c>
      <c r="F30" s="25">
        <f t="shared" si="4"/>
        <v>0.32</v>
      </c>
      <c r="G30" s="2"/>
      <c r="H30" s="2"/>
      <c r="I30" s="2"/>
      <c r="J30" s="3"/>
    </row>
    <row r="31" spans="2:10" x14ac:dyDescent="0.25">
      <c r="B31" s="1"/>
      <c r="C31" s="2"/>
      <c r="D31" s="22" cm="1">
        <f t="array" ref="D31">INDEX(C19:J19,$J$25)</f>
        <v>414700</v>
      </c>
      <c r="E31" s="22">
        <f t="shared" si="5"/>
        <v>94735</v>
      </c>
      <c r="F31" s="25">
        <f t="shared" si="4"/>
        <v>0.35</v>
      </c>
      <c r="G31" s="2"/>
      <c r="H31" s="2"/>
      <c r="I31" s="2"/>
      <c r="J31" s="3"/>
    </row>
    <row r="32" spans="2:10" ht="15.75" thickBot="1" x14ac:dyDescent="0.3">
      <c r="B32" s="4"/>
      <c r="C32" s="5"/>
      <c r="D32" s="23" cm="1">
        <f t="array" ref="D32">INDEX(C20:J20,$J$25)</f>
        <v>622050</v>
      </c>
      <c r="E32" s="23">
        <f t="shared" si="5"/>
        <v>167307.5</v>
      </c>
      <c r="F32" s="26">
        <f t="shared" si="4"/>
        <v>0.37</v>
      </c>
      <c r="G32" s="5"/>
      <c r="H32" s="5"/>
      <c r="I32" s="5"/>
      <c r="J32" s="6"/>
    </row>
    <row r="37" spans="2:2" hidden="1" x14ac:dyDescent="0.25">
      <c r="B37" t="s">
        <v>20</v>
      </c>
    </row>
    <row r="38" spans="2:2" hidden="1" x14ac:dyDescent="0.25">
      <c r="B38" t="s">
        <v>9</v>
      </c>
    </row>
    <row r="39" spans="2:2" hidden="1" x14ac:dyDescent="0.25">
      <c r="B39" t="s">
        <v>10</v>
      </c>
    </row>
    <row r="40" spans="2:2" hidden="1" x14ac:dyDescent="0.25">
      <c r="B40" t="s">
        <v>11</v>
      </c>
    </row>
    <row r="41" spans="2:2" hidden="1" x14ac:dyDescent="0.25">
      <c r="B41" t="s">
        <v>12</v>
      </c>
    </row>
  </sheetData>
  <mergeCells count="20">
    <mergeCell ref="B23:J23"/>
    <mergeCell ref="B24:D24"/>
    <mergeCell ref="H28:I28"/>
    <mergeCell ref="B21:J21"/>
    <mergeCell ref="B11:J11"/>
    <mergeCell ref="B12:B13"/>
    <mergeCell ref="C12:D12"/>
    <mergeCell ref="E12:F12"/>
    <mergeCell ref="G12:H12"/>
    <mergeCell ref="I12:J12"/>
    <mergeCell ref="B8:F8"/>
    <mergeCell ref="B9:F9"/>
    <mergeCell ref="I7:J7"/>
    <mergeCell ref="I9:J9"/>
    <mergeCell ref="B2:J2"/>
    <mergeCell ref="B3:F3"/>
    <mergeCell ref="B4:C4"/>
    <mergeCell ref="I4:J4"/>
    <mergeCell ref="B6:J6"/>
    <mergeCell ref="B7:E7"/>
  </mergeCells>
  <dataValidations count="1">
    <dataValidation type="list" allowBlank="1" showInputMessage="1" showErrorMessage="1" sqref="I4:J4" xr:uid="{4A445D83-FE0D-4BAD-810F-23729CEC374F}">
      <formula1>$B$38:$B$41</formula1>
    </dataValidation>
  </dataValidations>
  <pageMargins left="0.7" right="0.7" top="0.75" bottom="0.75" header="0.3" footer="0.3"/>
  <pageSetup scale="84" orientation="portrait" horizontalDpi="300" verticalDpi="300" r:id="rId1"/>
  <headerFooter>
    <oddFooter>&amp;L&amp;F
&amp;A&amp;C&amp;P of &amp;N&amp;R&amp;D
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01F967DF7FB4BBA051E41DA97D626" ma:contentTypeVersion="4" ma:contentTypeDescription="Create a new document." ma:contentTypeScope="" ma:versionID="2a8b39993528b9872c247ccf180a8608">
  <xsd:schema xmlns:xsd="http://www.w3.org/2001/XMLSchema" xmlns:xs="http://www.w3.org/2001/XMLSchema" xmlns:p="http://schemas.microsoft.com/office/2006/metadata/properties" xmlns:ns3="7fdb2c6f-0963-46e0-a262-e1354afe4723" targetNamespace="http://schemas.microsoft.com/office/2006/metadata/properties" ma:root="true" ma:fieldsID="9cfdb0ac0c88465590451199655ddf2d" ns3:_="">
    <xsd:import namespace="7fdb2c6f-0963-46e0-a262-e1354afe47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b2c6f-0963-46e0-a262-e1354afe47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EE9A68-5303-457C-A5AF-9BDA8FCA7E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b2c6f-0963-46e0-a262-e1354afe47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3B6ACB-CEA3-4574-9A68-B9D39D1CB32A}">
  <ds:schemaRefs>
    <ds:schemaRef ds:uri="http://www.w3.org/XML/1998/namespace"/>
    <ds:schemaRef ds:uri="http://purl.org/dc/elements/1.1/"/>
    <ds:schemaRef ds:uri="http://purl.org/dc/terms/"/>
    <ds:schemaRef ds:uri="7fdb2c6f-0963-46e0-a262-e1354afe4723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AE4B106-09E6-4241-84E4-9D993EFF01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2020-09-19T01:26:05Z</cp:lastPrinted>
  <dcterms:created xsi:type="dcterms:W3CDTF">2020-09-14T19:38:41Z</dcterms:created>
  <dcterms:modified xsi:type="dcterms:W3CDTF">2020-09-19T01:27:22Z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0x0101004C001F967DF7FB4BBA051E41DA97D626</vt:lpwstr>
  </property>
</Properties>
</file>