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4\"/>
    </mc:Choice>
  </mc:AlternateContent>
  <xr:revisionPtr revIDLastSave="0" documentId="8_{192F23F1-CF66-4E21-AB8C-ABF5B1E0943B}" xr6:coauthVersionLast="45" xr6:coauthVersionMax="45" xr10:uidLastSave="{00000000-0000-0000-0000-000000000000}"/>
  <bookViews>
    <workbookView xWindow="810" yWindow="-120" windowWidth="19800" windowHeight="11760" xr2:uid="{A71D505D-520A-4D42-9923-1C13973EE6B4}"/>
  </bookViews>
  <sheets>
    <sheet name="Annuity" sheetId="1" r:id="rId1"/>
    <sheet name="Qx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_xlnm.Print_Titles" localSheetId="0">Annuity!$1:$11</definedName>
    <definedName name="QxTable">Qx!$B$4:$C$119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2" i="1" l="1"/>
  <c r="H12" i="1" l="1"/>
  <c r="C12" i="1"/>
  <c r="B13" i="1"/>
  <c r="C13" i="1" s="1"/>
  <c r="B14" i="1" l="1"/>
  <c r="C14" i="1" s="1"/>
  <c r="B15" i="1" l="1"/>
  <c r="C15" i="1" s="1"/>
  <c r="B16" i="1" l="1"/>
  <c r="C16" i="1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7" i="1" l="1"/>
  <c r="C17" i="1" s="1"/>
  <c r="B18" i="1" l="1"/>
  <c r="C18" i="1" s="1"/>
  <c r="B19" i="1" l="1"/>
  <c r="C19" i="1" s="1"/>
  <c r="D12" i="1"/>
  <c r="B20" i="1" l="1"/>
  <c r="C20" i="1" s="1"/>
  <c r="E13" i="1"/>
  <c r="H13" i="1" s="1"/>
  <c r="B21" i="1" l="1"/>
  <c r="C21" i="1" s="1"/>
  <c r="D13" i="1"/>
  <c r="B22" i="1" l="1"/>
  <c r="C22" i="1" s="1"/>
  <c r="E14" i="1"/>
  <c r="H14" i="1" s="1"/>
  <c r="D14" i="1"/>
  <c r="B23" i="1" l="1"/>
  <c r="C23" i="1" s="1"/>
  <c r="D15" i="1"/>
  <c r="E15" i="1"/>
  <c r="H15" i="1" s="1"/>
  <c r="B24" i="1" l="1"/>
  <c r="C24" i="1" s="1"/>
  <c r="D16" i="1"/>
  <c r="E16" i="1"/>
  <c r="H16" i="1" s="1"/>
  <c r="B25" i="1" l="1"/>
  <c r="C25" i="1" s="1"/>
  <c r="E17" i="1"/>
  <c r="H17" i="1" s="1"/>
  <c r="D17" i="1"/>
  <c r="B26" i="1" l="1"/>
  <c r="C26" i="1" s="1"/>
  <c r="D18" i="1"/>
  <c r="E18" i="1"/>
  <c r="H18" i="1" s="1"/>
  <c r="B27" i="1" l="1"/>
  <c r="C27" i="1" s="1"/>
  <c r="E19" i="1"/>
  <c r="H19" i="1" s="1"/>
  <c r="D19" i="1"/>
  <c r="B28" i="1" l="1"/>
  <c r="C28" i="1" s="1"/>
  <c r="E20" i="1"/>
  <c r="H20" i="1" s="1"/>
  <c r="D20" i="1"/>
  <c r="B29" i="1" l="1"/>
  <c r="C29" i="1" s="1"/>
  <c r="D21" i="1"/>
  <c r="E21" i="1"/>
  <c r="H21" i="1" s="1"/>
  <c r="B30" i="1" l="1"/>
  <c r="C30" i="1" s="1"/>
  <c r="D22" i="1"/>
  <c r="E22" i="1"/>
  <c r="H22" i="1" s="1"/>
  <c r="B31" i="1" l="1"/>
  <c r="C31" i="1" s="1"/>
  <c r="E23" i="1"/>
  <c r="H23" i="1" s="1"/>
  <c r="D23" i="1"/>
  <c r="B32" i="1" l="1"/>
  <c r="C32" i="1" s="1"/>
  <c r="E24" i="1"/>
  <c r="H24" i="1" s="1"/>
  <c r="D24" i="1"/>
  <c r="B33" i="1" l="1"/>
  <c r="C33" i="1" s="1"/>
  <c r="E25" i="1"/>
  <c r="H25" i="1" s="1"/>
  <c r="D25" i="1"/>
  <c r="B34" i="1" l="1"/>
  <c r="C34" i="1" s="1"/>
  <c r="D26" i="1"/>
  <c r="E26" i="1"/>
  <c r="H26" i="1" s="1"/>
  <c r="B35" i="1" l="1"/>
  <c r="C35" i="1" s="1"/>
  <c r="E27" i="1"/>
  <c r="H27" i="1" s="1"/>
  <c r="D27" i="1"/>
  <c r="B36" i="1" l="1"/>
  <c r="C36" i="1" s="1"/>
  <c r="D28" i="1"/>
  <c r="E28" i="1"/>
  <c r="H28" i="1" s="1"/>
  <c r="B37" i="1" l="1"/>
  <c r="C37" i="1" s="1"/>
  <c r="E29" i="1"/>
  <c r="H29" i="1" s="1"/>
  <c r="D29" i="1"/>
  <c r="B38" i="1" l="1"/>
  <c r="C38" i="1" s="1"/>
  <c r="D30" i="1"/>
  <c r="E30" i="1"/>
  <c r="H30" i="1" s="1"/>
  <c r="B39" i="1" l="1"/>
  <c r="C39" i="1" s="1"/>
  <c r="E31" i="1"/>
  <c r="H31" i="1" s="1"/>
  <c r="D31" i="1"/>
  <c r="B40" i="1" l="1"/>
  <c r="C40" i="1" s="1"/>
  <c r="D32" i="1"/>
  <c r="E32" i="1"/>
  <c r="H32" i="1" s="1"/>
  <c r="B41" i="1" l="1"/>
  <c r="C41" i="1" s="1"/>
  <c r="E33" i="1"/>
  <c r="H33" i="1" s="1"/>
  <c r="D33" i="1"/>
  <c r="B42" i="1" l="1"/>
  <c r="C42" i="1" s="1"/>
  <c r="D34" i="1"/>
  <c r="E34" i="1"/>
  <c r="H34" i="1" s="1"/>
  <c r="B43" i="1" l="1"/>
  <c r="C43" i="1" s="1"/>
  <c r="E35" i="1"/>
  <c r="H35" i="1" s="1"/>
  <c r="D35" i="1"/>
  <c r="B44" i="1" l="1"/>
  <c r="C44" i="1" s="1"/>
  <c r="D36" i="1"/>
  <c r="E36" i="1"/>
  <c r="H36" i="1" s="1"/>
  <c r="B45" i="1" l="1"/>
  <c r="C45" i="1" s="1"/>
  <c r="E37" i="1"/>
  <c r="H37" i="1" s="1"/>
  <c r="D37" i="1"/>
  <c r="B46" i="1" l="1"/>
  <c r="C46" i="1" s="1"/>
  <c r="D38" i="1"/>
  <c r="E38" i="1"/>
  <c r="H38" i="1" s="1"/>
  <c r="B47" i="1" l="1"/>
  <c r="C47" i="1" s="1"/>
  <c r="E39" i="1"/>
  <c r="H39" i="1" s="1"/>
  <c r="D39" i="1"/>
  <c r="B48" i="1" l="1"/>
  <c r="C48" i="1" s="1"/>
  <c r="D40" i="1"/>
  <c r="E40" i="1"/>
  <c r="H40" i="1" s="1"/>
  <c r="B49" i="1" l="1"/>
  <c r="C49" i="1" s="1"/>
  <c r="E41" i="1"/>
  <c r="H41" i="1" s="1"/>
  <c r="D41" i="1"/>
  <c r="B50" i="1" l="1"/>
  <c r="C50" i="1" s="1"/>
  <c r="D42" i="1"/>
  <c r="E42" i="1"/>
  <c r="H42" i="1" s="1"/>
  <c r="B51" i="1" l="1"/>
  <c r="C51" i="1" s="1"/>
  <c r="E43" i="1"/>
  <c r="H43" i="1" s="1"/>
  <c r="D43" i="1"/>
  <c r="B52" i="1" l="1"/>
  <c r="C52" i="1" s="1"/>
  <c r="E44" i="1"/>
  <c r="H44" i="1" s="1"/>
  <c r="D44" i="1"/>
  <c r="B53" i="1" l="1"/>
  <c r="C53" i="1" s="1"/>
  <c r="D45" i="1"/>
  <c r="E45" i="1"/>
  <c r="H45" i="1" s="1"/>
  <c r="B54" i="1" l="1"/>
  <c r="C54" i="1" s="1"/>
  <c r="E46" i="1"/>
  <c r="H46" i="1" s="1"/>
  <c r="D46" i="1"/>
  <c r="B55" i="1" l="1"/>
  <c r="C55" i="1" s="1"/>
  <c r="E47" i="1"/>
  <c r="H47" i="1" s="1"/>
  <c r="D47" i="1"/>
  <c r="B56" i="1" l="1"/>
  <c r="C56" i="1" s="1"/>
  <c r="D48" i="1"/>
  <c r="E48" i="1"/>
  <c r="H48" i="1" s="1"/>
  <c r="B57" i="1" l="1"/>
  <c r="C57" i="1" s="1"/>
  <c r="D49" i="1"/>
  <c r="E49" i="1"/>
  <c r="H49" i="1" s="1"/>
  <c r="B58" i="1" l="1"/>
  <c r="C58" i="1" s="1"/>
  <c r="E50" i="1"/>
  <c r="H50" i="1" s="1"/>
  <c r="D50" i="1"/>
  <c r="B59" i="1" l="1"/>
  <c r="C59" i="1" s="1"/>
  <c r="D51" i="1"/>
  <c r="E51" i="1"/>
  <c r="H51" i="1" s="1"/>
  <c r="B60" i="1" l="1"/>
  <c r="C60" i="1" s="1"/>
  <c r="E52" i="1"/>
  <c r="H52" i="1" s="1"/>
  <c r="D52" i="1"/>
  <c r="B61" i="1" l="1"/>
  <c r="C61" i="1" s="1"/>
  <c r="E53" i="1"/>
  <c r="H53" i="1" s="1"/>
  <c r="D53" i="1"/>
  <c r="B62" i="1" l="1"/>
  <c r="C62" i="1" s="1"/>
  <c r="D54" i="1"/>
  <c r="E54" i="1"/>
  <c r="H54" i="1" s="1"/>
  <c r="B63" i="1" l="1"/>
  <c r="C63" i="1" s="1"/>
  <c r="D55" i="1"/>
  <c r="E55" i="1"/>
  <c r="H55" i="1" s="1"/>
  <c r="B64" i="1" l="1"/>
  <c r="C64" i="1" s="1"/>
  <c r="D56" i="1"/>
  <c r="E56" i="1"/>
  <c r="H56" i="1" s="1"/>
  <c r="B65" i="1" l="1"/>
  <c r="C65" i="1" s="1"/>
  <c r="E57" i="1"/>
  <c r="H57" i="1" s="1"/>
  <c r="D57" i="1"/>
  <c r="B66" i="1" l="1"/>
  <c r="C66" i="1" s="1"/>
  <c r="D58" i="1"/>
  <c r="E58" i="1"/>
  <c r="H58" i="1" s="1"/>
  <c r="B67" i="1" l="1"/>
  <c r="C67" i="1" s="1"/>
  <c r="E59" i="1"/>
  <c r="H59" i="1" s="1"/>
  <c r="D59" i="1"/>
  <c r="B68" i="1" l="1"/>
  <c r="C68" i="1" s="1"/>
  <c r="E60" i="1"/>
  <c r="H60" i="1" s="1"/>
  <c r="D60" i="1"/>
  <c r="B69" i="1" l="1"/>
  <c r="C69" i="1" s="1"/>
  <c r="E61" i="1"/>
  <c r="H61" i="1" s="1"/>
  <c r="D61" i="1"/>
  <c r="B70" i="1" l="1"/>
  <c r="C70" i="1" s="1"/>
  <c r="D62" i="1"/>
  <c r="E62" i="1"/>
  <c r="H62" i="1" s="1"/>
  <c r="B71" i="1" l="1"/>
  <c r="C71" i="1" s="1"/>
  <c r="E63" i="1"/>
  <c r="H63" i="1" s="1"/>
  <c r="D63" i="1"/>
  <c r="B72" i="1" l="1"/>
  <c r="C72" i="1" s="1"/>
  <c r="D64" i="1"/>
  <c r="E64" i="1"/>
  <c r="H64" i="1" s="1"/>
  <c r="B73" i="1" l="1"/>
  <c r="C73" i="1" s="1"/>
  <c r="E65" i="1"/>
  <c r="H65" i="1" s="1"/>
  <c r="D65" i="1"/>
  <c r="B74" i="1" l="1"/>
  <c r="C74" i="1" s="1"/>
  <c r="D66" i="1"/>
  <c r="E66" i="1"/>
  <c r="H66" i="1" s="1"/>
  <c r="B75" i="1" l="1"/>
  <c r="C75" i="1" s="1"/>
  <c r="E67" i="1"/>
  <c r="H67" i="1" s="1"/>
  <c r="D67" i="1"/>
  <c r="B76" i="1" l="1"/>
  <c r="C76" i="1" s="1"/>
  <c r="D68" i="1"/>
  <c r="E68" i="1"/>
  <c r="H68" i="1" s="1"/>
  <c r="B77" i="1" l="1"/>
  <c r="C77" i="1" s="1"/>
  <c r="E69" i="1"/>
  <c r="H69" i="1" s="1"/>
  <c r="D69" i="1"/>
  <c r="B78" i="1" l="1"/>
  <c r="C78" i="1" s="1"/>
  <c r="D70" i="1"/>
  <c r="E70" i="1"/>
  <c r="H70" i="1" s="1"/>
  <c r="B79" i="1" l="1"/>
  <c r="C79" i="1" s="1"/>
  <c r="E71" i="1"/>
  <c r="H71" i="1" s="1"/>
  <c r="D71" i="1"/>
  <c r="B80" i="1" l="1"/>
  <c r="C80" i="1" s="1"/>
  <c r="E72" i="1"/>
  <c r="H72" i="1" s="1"/>
  <c r="D72" i="1"/>
  <c r="B81" i="1" l="1"/>
  <c r="C81" i="1" s="1"/>
  <c r="D73" i="1"/>
  <c r="E73" i="1"/>
  <c r="H73" i="1" s="1"/>
  <c r="B82" i="1" l="1"/>
  <c r="E74" i="1"/>
  <c r="H74" i="1" s="1"/>
  <c r="D74" i="1"/>
  <c r="B83" i="1" l="1"/>
  <c r="C83" i="1" s="1"/>
  <c r="C82" i="1"/>
  <c r="D75" i="1"/>
  <c r="E75" i="1"/>
  <c r="H75" i="1" s="1"/>
  <c r="D83" i="1" l="1"/>
  <c r="B84" i="1"/>
  <c r="C84" i="1" s="1"/>
  <c r="E76" i="1"/>
  <c r="H76" i="1" s="1"/>
  <c r="D76" i="1"/>
  <c r="D84" i="1" l="1"/>
  <c r="B85" i="1"/>
  <c r="C85" i="1" s="1"/>
  <c r="D85" i="1" s="1"/>
  <c r="B86" i="1"/>
  <c r="C86" i="1" s="1"/>
  <c r="D77" i="1"/>
  <c r="E77" i="1"/>
  <c r="H77" i="1" s="1"/>
  <c r="B87" i="1" l="1"/>
  <c r="C87" i="1" s="1"/>
  <c r="D86" i="1"/>
  <c r="E78" i="1"/>
  <c r="H78" i="1" s="1"/>
  <c r="D78" i="1"/>
  <c r="B88" i="1" l="1"/>
  <c r="C88" i="1" s="1"/>
  <c r="D87" i="1"/>
  <c r="D79" i="1"/>
  <c r="E79" i="1"/>
  <c r="H79" i="1" s="1"/>
  <c r="B89" i="1" l="1"/>
  <c r="C89" i="1" s="1"/>
  <c r="D88" i="1"/>
  <c r="E80" i="1"/>
  <c r="H80" i="1" s="1"/>
  <c r="D80" i="1"/>
  <c r="B90" i="1" l="1"/>
  <c r="C90" i="1" s="1"/>
  <c r="D89" i="1"/>
  <c r="D81" i="1"/>
  <c r="E81" i="1"/>
  <c r="H81" i="1" s="1"/>
  <c r="B91" i="1" l="1"/>
  <c r="C91" i="1" s="1"/>
  <c r="D90" i="1"/>
  <c r="E82" i="1"/>
  <c r="D82" i="1"/>
  <c r="H82" i="1" l="1"/>
  <c r="E83" i="1"/>
  <c r="B92" i="1"/>
  <c r="C92" i="1" s="1"/>
  <c r="D91" i="1"/>
  <c r="E84" i="1" l="1"/>
  <c r="H83" i="1"/>
  <c r="B93" i="1"/>
  <c r="C93" i="1" s="1"/>
  <c r="D92" i="1"/>
  <c r="H84" i="1" l="1"/>
  <c r="E85" i="1"/>
  <c r="B94" i="1"/>
  <c r="C94" i="1" s="1"/>
  <c r="D93" i="1"/>
  <c r="E86" i="1" l="1"/>
  <c r="H85" i="1"/>
  <c r="B95" i="1"/>
  <c r="C95" i="1" s="1"/>
  <c r="D94" i="1"/>
  <c r="H86" i="1" l="1"/>
  <c r="E87" i="1"/>
  <c r="B96" i="1"/>
  <c r="C96" i="1" s="1"/>
  <c r="D95" i="1"/>
  <c r="E88" i="1" l="1"/>
  <c r="H87" i="1"/>
  <c r="B97" i="1"/>
  <c r="D96" i="1"/>
  <c r="H88" i="1" l="1"/>
  <c r="E89" i="1"/>
  <c r="C97" i="1"/>
  <c r="D97" i="1" s="1"/>
  <c r="B98" i="1"/>
  <c r="C98" i="1" s="1"/>
  <c r="H89" i="1" l="1"/>
  <c r="E90" i="1"/>
  <c r="B99" i="1"/>
  <c r="C99" i="1" s="1"/>
  <c r="D98" i="1"/>
  <c r="H90" i="1" l="1"/>
  <c r="E91" i="1"/>
  <c r="B100" i="1"/>
  <c r="C100" i="1" s="1"/>
  <c r="D99" i="1"/>
  <c r="E92" i="1" l="1"/>
  <c r="H91" i="1"/>
  <c r="B101" i="1"/>
  <c r="C101" i="1" s="1"/>
  <c r="D100" i="1"/>
  <c r="H92" i="1" l="1"/>
  <c r="E93" i="1"/>
  <c r="B102" i="1"/>
  <c r="C102" i="1" s="1"/>
  <c r="D101" i="1"/>
  <c r="E94" i="1" l="1"/>
  <c r="H93" i="1"/>
  <c r="B103" i="1"/>
  <c r="C103" i="1" s="1"/>
  <c r="D102" i="1"/>
  <c r="H94" i="1" l="1"/>
  <c r="E95" i="1"/>
  <c r="B104" i="1"/>
  <c r="C104" i="1" s="1"/>
  <c r="D103" i="1"/>
  <c r="E96" i="1" l="1"/>
  <c r="H95" i="1"/>
  <c r="B105" i="1"/>
  <c r="C105" i="1" s="1"/>
  <c r="D104" i="1"/>
  <c r="H96" i="1" l="1"/>
  <c r="E97" i="1"/>
  <c r="B106" i="1"/>
  <c r="C106" i="1" s="1"/>
  <c r="D105" i="1"/>
  <c r="H97" i="1" l="1"/>
  <c r="E98" i="1"/>
  <c r="B107" i="1"/>
  <c r="C107" i="1" s="1"/>
  <c r="D106" i="1"/>
  <c r="E99" i="1" l="1"/>
  <c r="H98" i="1"/>
  <c r="B108" i="1"/>
  <c r="C108" i="1" s="1"/>
  <c r="D107" i="1"/>
  <c r="H99" i="1" l="1"/>
  <c r="E100" i="1"/>
  <c r="B109" i="1"/>
  <c r="C109" i="1" s="1"/>
  <c r="D108" i="1"/>
  <c r="E101" i="1" l="1"/>
  <c r="H100" i="1"/>
  <c r="B110" i="1"/>
  <c r="C110" i="1" s="1"/>
  <c r="D109" i="1"/>
  <c r="H101" i="1" l="1"/>
  <c r="E102" i="1"/>
  <c r="B111" i="1"/>
  <c r="C111" i="1" s="1"/>
  <c r="D110" i="1"/>
  <c r="E103" i="1" l="1"/>
  <c r="H102" i="1"/>
  <c r="D111" i="1"/>
  <c r="B112" i="1"/>
  <c r="C112" i="1" s="1"/>
  <c r="H103" i="1" l="1"/>
  <c r="E104" i="1"/>
  <c r="D112" i="1"/>
  <c r="E105" i="1" l="1"/>
  <c r="H104" i="1"/>
  <c r="H105" i="1" l="1"/>
  <c r="E106" i="1"/>
  <c r="E107" i="1" l="1"/>
  <c r="H106" i="1"/>
  <c r="H107" i="1" l="1"/>
  <c r="E108" i="1"/>
  <c r="E109" i="1" l="1"/>
  <c r="H108" i="1"/>
  <c r="H109" i="1" l="1"/>
  <c r="E110" i="1"/>
  <c r="E111" i="1" l="1"/>
  <c r="H110" i="1"/>
  <c r="H111" i="1" l="1"/>
  <c r="E112" i="1"/>
  <c r="H112" i="1" s="1"/>
  <c r="H7" i="1" s="1"/>
  <c r="H8" i="1" s="1"/>
</calcChain>
</file>

<file path=xl/sharedStrings.xml><?xml version="1.0" encoding="utf-8"?>
<sst xmlns="http://schemas.openxmlformats.org/spreadsheetml/2006/main" count="16" uniqueCount="14">
  <si>
    <t>Life Annuity</t>
  </si>
  <si>
    <t>Current Age</t>
  </si>
  <si>
    <t>Annual Payment</t>
  </si>
  <si>
    <t>Interest Rate</t>
  </si>
  <si>
    <t>Annuity Factor</t>
  </si>
  <si>
    <t>Annuity Value</t>
  </si>
  <si>
    <t>Excel Calculation</t>
  </si>
  <si>
    <t>Age</t>
  </si>
  <si>
    <t>qx</t>
  </si>
  <si>
    <t>px</t>
  </si>
  <si>
    <t>tpx</t>
  </si>
  <si>
    <t>Discount Value</t>
  </si>
  <si>
    <t xml:space="preserve"> </t>
  </si>
  <si>
    <t>Mortality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</si>
</sst>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ill="1"/>
    <xf numFmtId="3" fontId="0" fillId="3" borderId="0" xfId="0" applyNumberFormat="1" applyFill="1"/>
    <xf numFmtId="10" fontId="0" fillId="3" borderId="0" xfId="0" applyNumberFormat="1" applyFill="1"/>
    <xf numFmtId="0" fontId="3" fillId="0" borderId="0" xfId="1"/>
    <xf numFmtId="0" fontId="3" fillId="0" borderId="0" xfId="1" applyAlignment="1">
      <alignment horizontal="center"/>
    </xf>
    <xf numFmtId="164" fontId="3" fillId="4" borderId="5" xfId="1" applyNumberFormat="1" applyFill="1" applyBorder="1" applyAlignment="1">
      <alignment horizontal="center"/>
    </xf>
    <xf numFmtId="0" fontId="3" fillId="0" borderId="5" xfId="1" applyBorder="1" applyAlignment="1">
      <alignment horizontal="center"/>
    </xf>
    <xf numFmtId="0" fontId="3" fillId="4" borderId="5" xfId="1" applyFill="1" applyBorder="1" applyAlignment="1">
      <alignment horizontal="center"/>
    </xf>
    <xf numFmtId="0" fontId="4" fillId="0" borderId="6" xfId="1" applyFont="1" applyBorder="1" applyAlignment="1">
      <alignment horizontal="center"/>
    </xf>
    <xf numFmtId="165" fontId="0" fillId="0" borderId="0" xfId="0" applyNumberFormat="1"/>
    <xf numFmtId="164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5" fillId="5" borderId="1" xfId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</cellXfs>
  <cellStyles count="2">
    <cellStyle name="Normal" xfId="0" builtinId="0"/>
    <cellStyle name="Normal 2" xfId="1" xr:uid="{9BA4B2C9-19F1-48FC-BD95-D344105C33E3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B453-0085-426F-924B-8626046FA7A5}">
  <dimension ref="A1:H128"/>
  <sheetViews>
    <sheetView showGridLines="0" tabSelected="1" workbookViewId="0">
      <pane ySplit="11" topLeftCell="A12" activePane="bottomLeft" state="frozen"/>
      <selection pane="bottomLeft"/>
    </sheetView>
  </sheetViews>
  <sheetFormatPr defaultRowHeight="15" x14ac:dyDescent="0.25"/>
  <cols>
    <col min="1" max="1" width="4.28515625" customWidth="1"/>
    <col min="3" max="4" width="9.5703125" bestFit="1" customWidth="1"/>
    <col min="5" max="5" width="9.140625" customWidth="1"/>
    <col min="6" max="6" width="2.140625" customWidth="1"/>
    <col min="7" max="8" width="10.7109375" customWidth="1"/>
  </cols>
  <sheetData>
    <row r="1" spans="1:8" ht="15.75" thickBot="1" x14ac:dyDescent="0.3">
      <c r="A1" t="s">
        <v>12</v>
      </c>
    </row>
    <row r="2" spans="1:8" ht="18" customHeight="1" thickBot="1" x14ac:dyDescent="0.35">
      <c r="B2" s="20" t="s">
        <v>0</v>
      </c>
      <c r="C2" s="21"/>
      <c r="D2" s="21"/>
      <c r="E2" s="21"/>
      <c r="F2" s="21"/>
      <c r="G2" s="21"/>
      <c r="H2" s="22"/>
    </row>
    <row r="3" spans="1:8" x14ac:dyDescent="0.25">
      <c r="B3" s="23" t="s">
        <v>1</v>
      </c>
      <c r="C3" s="23"/>
      <c r="H3" s="4">
        <v>50</v>
      </c>
    </row>
    <row r="4" spans="1:8" x14ac:dyDescent="0.25">
      <c r="B4" s="24" t="s">
        <v>2</v>
      </c>
      <c r="C4" s="24"/>
      <c r="H4" s="5">
        <v>10000</v>
      </c>
    </row>
    <row r="5" spans="1:8" x14ac:dyDescent="0.25">
      <c r="B5" s="24" t="s">
        <v>3</v>
      </c>
      <c r="C5" s="24"/>
      <c r="H5" s="6">
        <v>0</v>
      </c>
    </row>
    <row r="6" spans="1:8" ht="7.5" customHeight="1" x14ac:dyDescent="0.25"/>
    <row r="7" spans="1:8" x14ac:dyDescent="0.25">
      <c r="B7" s="24" t="s">
        <v>4</v>
      </c>
      <c r="C7" s="24"/>
      <c r="H7" s="13">
        <f>SUM(H12:H120)</f>
        <v>31.192004126338162</v>
      </c>
    </row>
    <row r="8" spans="1:8" x14ac:dyDescent="0.25">
      <c r="B8" s="24" t="s">
        <v>5</v>
      </c>
      <c r="C8" s="24"/>
      <c r="H8" s="15">
        <f>H7*H4</f>
        <v>311920.0412633816</v>
      </c>
    </row>
    <row r="9" spans="1:8" ht="7.5" customHeight="1" thickBot="1" x14ac:dyDescent="0.3"/>
    <row r="10" spans="1:8" ht="18" customHeight="1" thickBot="1" x14ac:dyDescent="0.35">
      <c r="B10" s="16" t="s">
        <v>6</v>
      </c>
      <c r="C10" s="17"/>
      <c r="D10" s="17"/>
      <c r="E10" s="17"/>
      <c r="F10" s="17"/>
      <c r="G10" s="17"/>
      <c r="H10" s="18"/>
    </row>
    <row r="11" spans="1:8" x14ac:dyDescent="0.25">
      <c r="B11" s="3" t="s">
        <v>7</v>
      </c>
      <c r="C11" s="3" t="s">
        <v>8</v>
      </c>
      <c r="D11" s="3" t="s">
        <v>9</v>
      </c>
      <c r="E11" s="3" t="s">
        <v>10</v>
      </c>
      <c r="F11" s="2"/>
      <c r="G11" s="19" t="s">
        <v>11</v>
      </c>
      <c r="H11" s="19"/>
    </row>
    <row r="12" spans="1:8" x14ac:dyDescent="0.25">
      <c r="B12" s="1">
        <f>IF(H3="",65,H3)</f>
        <v>50</v>
      </c>
      <c r="C12" s="14">
        <f t="shared" ref="C12:C43" si="0">IF(B12="","",VLOOKUP(B12,QxTable,2))</f>
        <v>2.5790000000000001E-3</v>
      </c>
      <c r="D12" s="14">
        <f>IF(B12="","",1-C12)</f>
        <v>0.997421</v>
      </c>
      <c r="E12" s="14">
        <v>1</v>
      </c>
      <c r="H12" s="13">
        <f t="shared" ref="H12:H75" si="1">IF(B12="","",E12/(1+$H$5)^(B12-$B$12))</f>
        <v>1</v>
      </c>
    </row>
    <row r="13" spans="1:8" x14ac:dyDescent="0.25">
      <c r="B13" s="1">
        <f>IF(B12&gt;=120,"",B12+1)</f>
        <v>51</v>
      </c>
      <c r="C13" s="14">
        <f t="shared" si="0"/>
        <v>2.872E-3</v>
      </c>
      <c r="D13" s="14">
        <f t="shared" ref="D13:D76" si="2">IF(B13="","",1-C13)</f>
        <v>0.99712800000000001</v>
      </c>
      <c r="E13" s="14">
        <f>IF(B13="","",E12*D12)</f>
        <v>0.997421</v>
      </c>
      <c r="H13" s="13">
        <f t="shared" si="1"/>
        <v>0.997421</v>
      </c>
    </row>
    <row r="14" spans="1:8" x14ac:dyDescent="0.25">
      <c r="B14" s="1">
        <f t="shared" ref="B14:B77" si="3">IF(B13&gt;=120,"",B13+1)</f>
        <v>52</v>
      </c>
      <c r="C14" s="14">
        <f t="shared" si="0"/>
        <v>3.2130000000000001E-3</v>
      </c>
      <c r="D14" s="14">
        <f t="shared" si="2"/>
        <v>0.99678699999999998</v>
      </c>
      <c r="E14" s="14">
        <f t="shared" ref="E14:E77" si="4">IF(B14="","",E13*D13)</f>
        <v>0.99455640688800007</v>
      </c>
      <c r="H14" s="13">
        <f t="shared" si="1"/>
        <v>0.99455640688800007</v>
      </c>
    </row>
    <row r="15" spans="1:8" x14ac:dyDescent="0.25">
      <c r="B15" s="1">
        <f t="shared" si="3"/>
        <v>53</v>
      </c>
      <c r="C15" s="14">
        <f t="shared" si="0"/>
        <v>3.5839999999999999E-3</v>
      </c>
      <c r="D15" s="14">
        <f t="shared" si="2"/>
        <v>0.99641599999999997</v>
      </c>
      <c r="E15" s="14">
        <f t="shared" si="4"/>
        <v>0.99136089715266895</v>
      </c>
      <c r="H15" s="13">
        <f t="shared" si="1"/>
        <v>0.99136089715266895</v>
      </c>
    </row>
    <row r="16" spans="1:8" x14ac:dyDescent="0.25">
      <c r="B16" s="1">
        <f t="shared" si="3"/>
        <v>54</v>
      </c>
      <c r="C16" s="14">
        <f t="shared" si="0"/>
        <v>3.9789999999999999E-3</v>
      </c>
      <c r="D16" s="14">
        <f t="shared" si="2"/>
        <v>0.99602100000000005</v>
      </c>
      <c r="E16" s="14">
        <f t="shared" si="4"/>
        <v>0.9878078596972738</v>
      </c>
      <c r="H16" s="13">
        <f t="shared" si="1"/>
        <v>0.9878078596972738</v>
      </c>
    </row>
    <row r="17" spans="2:8" x14ac:dyDescent="0.25">
      <c r="B17" s="1">
        <f t="shared" si="3"/>
        <v>55</v>
      </c>
      <c r="C17" s="14">
        <f t="shared" si="0"/>
        <v>4.4250000000000001E-3</v>
      </c>
      <c r="D17" s="14">
        <f t="shared" si="2"/>
        <v>0.99557499999999999</v>
      </c>
      <c r="E17" s="14">
        <f t="shared" si="4"/>
        <v>0.98387737222353844</v>
      </c>
      <c r="H17" s="13">
        <f t="shared" si="1"/>
        <v>0.98387737222353844</v>
      </c>
    </row>
    <row r="18" spans="2:8" x14ac:dyDescent="0.25">
      <c r="B18" s="1">
        <f t="shared" si="3"/>
        <v>56</v>
      </c>
      <c r="C18" s="14">
        <f t="shared" si="0"/>
        <v>4.9490000000000003E-3</v>
      </c>
      <c r="D18" s="14">
        <f t="shared" si="2"/>
        <v>0.99505100000000002</v>
      </c>
      <c r="E18" s="14">
        <f t="shared" si="4"/>
        <v>0.97952371485144929</v>
      </c>
      <c r="H18" s="13">
        <f t="shared" si="1"/>
        <v>0.97952371485144929</v>
      </c>
    </row>
    <row r="19" spans="2:8" x14ac:dyDescent="0.25">
      <c r="B19" s="1">
        <f t="shared" si="3"/>
        <v>57</v>
      </c>
      <c r="C19" s="14">
        <f t="shared" si="0"/>
        <v>5.581E-3</v>
      </c>
      <c r="D19" s="14">
        <f t="shared" si="2"/>
        <v>0.99441900000000005</v>
      </c>
      <c r="E19" s="14">
        <f t="shared" si="4"/>
        <v>0.97467605198664953</v>
      </c>
      <c r="H19" s="13">
        <f t="shared" si="1"/>
        <v>0.97467605198664953</v>
      </c>
    </row>
    <row r="20" spans="2:8" x14ac:dyDescent="0.25">
      <c r="B20" s="1">
        <f t="shared" si="3"/>
        <v>58</v>
      </c>
      <c r="C20" s="14">
        <f t="shared" si="0"/>
        <v>6.3E-3</v>
      </c>
      <c r="D20" s="14">
        <f t="shared" si="2"/>
        <v>0.99370000000000003</v>
      </c>
      <c r="E20" s="14">
        <f t="shared" si="4"/>
        <v>0.96923638494051212</v>
      </c>
      <c r="H20" s="13">
        <f t="shared" si="1"/>
        <v>0.96923638494051212</v>
      </c>
    </row>
    <row r="21" spans="2:8" x14ac:dyDescent="0.25">
      <c r="B21" s="1">
        <f t="shared" si="3"/>
        <v>59</v>
      </c>
      <c r="C21" s="14">
        <f t="shared" si="0"/>
        <v>7.0899999999999999E-3</v>
      </c>
      <c r="D21" s="14">
        <f t="shared" si="2"/>
        <v>0.99290999999999996</v>
      </c>
      <c r="E21" s="14">
        <f t="shared" si="4"/>
        <v>0.96313019571538694</v>
      </c>
      <c r="H21" s="13">
        <f t="shared" si="1"/>
        <v>0.96313019571538694</v>
      </c>
    </row>
    <row r="22" spans="2:8" x14ac:dyDescent="0.25">
      <c r="B22" s="1">
        <f t="shared" si="3"/>
        <v>60</v>
      </c>
      <c r="C22" s="14">
        <f t="shared" si="0"/>
        <v>7.9760000000000005E-3</v>
      </c>
      <c r="D22" s="14">
        <f t="shared" si="2"/>
        <v>0.99202400000000002</v>
      </c>
      <c r="E22" s="14">
        <f t="shared" si="4"/>
        <v>0.95630160262776476</v>
      </c>
      <c r="H22" s="13">
        <f t="shared" si="1"/>
        <v>0.95630160262776476</v>
      </c>
    </row>
    <row r="23" spans="2:8" x14ac:dyDescent="0.25">
      <c r="B23" s="1">
        <f t="shared" si="3"/>
        <v>61</v>
      </c>
      <c r="C23" s="14">
        <f t="shared" si="0"/>
        <v>8.9859999999999992E-3</v>
      </c>
      <c r="D23" s="14">
        <f t="shared" si="2"/>
        <v>0.99101399999999995</v>
      </c>
      <c r="E23" s="14">
        <f t="shared" si="4"/>
        <v>0.94867414104520575</v>
      </c>
      <c r="H23" s="13">
        <f t="shared" si="1"/>
        <v>0.94867414104520575</v>
      </c>
    </row>
    <row r="24" spans="2:8" x14ac:dyDescent="0.25">
      <c r="B24" s="1">
        <f t="shared" si="3"/>
        <v>62</v>
      </c>
      <c r="C24" s="14">
        <f t="shared" si="0"/>
        <v>1.0147E-2</v>
      </c>
      <c r="D24" s="14">
        <f t="shared" si="2"/>
        <v>0.98985299999999998</v>
      </c>
      <c r="E24" s="14">
        <f t="shared" si="4"/>
        <v>0.94014935521377352</v>
      </c>
      <c r="H24" s="13">
        <f t="shared" si="1"/>
        <v>0.94014935521377352</v>
      </c>
    </row>
    <row r="25" spans="2:8" x14ac:dyDescent="0.25">
      <c r="B25" s="1">
        <f t="shared" si="3"/>
        <v>63</v>
      </c>
      <c r="C25" s="14">
        <f t="shared" si="0"/>
        <v>1.1471E-2</v>
      </c>
      <c r="D25" s="14">
        <f t="shared" si="2"/>
        <v>0.98852899999999999</v>
      </c>
      <c r="E25" s="14">
        <f t="shared" si="4"/>
        <v>0.93060965970641929</v>
      </c>
      <c r="H25" s="13">
        <f t="shared" si="1"/>
        <v>0.93060965970641929</v>
      </c>
    </row>
    <row r="26" spans="2:8" x14ac:dyDescent="0.25">
      <c r="B26" s="1">
        <f t="shared" si="3"/>
        <v>64</v>
      </c>
      <c r="C26" s="14">
        <f t="shared" si="0"/>
        <v>1.294E-2</v>
      </c>
      <c r="D26" s="14">
        <f t="shared" si="2"/>
        <v>0.98706000000000005</v>
      </c>
      <c r="E26" s="14">
        <f t="shared" si="4"/>
        <v>0.919934636299927</v>
      </c>
      <c r="H26" s="13">
        <f t="shared" si="1"/>
        <v>0.919934636299927</v>
      </c>
    </row>
    <row r="27" spans="2:8" x14ac:dyDescent="0.25">
      <c r="B27" s="1">
        <f t="shared" si="3"/>
        <v>65</v>
      </c>
      <c r="C27" s="14">
        <f t="shared" si="0"/>
        <v>1.4534999999999999E-2</v>
      </c>
      <c r="D27" s="14">
        <f t="shared" si="2"/>
        <v>0.98546500000000004</v>
      </c>
      <c r="E27" s="14">
        <f t="shared" si="4"/>
        <v>0.90803068210620597</v>
      </c>
      <c r="H27" s="13">
        <f t="shared" si="1"/>
        <v>0.90803068210620597</v>
      </c>
    </row>
    <row r="28" spans="2:8" x14ac:dyDescent="0.25">
      <c r="B28" s="1">
        <f t="shared" si="3"/>
        <v>66</v>
      </c>
      <c r="C28" s="14">
        <f t="shared" si="0"/>
        <v>1.6239E-2</v>
      </c>
      <c r="D28" s="14">
        <f t="shared" si="2"/>
        <v>0.983761</v>
      </c>
      <c r="E28" s="14">
        <f t="shared" si="4"/>
        <v>0.8948324561417923</v>
      </c>
      <c r="H28" s="13">
        <f t="shared" si="1"/>
        <v>0.8948324561417923</v>
      </c>
    </row>
    <row r="29" spans="2:8" x14ac:dyDescent="0.25">
      <c r="B29" s="1">
        <f t="shared" si="3"/>
        <v>67</v>
      </c>
      <c r="C29" s="14">
        <f t="shared" si="0"/>
        <v>1.8034000000000001E-2</v>
      </c>
      <c r="D29" s="14">
        <f t="shared" si="2"/>
        <v>0.98196600000000001</v>
      </c>
      <c r="E29" s="14">
        <f t="shared" si="4"/>
        <v>0.88030127188650575</v>
      </c>
      <c r="H29" s="13">
        <f t="shared" si="1"/>
        <v>0.88030127188650575</v>
      </c>
    </row>
    <row r="30" spans="2:8" x14ac:dyDescent="0.25">
      <c r="B30" s="1">
        <f t="shared" si="3"/>
        <v>68</v>
      </c>
      <c r="C30" s="14">
        <f t="shared" si="0"/>
        <v>1.9859000000000002E-2</v>
      </c>
      <c r="D30" s="14">
        <f t="shared" si="2"/>
        <v>0.98014100000000004</v>
      </c>
      <c r="E30" s="14">
        <f t="shared" si="4"/>
        <v>0.86442591874930452</v>
      </c>
      <c r="H30" s="13">
        <f t="shared" si="1"/>
        <v>0.86442591874930452</v>
      </c>
    </row>
    <row r="31" spans="2:8" x14ac:dyDescent="0.25">
      <c r="B31" s="1">
        <f t="shared" si="3"/>
        <v>69</v>
      </c>
      <c r="C31" s="14">
        <f t="shared" si="0"/>
        <v>2.1728999999999998E-2</v>
      </c>
      <c r="D31" s="14">
        <f t="shared" si="2"/>
        <v>0.978271</v>
      </c>
      <c r="E31" s="14">
        <f t="shared" si="4"/>
        <v>0.84725928442886211</v>
      </c>
      <c r="H31" s="13">
        <f t="shared" si="1"/>
        <v>0.84725928442886211</v>
      </c>
    </row>
    <row r="32" spans="2:8" x14ac:dyDescent="0.25">
      <c r="B32" s="1">
        <f t="shared" si="3"/>
        <v>70</v>
      </c>
      <c r="C32" s="14">
        <f t="shared" si="0"/>
        <v>2.3730000000000001E-2</v>
      </c>
      <c r="D32" s="14">
        <f t="shared" si="2"/>
        <v>0.97626999999999997</v>
      </c>
      <c r="E32" s="14">
        <f t="shared" si="4"/>
        <v>0.82884918743750735</v>
      </c>
      <c r="H32" s="13">
        <f t="shared" si="1"/>
        <v>0.82884918743750735</v>
      </c>
    </row>
    <row r="33" spans="2:8" x14ac:dyDescent="0.25">
      <c r="B33" s="1">
        <f t="shared" si="3"/>
        <v>71</v>
      </c>
      <c r="C33" s="14">
        <f t="shared" si="0"/>
        <v>2.5950999999999998E-2</v>
      </c>
      <c r="D33" s="14">
        <f t="shared" si="2"/>
        <v>0.97404900000000005</v>
      </c>
      <c r="E33" s="14">
        <f t="shared" si="4"/>
        <v>0.80918059621961524</v>
      </c>
      <c r="H33" s="13">
        <f t="shared" si="1"/>
        <v>0.80918059621961524</v>
      </c>
    </row>
    <row r="34" spans="2:8" x14ac:dyDescent="0.25">
      <c r="B34" s="1">
        <f t="shared" si="3"/>
        <v>72</v>
      </c>
      <c r="C34" s="14">
        <f t="shared" si="0"/>
        <v>2.8480999999999999E-2</v>
      </c>
      <c r="D34" s="14">
        <f t="shared" si="2"/>
        <v>0.97151900000000002</v>
      </c>
      <c r="E34" s="14">
        <f t="shared" si="4"/>
        <v>0.78818155056712003</v>
      </c>
      <c r="H34" s="13">
        <f t="shared" si="1"/>
        <v>0.78818155056712003</v>
      </c>
    </row>
    <row r="35" spans="2:8" x14ac:dyDescent="0.25">
      <c r="B35" s="1">
        <f t="shared" si="3"/>
        <v>73</v>
      </c>
      <c r="C35" s="14">
        <f t="shared" si="0"/>
        <v>3.1201E-2</v>
      </c>
      <c r="D35" s="14">
        <f t="shared" si="2"/>
        <v>0.96879899999999997</v>
      </c>
      <c r="E35" s="14">
        <f t="shared" si="4"/>
        <v>0.76573335182541791</v>
      </c>
      <c r="H35" s="13">
        <f t="shared" si="1"/>
        <v>0.76573335182541791</v>
      </c>
    </row>
    <row r="36" spans="2:8" x14ac:dyDescent="0.25">
      <c r="B36" s="1">
        <f t="shared" si="3"/>
        <v>74</v>
      </c>
      <c r="C36" s="14">
        <f t="shared" si="0"/>
        <v>3.4050999999999998E-2</v>
      </c>
      <c r="D36" s="14">
        <f t="shared" si="2"/>
        <v>0.96594899999999995</v>
      </c>
      <c r="E36" s="14">
        <f t="shared" si="4"/>
        <v>0.74184170551511297</v>
      </c>
      <c r="H36" s="13">
        <f t="shared" si="1"/>
        <v>0.74184170551511297</v>
      </c>
    </row>
    <row r="37" spans="2:8" x14ac:dyDescent="0.25">
      <c r="B37" s="1">
        <f t="shared" si="3"/>
        <v>75</v>
      </c>
      <c r="C37" s="14">
        <f t="shared" si="0"/>
        <v>3.7211000000000001E-2</v>
      </c>
      <c r="D37" s="14">
        <f t="shared" si="2"/>
        <v>0.96278900000000001</v>
      </c>
      <c r="E37" s="14">
        <f t="shared" si="4"/>
        <v>0.71658125360061786</v>
      </c>
      <c r="H37" s="13">
        <f t="shared" si="1"/>
        <v>0.71658125360061786</v>
      </c>
    </row>
    <row r="38" spans="2:8" x14ac:dyDescent="0.25">
      <c r="B38" s="1">
        <f t="shared" si="3"/>
        <v>76</v>
      </c>
      <c r="C38" s="14">
        <f t="shared" si="0"/>
        <v>4.0857999999999998E-2</v>
      </c>
      <c r="D38" s="14">
        <f t="shared" si="2"/>
        <v>0.95914200000000005</v>
      </c>
      <c r="E38" s="14">
        <f t="shared" si="4"/>
        <v>0.68991654857288531</v>
      </c>
      <c r="H38" s="13">
        <f t="shared" si="1"/>
        <v>0.68991654857288531</v>
      </c>
    </row>
    <row r="39" spans="2:8" x14ac:dyDescent="0.25">
      <c r="B39" s="1">
        <f t="shared" si="3"/>
        <v>77</v>
      </c>
      <c r="C39" s="14">
        <f t="shared" si="0"/>
        <v>4.5171000000000003E-2</v>
      </c>
      <c r="D39" s="14">
        <f t="shared" si="2"/>
        <v>0.95482900000000004</v>
      </c>
      <c r="E39" s="14">
        <f t="shared" si="4"/>
        <v>0.66172793823129439</v>
      </c>
      <c r="H39" s="13">
        <f t="shared" si="1"/>
        <v>0.66172793823129439</v>
      </c>
    </row>
    <row r="40" spans="2:8" x14ac:dyDescent="0.25">
      <c r="B40" s="1">
        <f t="shared" si="3"/>
        <v>78</v>
      </c>
      <c r="C40" s="14">
        <f t="shared" si="0"/>
        <v>5.0210999999999999E-2</v>
      </c>
      <c r="D40" s="14">
        <f t="shared" si="2"/>
        <v>0.94978899999999999</v>
      </c>
      <c r="E40" s="14">
        <f t="shared" si="4"/>
        <v>0.63183702553344856</v>
      </c>
      <c r="H40" s="13">
        <f t="shared" si="1"/>
        <v>0.63183702553344856</v>
      </c>
    </row>
    <row r="41" spans="2:8" x14ac:dyDescent="0.25">
      <c r="B41" s="1">
        <f t="shared" si="3"/>
        <v>79</v>
      </c>
      <c r="C41" s="14">
        <f t="shared" si="0"/>
        <v>5.5861000000000001E-2</v>
      </c>
      <c r="D41" s="14">
        <f t="shared" si="2"/>
        <v>0.94413899999999995</v>
      </c>
      <c r="E41" s="14">
        <f t="shared" si="4"/>
        <v>0.6001118566443886</v>
      </c>
      <c r="H41" s="13">
        <f t="shared" si="1"/>
        <v>0.6001118566443886</v>
      </c>
    </row>
    <row r="42" spans="2:8" x14ac:dyDescent="0.25">
      <c r="B42" s="1">
        <f t="shared" si="3"/>
        <v>80</v>
      </c>
      <c r="C42" s="14">
        <f t="shared" si="0"/>
        <v>6.2026999999999999E-2</v>
      </c>
      <c r="D42" s="14">
        <f t="shared" si="2"/>
        <v>0.93797299999999995</v>
      </c>
      <c r="E42" s="14">
        <f t="shared" si="4"/>
        <v>0.56658900822037639</v>
      </c>
      <c r="H42" s="13">
        <f t="shared" si="1"/>
        <v>0.56658900822037639</v>
      </c>
    </row>
    <row r="43" spans="2:8" x14ac:dyDescent="0.25">
      <c r="B43" s="1">
        <f t="shared" si="3"/>
        <v>81</v>
      </c>
      <c r="C43" s="14">
        <f t="shared" si="0"/>
        <v>6.8614999999999995E-2</v>
      </c>
      <c r="D43" s="14">
        <f t="shared" si="2"/>
        <v>0.93138500000000002</v>
      </c>
      <c r="E43" s="14">
        <f t="shared" si="4"/>
        <v>0.53144519180749106</v>
      </c>
      <c r="H43" s="13">
        <f t="shared" si="1"/>
        <v>0.53144519180749106</v>
      </c>
    </row>
    <row r="44" spans="2:8" x14ac:dyDescent="0.25">
      <c r="B44" s="1">
        <f t="shared" si="3"/>
        <v>82</v>
      </c>
      <c r="C44" s="14">
        <f t="shared" ref="C44:C75" si="5">IF(B44="","",VLOOKUP(B44,QxTable,2))</f>
        <v>7.5532000000000002E-2</v>
      </c>
      <c r="D44" s="14">
        <f t="shared" si="2"/>
        <v>0.92446799999999996</v>
      </c>
      <c r="E44" s="14">
        <f t="shared" si="4"/>
        <v>0.49498007997162008</v>
      </c>
      <c r="H44" s="13">
        <f t="shared" si="1"/>
        <v>0.49498007997162008</v>
      </c>
    </row>
    <row r="45" spans="2:8" x14ac:dyDescent="0.25">
      <c r="B45" s="1">
        <f t="shared" si="3"/>
        <v>83</v>
      </c>
      <c r="C45" s="14">
        <f t="shared" si="5"/>
        <v>8.251E-2</v>
      </c>
      <c r="D45" s="14">
        <f t="shared" si="2"/>
        <v>0.91749000000000003</v>
      </c>
      <c r="E45" s="14">
        <f t="shared" si="4"/>
        <v>0.45759324457120365</v>
      </c>
      <c r="H45" s="13">
        <f t="shared" si="1"/>
        <v>0.45759324457120365</v>
      </c>
    </row>
    <row r="46" spans="2:8" x14ac:dyDescent="0.25">
      <c r="B46" s="1">
        <f t="shared" si="3"/>
        <v>84</v>
      </c>
      <c r="C46" s="14">
        <f t="shared" si="5"/>
        <v>8.9612999999999998E-2</v>
      </c>
      <c r="D46" s="14">
        <f t="shared" si="2"/>
        <v>0.91038700000000006</v>
      </c>
      <c r="E46" s="14">
        <f t="shared" si="4"/>
        <v>0.41983722596163364</v>
      </c>
      <c r="H46" s="13">
        <f t="shared" si="1"/>
        <v>0.41983722596163364</v>
      </c>
    </row>
    <row r="47" spans="2:8" x14ac:dyDescent="0.25">
      <c r="B47" s="1">
        <f t="shared" si="3"/>
        <v>85</v>
      </c>
      <c r="C47" s="14">
        <f t="shared" si="5"/>
        <v>9.7239999999999993E-2</v>
      </c>
      <c r="D47" s="14">
        <f t="shared" si="2"/>
        <v>0.90276000000000001</v>
      </c>
      <c r="E47" s="14">
        <f t="shared" si="4"/>
        <v>0.3822143526315338</v>
      </c>
      <c r="H47" s="13">
        <f t="shared" si="1"/>
        <v>0.3822143526315338</v>
      </c>
    </row>
    <row r="48" spans="2:8" x14ac:dyDescent="0.25">
      <c r="B48" s="1">
        <f t="shared" si="3"/>
        <v>86</v>
      </c>
      <c r="C48" s="14">
        <f t="shared" si="5"/>
        <v>0.105792</v>
      </c>
      <c r="D48" s="14">
        <f t="shared" si="2"/>
        <v>0.894208</v>
      </c>
      <c r="E48" s="14">
        <f t="shared" si="4"/>
        <v>0.34504782898164343</v>
      </c>
      <c r="H48" s="13">
        <f t="shared" si="1"/>
        <v>0.34504782898164343</v>
      </c>
    </row>
    <row r="49" spans="2:8" x14ac:dyDescent="0.25">
      <c r="B49" s="1">
        <f t="shared" si="3"/>
        <v>87</v>
      </c>
      <c r="C49" s="14">
        <f t="shared" si="5"/>
        <v>0.115671</v>
      </c>
      <c r="D49" s="14">
        <f t="shared" si="2"/>
        <v>0.88432900000000003</v>
      </c>
      <c r="E49" s="14">
        <f t="shared" si="4"/>
        <v>0.30854452905801744</v>
      </c>
      <c r="H49" s="13">
        <f t="shared" si="1"/>
        <v>0.30854452905801744</v>
      </c>
    </row>
    <row r="50" spans="2:8" x14ac:dyDescent="0.25">
      <c r="B50" s="1">
        <f t="shared" si="3"/>
        <v>88</v>
      </c>
      <c r="C50" s="14">
        <f t="shared" si="5"/>
        <v>0.12698000000000001</v>
      </c>
      <c r="D50" s="14">
        <f t="shared" si="2"/>
        <v>0.87302000000000002</v>
      </c>
      <c r="E50" s="14">
        <f t="shared" si="4"/>
        <v>0.27285487483734749</v>
      </c>
      <c r="H50" s="13">
        <f t="shared" si="1"/>
        <v>0.27285487483734749</v>
      </c>
    </row>
    <row r="51" spans="2:8" x14ac:dyDescent="0.25">
      <c r="B51" s="1">
        <f t="shared" si="3"/>
        <v>89</v>
      </c>
      <c r="C51" s="14">
        <f t="shared" si="5"/>
        <v>0.13945199999999999</v>
      </c>
      <c r="D51" s="14">
        <f t="shared" si="2"/>
        <v>0.86054799999999998</v>
      </c>
      <c r="E51" s="14">
        <f t="shared" si="4"/>
        <v>0.2382077628305011</v>
      </c>
      <c r="H51" s="13">
        <f t="shared" si="1"/>
        <v>0.2382077628305011</v>
      </c>
    </row>
    <row r="52" spans="2:8" x14ac:dyDescent="0.25">
      <c r="B52" s="1">
        <f t="shared" si="3"/>
        <v>90</v>
      </c>
      <c r="C52" s="14">
        <f t="shared" si="5"/>
        <v>0.15293100000000001</v>
      </c>
      <c r="D52" s="14">
        <f t="shared" si="2"/>
        <v>0.84706899999999996</v>
      </c>
      <c r="E52" s="14">
        <f t="shared" si="4"/>
        <v>0.20498921388826205</v>
      </c>
      <c r="H52" s="13">
        <f t="shared" si="1"/>
        <v>0.20498921388826205</v>
      </c>
    </row>
    <row r="53" spans="2:8" x14ac:dyDescent="0.25">
      <c r="B53" s="1">
        <f t="shared" si="3"/>
        <v>91</v>
      </c>
      <c r="C53" s="14">
        <f t="shared" si="5"/>
        <v>0.16725999999999999</v>
      </c>
      <c r="D53" s="14">
        <f t="shared" si="2"/>
        <v>0.83274000000000004</v>
      </c>
      <c r="E53" s="14">
        <f t="shared" si="4"/>
        <v>0.17364000841911623</v>
      </c>
      <c r="H53" s="13">
        <f t="shared" si="1"/>
        <v>0.17364000841911623</v>
      </c>
    </row>
    <row r="54" spans="2:8" x14ac:dyDescent="0.25">
      <c r="B54" s="1">
        <f t="shared" si="3"/>
        <v>92</v>
      </c>
      <c r="C54" s="14">
        <f t="shared" si="5"/>
        <v>0.182281</v>
      </c>
      <c r="D54" s="14">
        <f t="shared" si="2"/>
        <v>0.81771899999999997</v>
      </c>
      <c r="E54" s="14">
        <f t="shared" si="4"/>
        <v>0.14459698061093484</v>
      </c>
      <c r="H54" s="13">
        <f t="shared" si="1"/>
        <v>0.14459698061093484</v>
      </c>
    </row>
    <row r="55" spans="2:8" x14ac:dyDescent="0.25">
      <c r="B55" s="1">
        <f t="shared" si="3"/>
        <v>93</v>
      </c>
      <c r="C55" s="14">
        <f t="shared" si="5"/>
        <v>0.19839200000000001</v>
      </c>
      <c r="D55" s="14">
        <f t="shared" si="2"/>
        <v>0.80160799999999999</v>
      </c>
      <c r="E55" s="14">
        <f t="shared" si="4"/>
        <v>0.11823969838819302</v>
      </c>
      <c r="H55" s="13">
        <f t="shared" si="1"/>
        <v>0.11823969838819302</v>
      </c>
    </row>
    <row r="56" spans="2:8" x14ac:dyDescent="0.25">
      <c r="B56" s="1">
        <f t="shared" si="3"/>
        <v>94</v>
      </c>
      <c r="C56" s="14">
        <f t="shared" si="5"/>
        <v>0.2157</v>
      </c>
      <c r="D56" s="14">
        <f t="shared" si="2"/>
        <v>0.7843</v>
      </c>
      <c r="E56" s="14">
        <f t="shared" si="4"/>
        <v>9.4781888145562626E-2</v>
      </c>
      <c r="H56" s="13">
        <f t="shared" si="1"/>
        <v>9.4781888145562626E-2</v>
      </c>
    </row>
    <row r="57" spans="2:8" x14ac:dyDescent="0.25">
      <c r="B57" s="1">
        <f t="shared" si="3"/>
        <v>95</v>
      </c>
      <c r="C57" s="14">
        <f t="shared" si="5"/>
        <v>0.23360600000000001</v>
      </c>
      <c r="D57" s="14">
        <f t="shared" si="2"/>
        <v>0.76639400000000002</v>
      </c>
      <c r="E57" s="14">
        <f t="shared" si="4"/>
        <v>7.4337434872564764E-2</v>
      </c>
      <c r="H57" s="13">
        <f t="shared" si="1"/>
        <v>7.4337434872564764E-2</v>
      </c>
    </row>
    <row r="58" spans="2:8" x14ac:dyDescent="0.25">
      <c r="B58" s="1">
        <f t="shared" si="3"/>
        <v>96</v>
      </c>
      <c r="C58" s="14">
        <f t="shared" si="5"/>
        <v>0.25151000000000001</v>
      </c>
      <c r="D58" s="14">
        <f t="shared" si="2"/>
        <v>0.74848999999999999</v>
      </c>
      <c r="E58" s="14">
        <f t="shared" si="4"/>
        <v>5.6971764061724404E-2</v>
      </c>
      <c r="H58" s="13">
        <f t="shared" si="1"/>
        <v>5.6971764061724404E-2</v>
      </c>
    </row>
    <row r="59" spans="2:8" x14ac:dyDescent="0.25">
      <c r="B59" s="1">
        <f t="shared" si="3"/>
        <v>97</v>
      </c>
      <c r="C59" s="14">
        <f t="shared" si="5"/>
        <v>0.26881500000000003</v>
      </c>
      <c r="D59" s="14">
        <f t="shared" si="2"/>
        <v>0.73118499999999997</v>
      </c>
      <c r="E59" s="14">
        <f t="shared" si="4"/>
        <v>4.2642795682560096E-2</v>
      </c>
      <c r="H59" s="13">
        <f t="shared" si="1"/>
        <v>4.2642795682560096E-2</v>
      </c>
    </row>
    <row r="60" spans="2:8" x14ac:dyDescent="0.25">
      <c r="B60" s="1">
        <f t="shared" si="3"/>
        <v>98</v>
      </c>
      <c r="C60" s="14">
        <f t="shared" si="5"/>
        <v>0.285277</v>
      </c>
      <c r="D60" s="14">
        <f t="shared" si="2"/>
        <v>0.714723</v>
      </c>
      <c r="E60" s="14">
        <f t="shared" si="4"/>
        <v>3.1179772561152702E-2</v>
      </c>
      <c r="H60" s="13">
        <f t="shared" si="1"/>
        <v>3.1179772561152702E-2</v>
      </c>
    </row>
    <row r="61" spans="2:8" x14ac:dyDescent="0.25">
      <c r="B61" s="1">
        <f t="shared" si="3"/>
        <v>99</v>
      </c>
      <c r="C61" s="14">
        <f t="shared" si="5"/>
        <v>0.30129800000000001</v>
      </c>
      <c r="D61" s="14">
        <f t="shared" si="2"/>
        <v>0.69870199999999993</v>
      </c>
      <c r="E61" s="14">
        <f t="shared" si="4"/>
        <v>2.2284900584224741E-2</v>
      </c>
      <c r="H61" s="13">
        <f t="shared" si="1"/>
        <v>2.2284900584224741E-2</v>
      </c>
    </row>
    <row r="62" spans="2:8" x14ac:dyDescent="0.25">
      <c r="B62" s="1">
        <f t="shared" si="3"/>
        <v>100</v>
      </c>
      <c r="C62" s="14">
        <f t="shared" si="5"/>
        <v>0.31723800000000002</v>
      </c>
      <c r="D62" s="14">
        <f t="shared" si="2"/>
        <v>0.68276199999999998</v>
      </c>
      <c r="E62" s="14">
        <f t="shared" si="4"/>
        <v>1.5570504607998994E-2</v>
      </c>
      <c r="H62" s="13">
        <f t="shared" si="1"/>
        <v>1.5570504607998994E-2</v>
      </c>
    </row>
    <row r="63" spans="2:8" x14ac:dyDescent="0.25">
      <c r="B63" s="1">
        <f t="shared" si="3"/>
        <v>101</v>
      </c>
      <c r="C63" s="14">
        <f t="shared" si="5"/>
        <v>0.33346100000000001</v>
      </c>
      <c r="D63" s="14">
        <f t="shared" si="2"/>
        <v>0.66653899999999999</v>
      </c>
      <c r="E63" s="14">
        <f t="shared" si="4"/>
        <v>1.0630948867166609E-2</v>
      </c>
      <c r="H63" s="13">
        <f t="shared" si="1"/>
        <v>1.0630948867166609E-2</v>
      </c>
    </row>
    <row r="64" spans="2:8" x14ac:dyDescent="0.25">
      <c r="B64" s="1">
        <f t="shared" si="3"/>
        <v>102</v>
      </c>
      <c r="C64" s="14">
        <f t="shared" si="5"/>
        <v>0.35032999999999997</v>
      </c>
      <c r="D64" s="14">
        <f t="shared" si="2"/>
        <v>0.64966999999999997</v>
      </c>
      <c r="E64" s="14">
        <f t="shared" si="4"/>
        <v>7.085942026972364E-3</v>
      </c>
      <c r="H64" s="13">
        <f t="shared" si="1"/>
        <v>7.085942026972364E-3</v>
      </c>
    </row>
    <row r="65" spans="2:8" x14ac:dyDescent="0.25">
      <c r="B65" s="1">
        <f t="shared" si="3"/>
        <v>103</v>
      </c>
      <c r="C65" s="14">
        <f t="shared" si="5"/>
        <v>0.36854199999999998</v>
      </c>
      <c r="D65" s="14">
        <f t="shared" si="2"/>
        <v>0.63145800000000007</v>
      </c>
      <c r="E65" s="14">
        <f t="shared" si="4"/>
        <v>4.6035239566631359E-3</v>
      </c>
      <c r="H65" s="13">
        <f t="shared" si="1"/>
        <v>4.6035239566631359E-3</v>
      </c>
    </row>
    <row r="66" spans="2:8" x14ac:dyDescent="0.25">
      <c r="B66" s="1">
        <f t="shared" si="3"/>
        <v>104</v>
      </c>
      <c r="C66" s="14">
        <f t="shared" si="5"/>
        <v>0.38785500000000001</v>
      </c>
      <c r="D66" s="14">
        <f t="shared" si="2"/>
        <v>0.61214499999999994</v>
      </c>
      <c r="E66" s="14">
        <f t="shared" si="4"/>
        <v>2.9069320306265908E-3</v>
      </c>
      <c r="H66" s="13">
        <f t="shared" si="1"/>
        <v>2.9069320306265908E-3</v>
      </c>
    </row>
    <row r="67" spans="2:8" x14ac:dyDescent="0.25">
      <c r="B67" s="1">
        <f t="shared" si="3"/>
        <v>105</v>
      </c>
      <c r="C67" s="14">
        <f t="shared" si="5"/>
        <v>0.40722399999999997</v>
      </c>
      <c r="D67" s="14">
        <f t="shared" si="2"/>
        <v>0.59277599999999997</v>
      </c>
      <c r="E67" s="14">
        <f t="shared" si="4"/>
        <v>1.7794639078879142E-3</v>
      </c>
      <c r="H67" s="13">
        <f t="shared" si="1"/>
        <v>1.7794639078879142E-3</v>
      </c>
    </row>
    <row r="68" spans="2:8" x14ac:dyDescent="0.25">
      <c r="B68" s="1">
        <f t="shared" si="3"/>
        <v>106</v>
      </c>
      <c r="C68" s="14">
        <f t="shared" si="5"/>
        <v>0.42559900000000001</v>
      </c>
      <c r="D68" s="14">
        <f t="shared" si="2"/>
        <v>0.57440099999999994</v>
      </c>
      <c r="E68" s="14">
        <f t="shared" si="4"/>
        <v>1.0548234974621662E-3</v>
      </c>
      <c r="H68" s="13">
        <f t="shared" si="1"/>
        <v>1.0548234974621662E-3</v>
      </c>
    </row>
    <row r="69" spans="2:8" x14ac:dyDescent="0.25">
      <c r="B69" s="1">
        <f t="shared" si="3"/>
        <v>107</v>
      </c>
      <c r="C69" s="14">
        <f t="shared" si="5"/>
        <v>0.44193500000000002</v>
      </c>
      <c r="D69" s="14">
        <f t="shared" si="2"/>
        <v>0.55806500000000003</v>
      </c>
      <c r="E69" s="14">
        <f t="shared" si="4"/>
        <v>6.0589167176576563E-4</v>
      </c>
      <c r="H69" s="13">
        <f t="shared" si="1"/>
        <v>6.0589167176576563E-4</v>
      </c>
    </row>
    <row r="70" spans="2:8" x14ac:dyDescent="0.25">
      <c r="B70" s="1">
        <f t="shared" si="3"/>
        <v>108</v>
      </c>
      <c r="C70" s="14">
        <f t="shared" si="5"/>
        <v>0.45755299999999999</v>
      </c>
      <c r="D70" s="14">
        <f t="shared" si="2"/>
        <v>0.54244700000000001</v>
      </c>
      <c r="E70" s="14">
        <f t="shared" si="4"/>
        <v>3.38126935803962E-4</v>
      </c>
      <c r="H70" s="13">
        <f t="shared" si="1"/>
        <v>3.38126935803962E-4</v>
      </c>
    </row>
    <row r="71" spans="2:8" x14ac:dyDescent="0.25">
      <c r="B71" s="1">
        <f t="shared" si="3"/>
        <v>109</v>
      </c>
      <c r="C71" s="14">
        <f t="shared" si="5"/>
        <v>0.47315000000000002</v>
      </c>
      <c r="D71" s="14">
        <f t="shared" si="2"/>
        <v>0.52685000000000004</v>
      </c>
      <c r="E71" s="14">
        <f t="shared" si="4"/>
        <v>1.8341594194605179E-4</v>
      </c>
      <c r="H71" s="13">
        <f t="shared" si="1"/>
        <v>1.8341594194605179E-4</v>
      </c>
    </row>
    <row r="72" spans="2:8" x14ac:dyDescent="0.25">
      <c r="B72" s="1">
        <f t="shared" si="3"/>
        <v>110</v>
      </c>
      <c r="C72" s="14">
        <f t="shared" si="5"/>
        <v>0.48674499999999998</v>
      </c>
      <c r="D72" s="14">
        <f t="shared" si="2"/>
        <v>0.51325500000000002</v>
      </c>
      <c r="E72" s="14">
        <f t="shared" si="4"/>
        <v>9.6632689014277388E-5</v>
      </c>
      <c r="H72" s="13">
        <f t="shared" si="1"/>
        <v>9.6632689014277388E-5</v>
      </c>
    </row>
    <row r="73" spans="2:8" x14ac:dyDescent="0.25">
      <c r="B73" s="1">
        <f t="shared" si="3"/>
        <v>111</v>
      </c>
      <c r="C73" s="14">
        <f t="shared" si="5"/>
        <v>0.49635600000000002</v>
      </c>
      <c r="D73" s="14">
        <f t="shared" si="2"/>
        <v>0.50364399999999998</v>
      </c>
      <c r="E73" s="14">
        <f t="shared" si="4"/>
        <v>4.9597210800022945E-5</v>
      </c>
      <c r="H73" s="13">
        <f t="shared" si="1"/>
        <v>4.9597210800022945E-5</v>
      </c>
    </row>
    <row r="74" spans="2:8" x14ac:dyDescent="0.25">
      <c r="B74" s="1">
        <f t="shared" si="3"/>
        <v>112</v>
      </c>
      <c r="C74" s="14">
        <f t="shared" si="5"/>
        <v>0.5</v>
      </c>
      <c r="D74" s="14">
        <f t="shared" si="2"/>
        <v>0.5</v>
      </c>
      <c r="E74" s="14">
        <f t="shared" si="4"/>
        <v>2.4979337636166756E-5</v>
      </c>
      <c r="H74" s="13">
        <f t="shared" si="1"/>
        <v>2.4979337636166756E-5</v>
      </c>
    </row>
    <row r="75" spans="2:8" x14ac:dyDescent="0.25">
      <c r="B75" s="1">
        <f t="shared" si="3"/>
        <v>113</v>
      </c>
      <c r="C75" s="14">
        <f t="shared" si="5"/>
        <v>0.5</v>
      </c>
      <c r="D75" s="14">
        <f t="shared" si="2"/>
        <v>0.5</v>
      </c>
      <c r="E75" s="14">
        <f t="shared" si="4"/>
        <v>1.2489668818083378E-5</v>
      </c>
      <c r="H75" s="13">
        <f t="shared" si="1"/>
        <v>1.2489668818083378E-5</v>
      </c>
    </row>
    <row r="76" spans="2:8" x14ac:dyDescent="0.25">
      <c r="B76" s="1">
        <f t="shared" si="3"/>
        <v>114</v>
      </c>
      <c r="C76" s="14">
        <f t="shared" ref="C76:C107" si="6">IF(B76="","",VLOOKUP(B76,QxTable,2))</f>
        <v>0.5</v>
      </c>
      <c r="D76" s="14">
        <f t="shared" si="2"/>
        <v>0.5</v>
      </c>
      <c r="E76" s="14">
        <f t="shared" si="4"/>
        <v>6.244834409041689E-6</v>
      </c>
      <c r="H76" s="13">
        <f t="shared" ref="H76:H81" si="7">IF(B76="","",E76/(1+$H$5)^(B76-$B$12))</f>
        <v>6.244834409041689E-6</v>
      </c>
    </row>
    <row r="77" spans="2:8" x14ac:dyDescent="0.25">
      <c r="B77" s="1">
        <f t="shared" si="3"/>
        <v>115</v>
      </c>
      <c r="C77" s="14">
        <f t="shared" si="6"/>
        <v>0.5</v>
      </c>
      <c r="D77" s="14">
        <f t="shared" ref="D77:D112" si="8">IF(B77="","",1-C77)</f>
        <v>0.5</v>
      </c>
      <c r="E77" s="14">
        <f t="shared" si="4"/>
        <v>3.1224172045208445E-6</v>
      </c>
      <c r="H77" s="13">
        <f t="shared" si="7"/>
        <v>3.1224172045208445E-6</v>
      </c>
    </row>
    <row r="78" spans="2:8" x14ac:dyDescent="0.25">
      <c r="B78" s="1">
        <f t="shared" ref="B78:B112" si="9">IF(B77&gt;=120,"",B77+1)</f>
        <v>116</v>
      </c>
      <c r="C78" s="14">
        <f t="shared" si="6"/>
        <v>0.5</v>
      </c>
      <c r="D78" s="14">
        <f t="shared" si="8"/>
        <v>0.5</v>
      </c>
      <c r="E78" s="14">
        <f t="shared" ref="E78:E112" si="10">IF(B78="","",E77*D77)</f>
        <v>1.5612086022604222E-6</v>
      </c>
      <c r="H78" s="13">
        <f t="shared" si="7"/>
        <v>1.5612086022604222E-6</v>
      </c>
    </row>
    <row r="79" spans="2:8" x14ac:dyDescent="0.25">
      <c r="B79" s="1">
        <f t="shared" si="9"/>
        <v>117</v>
      </c>
      <c r="C79" s="14">
        <f t="shared" si="6"/>
        <v>0.5</v>
      </c>
      <c r="D79" s="14">
        <f t="shared" si="8"/>
        <v>0.5</v>
      </c>
      <c r="E79" s="14">
        <f t="shared" si="10"/>
        <v>7.8060430113021112E-7</v>
      </c>
      <c r="H79" s="13">
        <f t="shared" si="7"/>
        <v>7.8060430113021112E-7</v>
      </c>
    </row>
    <row r="80" spans="2:8" x14ac:dyDescent="0.25">
      <c r="B80" s="1">
        <f t="shared" si="9"/>
        <v>118</v>
      </c>
      <c r="C80" s="14">
        <f t="shared" si="6"/>
        <v>0.5</v>
      </c>
      <c r="D80" s="14">
        <f t="shared" si="8"/>
        <v>0.5</v>
      </c>
      <c r="E80" s="14">
        <f t="shared" si="10"/>
        <v>3.9030215056510556E-7</v>
      </c>
      <c r="H80" s="13">
        <f t="shared" si="7"/>
        <v>3.9030215056510556E-7</v>
      </c>
    </row>
    <row r="81" spans="2:8" x14ac:dyDescent="0.25">
      <c r="B81" s="1">
        <f t="shared" si="9"/>
        <v>119</v>
      </c>
      <c r="C81" s="14">
        <f t="shared" si="6"/>
        <v>0.5</v>
      </c>
      <c r="D81" s="14">
        <f t="shared" si="8"/>
        <v>0.5</v>
      </c>
      <c r="E81" s="14">
        <f t="shared" si="10"/>
        <v>1.9515107528255278E-7</v>
      </c>
      <c r="H81" s="13">
        <f t="shared" si="7"/>
        <v>1.9515107528255278E-7</v>
      </c>
    </row>
    <row r="82" spans="2:8" x14ac:dyDescent="0.25">
      <c r="B82" s="1">
        <f t="shared" si="9"/>
        <v>120</v>
      </c>
      <c r="C82" s="14">
        <f t="shared" si="6"/>
        <v>1</v>
      </c>
      <c r="D82" s="14">
        <f t="shared" si="8"/>
        <v>0</v>
      </c>
      <c r="E82" s="14">
        <f t="shared" si="10"/>
        <v>9.757553764127639E-8</v>
      </c>
      <c r="H82" s="13">
        <f>IF(B82="","",E82/(1+$H$5)^(B82-$B$12))</f>
        <v>9.757553764127639E-8</v>
      </c>
    </row>
    <row r="83" spans="2:8" x14ac:dyDescent="0.25">
      <c r="B83" s="1" t="str">
        <f t="shared" si="9"/>
        <v/>
      </c>
      <c r="C83" s="14" t="str">
        <f t="shared" si="6"/>
        <v/>
      </c>
      <c r="D83" s="14" t="str">
        <f t="shared" si="8"/>
        <v/>
      </c>
      <c r="E83" s="14" t="str">
        <f t="shared" si="10"/>
        <v/>
      </c>
      <c r="H83" s="13" t="str">
        <f t="shared" ref="H83:H112" si="11">IF(B83="","",E83/(1+$H$5)^(B83-$B$12))</f>
        <v/>
      </c>
    </row>
    <row r="84" spans="2:8" x14ac:dyDescent="0.25">
      <c r="B84" s="1" t="str">
        <f t="shared" si="9"/>
        <v/>
      </c>
      <c r="C84" s="14" t="str">
        <f t="shared" si="6"/>
        <v/>
      </c>
      <c r="D84" s="14" t="str">
        <f t="shared" si="8"/>
        <v/>
      </c>
      <c r="E84" s="14" t="str">
        <f t="shared" si="10"/>
        <v/>
      </c>
      <c r="H84" s="13" t="str">
        <f t="shared" si="11"/>
        <v/>
      </c>
    </row>
    <row r="85" spans="2:8" x14ac:dyDescent="0.25">
      <c r="B85" s="1" t="str">
        <f t="shared" si="9"/>
        <v/>
      </c>
      <c r="C85" s="14" t="str">
        <f t="shared" si="6"/>
        <v/>
      </c>
      <c r="D85" s="14" t="str">
        <f t="shared" si="8"/>
        <v/>
      </c>
      <c r="E85" s="14" t="str">
        <f t="shared" si="10"/>
        <v/>
      </c>
      <c r="H85" s="13" t="str">
        <f t="shared" si="11"/>
        <v/>
      </c>
    </row>
    <row r="86" spans="2:8" x14ac:dyDescent="0.25">
      <c r="B86" s="1" t="str">
        <f t="shared" si="9"/>
        <v/>
      </c>
      <c r="C86" s="14" t="str">
        <f t="shared" si="6"/>
        <v/>
      </c>
      <c r="D86" s="14" t="str">
        <f t="shared" si="8"/>
        <v/>
      </c>
      <c r="E86" s="14" t="str">
        <f t="shared" si="10"/>
        <v/>
      </c>
      <c r="H86" s="13" t="str">
        <f t="shared" si="11"/>
        <v/>
      </c>
    </row>
    <row r="87" spans="2:8" x14ac:dyDescent="0.25">
      <c r="B87" s="1" t="str">
        <f t="shared" si="9"/>
        <v/>
      </c>
      <c r="C87" s="14" t="str">
        <f t="shared" si="6"/>
        <v/>
      </c>
      <c r="D87" s="14" t="str">
        <f t="shared" si="8"/>
        <v/>
      </c>
      <c r="E87" s="14" t="str">
        <f t="shared" si="10"/>
        <v/>
      </c>
      <c r="H87" s="13" t="str">
        <f t="shared" si="11"/>
        <v/>
      </c>
    </row>
    <row r="88" spans="2:8" x14ac:dyDescent="0.25">
      <c r="B88" s="1" t="str">
        <f t="shared" si="9"/>
        <v/>
      </c>
      <c r="C88" s="14" t="str">
        <f t="shared" si="6"/>
        <v/>
      </c>
      <c r="D88" s="14" t="str">
        <f t="shared" si="8"/>
        <v/>
      </c>
      <c r="E88" s="14" t="str">
        <f t="shared" si="10"/>
        <v/>
      </c>
      <c r="H88" s="13" t="str">
        <f t="shared" si="11"/>
        <v/>
      </c>
    </row>
    <row r="89" spans="2:8" x14ac:dyDescent="0.25">
      <c r="B89" s="1" t="str">
        <f t="shared" si="9"/>
        <v/>
      </c>
      <c r="C89" s="14" t="str">
        <f t="shared" si="6"/>
        <v/>
      </c>
      <c r="D89" s="14" t="str">
        <f t="shared" si="8"/>
        <v/>
      </c>
      <c r="E89" s="14" t="str">
        <f t="shared" si="10"/>
        <v/>
      </c>
      <c r="H89" s="13" t="str">
        <f t="shared" si="11"/>
        <v/>
      </c>
    </row>
    <row r="90" spans="2:8" x14ac:dyDescent="0.25">
      <c r="B90" s="1" t="str">
        <f t="shared" si="9"/>
        <v/>
      </c>
      <c r="C90" s="14" t="str">
        <f t="shared" si="6"/>
        <v/>
      </c>
      <c r="D90" s="14" t="str">
        <f t="shared" si="8"/>
        <v/>
      </c>
      <c r="E90" s="14" t="str">
        <f t="shared" si="10"/>
        <v/>
      </c>
      <c r="H90" s="13" t="str">
        <f t="shared" si="11"/>
        <v/>
      </c>
    </row>
    <row r="91" spans="2:8" x14ac:dyDescent="0.25">
      <c r="B91" s="1" t="str">
        <f t="shared" si="9"/>
        <v/>
      </c>
      <c r="C91" s="14" t="str">
        <f t="shared" si="6"/>
        <v/>
      </c>
      <c r="D91" s="14" t="str">
        <f t="shared" si="8"/>
        <v/>
      </c>
      <c r="E91" s="14" t="str">
        <f t="shared" si="10"/>
        <v/>
      </c>
      <c r="H91" s="13" t="str">
        <f t="shared" si="11"/>
        <v/>
      </c>
    </row>
    <row r="92" spans="2:8" x14ac:dyDescent="0.25">
      <c r="B92" s="1" t="str">
        <f t="shared" si="9"/>
        <v/>
      </c>
      <c r="C92" s="14" t="str">
        <f t="shared" si="6"/>
        <v/>
      </c>
      <c r="D92" s="14" t="str">
        <f t="shared" si="8"/>
        <v/>
      </c>
      <c r="E92" s="14" t="str">
        <f t="shared" si="10"/>
        <v/>
      </c>
      <c r="H92" s="13" t="str">
        <f t="shared" si="11"/>
        <v/>
      </c>
    </row>
    <row r="93" spans="2:8" x14ac:dyDescent="0.25">
      <c r="B93" s="1" t="str">
        <f t="shared" si="9"/>
        <v/>
      </c>
      <c r="C93" s="14" t="str">
        <f t="shared" si="6"/>
        <v/>
      </c>
      <c r="D93" s="14" t="str">
        <f t="shared" si="8"/>
        <v/>
      </c>
      <c r="E93" s="14" t="str">
        <f t="shared" si="10"/>
        <v/>
      </c>
      <c r="H93" s="13" t="str">
        <f t="shared" si="11"/>
        <v/>
      </c>
    </row>
    <row r="94" spans="2:8" x14ac:dyDescent="0.25">
      <c r="B94" s="1" t="str">
        <f t="shared" si="9"/>
        <v/>
      </c>
      <c r="C94" s="14" t="str">
        <f t="shared" si="6"/>
        <v/>
      </c>
      <c r="D94" s="14" t="str">
        <f t="shared" si="8"/>
        <v/>
      </c>
      <c r="E94" s="14" t="str">
        <f t="shared" si="10"/>
        <v/>
      </c>
      <c r="H94" s="13" t="str">
        <f t="shared" si="11"/>
        <v/>
      </c>
    </row>
    <row r="95" spans="2:8" x14ac:dyDescent="0.25">
      <c r="B95" s="1" t="str">
        <f t="shared" si="9"/>
        <v/>
      </c>
      <c r="C95" s="14" t="str">
        <f t="shared" si="6"/>
        <v/>
      </c>
      <c r="D95" s="14" t="str">
        <f t="shared" si="8"/>
        <v/>
      </c>
      <c r="E95" s="14" t="str">
        <f t="shared" si="10"/>
        <v/>
      </c>
      <c r="H95" s="13" t="str">
        <f t="shared" si="11"/>
        <v/>
      </c>
    </row>
    <row r="96" spans="2:8" x14ac:dyDescent="0.25">
      <c r="B96" s="1" t="str">
        <f t="shared" si="9"/>
        <v/>
      </c>
      <c r="C96" s="14" t="str">
        <f t="shared" si="6"/>
        <v/>
      </c>
      <c r="D96" s="14" t="str">
        <f t="shared" si="8"/>
        <v/>
      </c>
      <c r="E96" s="14" t="str">
        <f t="shared" si="10"/>
        <v/>
      </c>
      <c r="H96" s="13" t="str">
        <f t="shared" si="11"/>
        <v/>
      </c>
    </row>
    <row r="97" spans="2:8" x14ac:dyDescent="0.25">
      <c r="B97" s="1" t="str">
        <f t="shared" si="9"/>
        <v/>
      </c>
      <c r="C97" s="14" t="str">
        <f t="shared" si="6"/>
        <v/>
      </c>
      <c r="D97" s="14" t="str">
        <f t="shared" si="8"/>
        <v/>
      </c>
      <c r="E97" s="14" t="str">
        <f t="shared" si="10"/>
        <v/>
      </c>
      <c r="H97" s="13" t="str">
        <f t="shared" si="11"/>
        <v/>
      </c>
    </row>
    <row r="98" spans="2:8" x14ac:dyDescent="0.25">
      <c r="B98" s="1" t="str">
        <f t="shared" si="9"/>
        <v/>
      </c>
      <c r="C98" s="14" t="str">
        <f t="shared" si="6"/>
        <v/>
      </c>
      <c r="D98" s="14" t="str">
        <f t="shared" si="8"/>
        <v/>
      </c>
      <c r="E98" s="14" t="str">
        <f t="shared" si="10"/>
        <v/>
      </c>
      <c r="H98" s="13" t="str">
        <f t="shared" si="11"/>
        <v/>
      </c>
    </row>
    <row r="99" spans="2:8" x14ac:dyDescent="0.25">
      <c r="B99" s="1" t="str">
        <f t="shared" si="9"/>
        <v/>
      </c>
      <c r="C99" s="14" t="str">
        <f t="shared" si="6"/>
        <v/>
      </c>
      <c r="D99" s="14" t="str">
        <f t="shared" si="8"/>
        <v/>
      </c>
      <c r="E99" s="14" t="str">
        <f t="shared" si="10"/>
        <v/>
      </c>
      <c r="H99" s="13" t="str">
        <f t="shared" si="11"/>
        <v/>
      </c>
    </row>
    <row r="100" spans="2:8" x14ac:dyDescent="0.25">
      <c r="B100" s="1" t="str">
        <f t="shared" si="9"/>
        <v/>
      </c>
      <c r="C100" s="14" t="str">
        <f t="shared" si="6"/>
        <v/>
      </c>
      <c r="D100" s="14" t="str">
        <f t="shared" si="8"/>
        <v/>
      </c>
      <c r="E100" s="14" t="str">
        <f t="shared" si="10"/>
        <v/>
      </c>
      <c r="H100" s="13" t="str">
        <f t="shared" si="11"/>
        <v/>
      </c>
    </row>
    <row r="101" spans="2:8" x14ac:dyDescent="0.25">
      <c r="B101" s="1" t="str">
        <f t="shared" si="9"/>
        <v/>
      </c>
      <c r="C101" s="14" t="str">
        <f t="shared" si="6"/>
        <v/>
      </c>
      <c r="D101" s="14" t="str">
        <f t="shared" si="8"/>
        <v/>
      </c>
      <c r="E101" s="14" t="str">
        <f t="shared" si="10"/>
        <v/>
      </c>
      <c r="H101" s="13" t="str">
        <f t="shared" si="11"/>
        <v/>
      </c>
    </row>
    <row r="102" spans="2:8" x14ac:dyDescent="0.25">
      <c r="B102" s="1" t="str">
        <f t="shared" si="9"/>
        <v/>
      </c>
      <c r="C102" s="14" t="str">
        <f t="shared" si="6"/>
        <v/>
      </c>
      <c r="D102" s="14" t="str">
        <f t="shared" si="8"/>
        <v/>
      </c>
      <c r="E102" s="14" t="str">
        <f t="shared" si="10"/>
        <v/>
      </c>
      <c r="H102" s="13" t="str">
        <f t="shared" si="11"/>
        <v/>
      </c>
    </row>
    <row r="103" spans="2:8" x14ac:dyDescent="0.25">
      <c r="B103" s="1" t="str">
        <f t="shared" si="9"/>
        <v/>
      </c>
      <c r="C103" s="14" t="str">
        <f t="shared" si="6"/>
        <v/>
      </c>
      <c r="D103" s="14" t="str">
        <f t="shared" si="8"/>
        <v/>
      </c>
      <c r="E103" s="14" t="str">
        <f t="shared" si="10"/>
        <v/>
      </c>
      <c r="H103" s="13" t="str">
        <f t="shared" si="11"/>
        <v/>
      </c>
    </row>
    <row r="104" spans="2:8" x14ac:dyDescent="0.25">
      <c r="B104" s="1" t="str">
        <f t="shared" si="9"/>
        <v/>
      </c>
      <c r="C104" s="14" t="str">
        <f t="shared" si="6"/>
        <v/>
      </c>
      <c r="D104" s="14" t="str">
        <f t="shared" si="8"/>
        <v/>
      </c>
      <c r="E104" s="14" t="str">
        <f t="shared" si="10"/>
        <v/>
      </c>
      <c r="H104" s="13" t="str">
        <f t="shared" si="11"/>
        <v/>
      </c>
    </row>
    <row r="105" spans="2:8" x14ac:dyDescent="0.25">
      <c r="B105" s="1" t="str">
        <f t="shared" si="9"/>
        <v/>
      </c>
      <c r="C105" s="14" t="str">
        <f t="shared" si="6"/>
        <v/>
      </c>
      <c r="D105" s="14" t="str">
        <f t="shared" si="8"/>
        <v/>
      </c>
      <c r="E105" s="14" t="str">
        <f t="shared" si="10"/>
        <v/>
      </c>
      <c r="H105" s="13" t="str">
        <f t="shared" si="11"/>
        <v/>
      </c>
    </row>
    <row r="106" spans="2:8" x14ac:dyDescent="0.25">
      <c r="B106" s="1" t="str">
        <f t="shared" si="9"/>
        <v/>
      </c>
      <c r="C106" s="14" t="str">
        <f t="shared" si="6"/>
        <v/>
      </c>
      <c r="D106" s="14" t="str">
        <f t="shared" si="8"/>
        <v/>
      </c>
      <c r="E106" s="14" t="str">
        <f t="shared" si="10"/>
        <v/>
      </c>
      <c r="H106" s="13" t="str">
        <f t="shared" si="11"/>
        <v/>
      </c>
    </row>
    <row r="107" spans="2:8" x14ac:dyDescent="0.25">
      <c r="B107" s="1" t="str">
        <f t="shared" si="9"/>
        <v/>
      </c>
      <c r="C107" s="14" t="str">
        <f t="shared" si="6"/>
        <v/>
      </c>
      <c r="D107" s="14" t="str">
        <f t="shared" si="8"/>
        <v/>
      </c>
      <c r="E107" s="14" t="str">
        <f t="shared" si="10"/>
        <v/>
      </c>
      <c r="H107" s="13" t="str">
        <f t="shared" si="11"/>
        <v/>
      </c>
    </row>
    <row r="108" spans="2:8" x14ac:dyDescent="0.25">
      <c r="B108" s="1" t="str">
        <f t="shared" si="9"/>
        <v/>
      </c>
      <c r="C108" s="14" t="str">
        <f t="shared" ref="C108:C112" si="12">IF(B108="","",VLOOKUP(B108,QxTable,2))</f>
        <v/>
      </c>
      <c r="D108" s="14" t="str">
        <f t="shared" si="8"/>
        <v/>
      </c>
      <c r="E108" s="14" t="str">
        <f t="shared" si="10"/>
        <v/>
      </c>
      <c r="H108" s="13" t="str">
        <f t="shared" si="11"/>
        <v/>
      </c>
    </row>
    <row r="109" spans="2:8" x14ac:dyDescent="0.25">
      <c r="B109" s="1" t="str">
        <f t="shared" si="9"/>
        <v/>
      </c>
      <c r="C109" s="14" t="str">
        <f t="shared" si="12"/>
        <v/>
      </c>
      <c r="D109" s="14" t="str">
        <f t="shared" si="8"/>
        <v/>
      </c>
      <c r="E109" s="14" t="str">
        <f t="shared" si="10"/>
        <v/>
      </c>
      <c r="H109" s="13" t="str">
        <f t="shared" si="11"/>
        <v/>
      </c>
    </row>
    <row r="110" spans="2:8" x14ac:dyDescent="0.25">
      <c r="B110" s="1" t="str">
        <f t="shared" si="9"/>
        <v/>
      </c>
      <c r="C110" s="14" t="str">
        <f t="shared" si="12"/>
        <v/>
      </c>
      <c r="D110" s="14" t="str">
        <f t="shared" si="8"/>
        <v/>
      </c>
      <c r="E110" s="14" t="str">
        <f t="shared" si="10"/>
        <v/>
      </c>
      <c r="H110" s="13" t="str">
        <f t="shared" si="11"/>
        <v/>
      </c>
    </row>
    <row r="111" spans="2:8" x14ac:dyDescent="0.25">
      <c r="B111" s="1" t="str">
        <f t="shared" si="9"/>
        <v/>
      </c>
      <c r="C111" s="14" t="str">
        <f t="shared" si="12"/>
        <v/>
      </c>
      <c r="D111" s="14" t="str">
        <f t="shared" si="8"/>
        <v/>
      </c>
      <c r="E111" s="14" t="str">
        <f t="shared" si="10"/>
        <v/>
      </c>
      <c r="H111" s="13" t="str">
        <f t="shared" si="11"/>
        <v/>
      </c>
    </row>
    <row r="112" spans="2:8" x14ac:dyDescent="0.25">
      <c r="B112" s="1" t="str">
        <f t="shared" si="9"/>
        <v/>
      </c>
      <c r="C112" s="14" t="str">
        <f t="shared" si="12"/>
        <v/>
      </c>
      <c r="D112" s="14" t="str">
        <f t="shared" si="8"/>
        <v/>
      </c>
      <c r="E112" s="14" t="str">
        <f t="shared" si="10"/>
        <v/>
      </c>
      <c r="H112" s="13" t="str">
        <f t="shared" si="11"/>
        <v/>
      </c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</sheetData>
  <mergeCells count="8">
    <mergeCell ref="B10:H10"/>
    <mergeCell ref="G11:H11"/>
    <mergeCell ref="B2:H2"/>
    <mergeCell ref="B3:C3"/>
    <mergeCell ref="B4:C4"/>
    <mergeCell ref="B5:C5"/>
    <mergeCell ref="B7:C7"/>
    <mergeCell ref="B8:C8"/>
  </mergeCells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C371-6E11-4023-9007-45305E9FC560}">
  <dimension ref="B1:C129"/>
  <sheetViews>
    <sheetView topLeftCell="A105" workbookViewId="0">
      <selection activeCell="C119" sqref="B4:C119"/>
    </sheetView>
  </sheetViews>
  <sheetFormatPr defaultRowHeight="12.75" x14ac:dyDescent="0.2"/>
  <cols>
    <col min="1" max="1" width="5" style="7" customWidth="1"/>
    <col min="2" max="2" width="14.140625" style="7" customWidth="1"/>
    <col min="3" max="3" width="14.7109375" style="7" customWidth="1"/>
    <col min="4" max="16384" width="9.140625" style="7"/>
  </cols>
  <sheetData>
    <row r="1" spans="2:3" ht="13.5" thickBot="1" x14ac:dyDescent="0.25"/>
    <row r="2" spans="2:3" ht="16.5" thickBot="1" x14ac:dyDescent="0.3">
      <c r="B2" s="25" t="s">
        <v>13</v>
      </c>
      <c r="C2" s="26"/>
    </row>
    <row r="3" spans="2:3" x14ac:dyDescent="0.2">
      <c r="B3" s="12" t="s">
        <v>7</v>
      </c>
      <c r="C3" s="12" t="s">
        <v>8</v>
      </c>
    </row>
    <row r="4" spans="2:3" x14ac:dyDescent="0.2">
      <c r="B4" s="11">
        <v>5</v>
      </c>
      <c r="C4" s="9">
        <v>2.3699999999999999E-4</v>
      </c>
    </row>
    <row r="5" spans="2:3" x14ac:dyDescent="0.2">
      <c r="B5" s="10">
        <f t="shared" ref="B5:B36" si="0">B4+1</f>
        <v>6</v>
      </c>
      <c r="C5" s="9">
        <v>2.2699999999999999E-4</v>
      </c>
    </row>
    <row r="6" spans="2:3" x14ac:dyDescent="0.2">
      <c r="B6" s="10">
        <f t="shared" si="0"/>
        <v>7</v>
      </c>
      <c r="C6" s="9">
        <v>2.1699999999999999E-4</v>
      </c>
    </row>
    <row r="7" spans="2:3" x14ac:dyDescent="0.2">
      <c r="B7" s="10">
        <f t="shared" si="0"/>
        <v>8</v>
      </c>
      <c r="C7" s="9">
        <v>2.0100000000000001E-4</v>
      </c>
    </row>
    <row r="8" spans="2:3" x14ac:dyDescent="0.2">
      <c r="B8" s="10">
        <f t="shared" si="0"/>
        <v>9</v>
      </c>
      <c r="C8" s="9">
        <v>1.94E-4</v>
      </c>
    </row>
    <row r="9" spans="2:3" x14ac:dyDescent="0.2">
      <c r="B9" s="10">
        <f t="shared" si="0"/>
        <v>10</v>
      </c>
      <c r="C9" s="9">
        <v>1.9699999999999999E-4</v>
      </c>
    </row>
    <row r="10" spans="2:3" x14ac:dyDescent="0.2">
      <c r="B10" s="10">
        <f t="shared" si="0"/>
        <v>11</v>
      </c>
      <c r="C10" s="9">
        <v>2.0799999999999999E-4</v>
      </c>
    </row>
    <row r="11" spans="2:3" x14ac:dyDescent="0.2">
      <c r="B11" s="10">
        <f t="shared" si="0"/>
        <v>12</v>
      </c>
      <c r="C11" s="9">
        <v>2.2599999999999999E-4</v>
      </c>
    </row>
    <row r="12" spans="2:3" x14ac:dyDescent="0.2">
      <c r="B12" s="10">
        <f t="shared" si="0"/>
        <v>13</v>
      </c>
      <c r="C12" s="9">
        <v>2.5500000000000002E-4</v>
      </c>
    </row>
    <row r="13" spans="2:3" x14ac:dyDescent="0.2">
      <c r="B13" s="10">
        <f t="shared" si="0"/>
        <v>14</v>
      </c>
      <c r="C13" s="9">
        <v>2.9700000000000001E-4</v>
      </c>
    </row>
    <row r="14" spans="2:3" x14ac:dyDescent="0.2">
      <c r="B14" s="10">
        <f t="shared" si="0"/>
        <v>15</v>
      </c>
      <c r="C14" s="9">
        <v>3.4499999999999998E-4</v>
      </c>
    </row>
    <row r="15" spans="2:3" x14ac:dyDescent="0.2">
      <c r="B15" s="10">
        <f t="shared" si="0"/>
        <v>16</v>
      </c>
      <c r="C15" s="9">
        <v>3.9100000000000002E-4</v>
      </c>
    </row>
    <row r="16" spans="2:3" x14ac:dyDescent="0.2">
      <c r="B16" s="10">
        <f t="shared" si="0"/>
        <v>17</v>
      </c>
      <c r="C16" s="9">
        <v>4.2999999999999999E-4</v>
      </c>
    </row>
    <row r="17" spans="2:3" x14ac:dyDescent="0.2">
      <c r="B17" s="10">
        <f t="shared" si="0"/>
        <v>18</v>
      </c>
      <c r="C17" s="9">
        <v>4.6000000000000001E-4</v>
      </c>
    </row>
    <row r="18" spans="2:3" x14ac:dyDescent="0.2">
      <c r="B18" s="10">
        <f t="shared" si="0"/>
        <v>19</v>
      </c>
      <c r="C18" s="9">
        <v>4.84E-4</v>
      </c>
    </row>
    <row r="19" spans="2:3" x14ac:dyDescent="0.2">
      <c r="B19" s="10">
        <f t="shared" si="0"/>
        <v>20</v>
      </c>
      <c r="C19" s="9">
        <v>5.0699999999999996E-4</v>
      </c>
    </row>
    <row r="20" spans="2:3" x14ac:dyDescent="0.2">
      <c r="B20" s="10">
        <f t="shared" si="0"/>
        <v>21</v>
      </c>
      <c r="C20" s="9">
        <v>5.2999999999999998E-4</v>
      </c>
    </row>
    <row r="21" spans="2:3" x14ac:dyDescent="0.2">
      <c r="B21" s="10">
        <f t="shared" si="0"/>
        <v>22</v>
      </c>
      <c r="C21" s="9">
        <v>5.5599999999999996E-4</v>
      </c>
    </row>
    <row r="22" spans="2:3" x14ac:dyDescent="0.2">
      <c r="B22" s="10">
        <f t="shared" si="0"/>
        <v>23</v>
      </c>
      <c r="C22" s="9">
        <v>5.8900000000000001E-4</v>
      </c>
    </row>
    <row r="23" spans="2:3" x14ac:dyDescent="0.2">
      <c r="B23" s="10">
        <f t="shared" si="0"/>
        <v>24</v>
      </c>
      <c r="C23" s="9">
        <v>6.2399999999999999E-4</v>
      </c>
    </row>
    <row r="24" spans="2:3" x14ac:dyDescent="0.2">
      <c r="B24" s="10">
        <f t="shared" si="0"/>
        <v>25</v>
      </c>
      <c r="C24" s="9">
        <v>6.6100000000000002E-4</v>
      </c>
    </row>
    <row r="25" spans="2:3" x14ac:dyDescent="0.2">
      <c r="B25" s="10">
        <f t="shared" si="0"/>
        <v>26</v>
      </c>
      <c r="C25" s="9">
        <v>6.96E-4</v>
      </c>
    </row>
    <row r="26" spans="2:3" x14ac:dyDescent="0.2">
      <c r="B26" s="10">
        <f t="shared" si="0"/>
        <v>27</v>
      </c>
      <c r="C26" s="9">
        <v>7.27E-4</v>
      </c>
    </row>
    <row r="27" spans="2:3" x14ac:dyDescent="0.2">
      <c r="B27" s="10">
        <f t="shared" si="0"/>
        <v>28</v>
      </c>
      <c r="C27" s="9">
        <v>7.54E-4</v>
      </c>
    </row>
    <row r="28" spans="2:3" x14ac:dyDescent="0.2">
      <c r="B28" s="10">
        <f t="shared" si="0"/>
        <v>29</v>
      </c>
      <c r="C28" s="9">
        <v>7.7899999999999996E-4</v>
      </c>
    </row>
    <row r="29" spans="2:3" x14ac:dyDescent="0.2">
      <c r="B29" s="10">
        <f t="shared" si="0"/>
        <v>30</v>
      </c>
      <c r="C29" s="9">
        <v>8.0099999999999995E-4</v>
      </c>
    </row>
    <row r="30" spans="2:3" x14ac:dyDescent="0.2">
      <c r="B30" s="10">
        <f t="shared" si="0"/>
        <v>31</v>
      </c>
      <c r="C30" s="9">
        <v>8.2100000000000001E-4</v>
      </c>
    </row>
    <row r="31" spans="2:3" x14ac:dyDescent="0.2">
      <c r="B31" s="10">
        <f t="shared" si="0"/>
        <v>32</v>
      </c>
      <c r="C31" s="9">
        <v>8.3900000000000001E-4</v>
      </c>
    </row>
    <row r="32" spans="2:3" x14ac:dyDescent="0.2">
      <c r="B32" s="10">
        <f t="shared" si="0"/>
        <v>33</v>
      </c>
      <c r="C32" s="9">
        <v>8.4800000000000001E-4</v>
      </c>
    </row>
    <row r="33" spans="2:3" x14ac:dyDescent="0.2">
      <c r="B33" s="10">
        <f t="shared" si="0"/>
        <v>34</v>
      </c>
      <c r="C33" s="9">
        <v>8.4900000000000004E-4</v>
      </c>
    </row>
    <row r="34" spans="2:3" x14ac:dyDescent="0.2">
      <c r="B34" s="10">
        <f t="shared" si="0"/>
        <v>35</v>
      </c>
      <c r="C34" s="9">
        <v>8.5099999999999998E-4</v>
      </c>
    </row>
    <row r="35" spans="2:3" x14ac:dyDescent="0.2">
      <c r="B35" s="10">
        <f t="shared" si="0"/>
        <v>36</v>
      </c>
      <c r="C35" s="9">
        <v>8.6200000000000003E-4</v>
      </c>
    </row>
    <row r="36" spans="2:3" x14ac:dyDescent="0.2">
      <c r="B36" s="10">
        <f t="shared" si="0"/>
        <v>37</v>
      </c>
      <c r="C36" s="9">
        <v>8.9099999999999997E-4</v>
      </c>
    </row>
    <row r="37" spans="2:3" x14ac:dyDescent="0.2">
      <c r="B37" s="10">
        <f t="shared" ref="B37:B68" si="1">B36+1</f>
        <v>38</v>
      </c>
      <c r="C37" s="9">
        <v>9.3899999999999995E-4</v>
      </c>
    </row>
    <row r="38" spans="2:3" x14ac:dyDescent="0.2">
      <c r="B38" s="10">
        <f t="shared" si="1"/>
        <v>39</v>
      </c>
      <c r="C38" s="9">
        <v>9.990000000000001E-4</v>
      </c>
    </row>
    <row r="39" spans="2:3" x14ac:dyDescent="0.2">
      <c r="B39" s="10">
        <f t="shared" si="1"/>
        <v>40</v>
      </c>
      <c r="C39" s="9">
        <v>1.072E-3</v>
      </c>
    </row>
    <row r="40" spans="2:3" x14ac:dyDescent="0.2">
      <c r="B40" s="10">
        <f t="shared" si="1"/>
        <v>41</v>
      </c>
      <c r="C40" s="9">
        <v>1.1559999999999999E-3</v>
      </c>
    </row>
    <row r="41" spans="2:3" x14ac:dyDescent="0.2">
      <c r="B41" s="10">
        <f t="shared" si="1"/>
        <v>42</v>
      </c>
      <c r="C41" s="9">
        <v>1.2520000000000001E-3</v>
      </c>
    </row>
    <row r="42" spans="2:3" x14ac:dyDescent="0.2">
      <c r="B42" s="10">
        <f t="shared" si="1"/>
        <v>43</v>
      </c>
      <c r="C42" s="9">
        <v>1.3519999999999999E-3</v>
      </c>
    </row>
    <row r="43" spans="2:3" x14ac:dyDescent="0.2">
      <c r="B43" s="10">
        <f t="shared" si="1"/>
        <v>44</v>
      </c>
      <c r="C43" s="9">
        <v>1.4580000000000001E-3</v>
      </c>
    </row>
    <row r="44" spans="2:3" x14ac:dyDescent="0.2">
      <c r="B44" s="10">
        <f t="shared" si="1"/>
        <v>45</v>
      </c>
      <c r="C44" s="9">
        <v>1.578E-3</v>
      </c>
    </row>
    <row r="45" spans="2:3" x14ac:dyDescent="0.2">
      <c r="B45" s="10">
        <f t="shared" si="1"/>
        <v>46</v>
      </c>
      <c r="C45" s="9">
        <v>1.722E-3</v>
      </c>
    </row>
    <row r="46" spans="2:3" x14ac:dyDescent="0.2">
      <c r="B46" s="10">
        <f t="shared" si="1"/>
        <v>47</v>
      </c>
      <c r="C46" s="9">
        <v>1.8990000000000001E-3</v>
      </c>
    </row>
    <row r="47" spans="2:3" x14ac:dyDescent="0.2">
      <c r="B47" s="10">
        <f t="shared" si="1"/>
        <v>48</v>
      </c>
      <c r="C47" s="9">
        <v>2.1020000000000001E-3</v>
      </c>
    </row>
    <row r="48" spans="2:3" x14ac:dyDescent="0.2">
      <c r="B48" s="10">
        <f t="shared" si="1"/>
        <v>49</v>
      </c>
      <c r="C48" s="9">
        <v>2.3259999999999999E-3</v>
      </c>
    </row>
    <row r="49" spans="2:3" x14ac:dyDescent="0.2">
      <c r="B49" s="10">
        <f t="shared" si="1"/>
        <v>50</v>
      </c>
      <c r="C49" s="9">
        <v>2.5790000000000001E-3</v>
      </c>
    </row>
    <row r="50" spans="2:3" x14ac:dyDescent="0.2">
      <c r="B50" s="10">
        <f t="shared" si="1"/>
        <v>51</v>
      </c>
      <c r="C50" s="9">
        <v>2.872E-3</v>
      </c>
    </row>
    <row r="51" spans="2:3" x14ac:dyDescent="0.2">
      <c r="B51" s="10">
        <f t="shared" si="1"/>
        <v>52</v>
      </c>
      <c r="C51" s="9">
        <v>3.2130000000000001E-3</v>
      </c>
    </row>
    <row r="52" spans="2:3" x14ac:dyDescent="0.2">
      <c r="B52" s="10">
        <f t="shared" si="1"/>
        <v>53</v>
      </c>
      <c r="C52" s="9">
        <v>3.5839999999999999E-3</v>
      </c>
    </row>
    <row r="53" spans="2:3" x14ac:dyDescent="0.2">
      <c r="B53" s="10">
        <f t="shared" si="1"/>
        <v>54</v>
      </c>
      <c r="C53" s="9">
        <v>3.9789999999999999E-3</v>
      </c>
    </row>
    <row r="54" spans="2:3" x14ac:dyDescent="0.2">
      <c r="B54" s="10">
        <f t="shared" si="1"/>
        <v>55</v>
      </c>
      <c r="C54" s="9">
        <v>4.4250000000000001E-3</v>
      </c>
    </row>
    <row r="55" spans="2:3" x14ac:dyDescent="0.2">
      <c r="B55" s="10">
        <f t="shared" si="1"/>
        <v>56</v>
      </c>
      <c r="C55" s="9">
        <v>4.9490000000000003E-3</v>
      </c>
    </row>
    <row r="56" spans="2:3" x14ac:dyDescent="0.2">
      <c r="B56" s="10">
        <f t="shared" si="1"/>
        <v>57</v>
      </c>
      <c r="C56" s="9">
        <v>5.581E-3</v>
      </c>
    </row>
    <row r="57" spans="2:3" x14ac:dyDescent="0.2">
      <c r="B57" s="10">
        <f t="shared" si="1"/>
        <v>58</v>
      </c>
      <c r="C57" s="9">
        <v>6.3E-3</v>
      </c>
    </row>
    <row r="58" spans="2:3" x14ac:dyDescent="0.2">
      <c r="B58" s="10">
        <f t="shared" si="1"/>
        <v>59</v>
      </c>
      <c r="C58" s="9">
        <v>7.0899999999999999E-3</v>
      </c>
    </row>
    <row r="59" spans="2:3" x14ac:dyDescent="0.2">
      <c r="B59" s="10">
        <f t="shared" si="1"/>
        <v>60</v>
      </c>
      <c r="C59" s="9">
        <v>7.9760000000000005E-3</v>
      </c>
    </row>
    <row r="60" spans="2:3" x14ac:dyDescent="0.2">
      <c r="B60" s="10">
        <f t="shared" si="1"/>
        <v>61</v>
      </c>
      <c r="C60" s="9">
        <v>8.9859999999999992E-3</v>
      </c>
    </row>
    <row r="61" spans="2:3" x14ac:dyDescent="0.2">
      <c r="B61" s="10">
        <f t="shared" si="1"/>
        <v>62</v>
      </c>
      <c r="C61" s="9">
        <v>1.0147E-2</v>
      </c>
    </row>
    <row r="62" spans="2:3" x14ac:dyDescent="0.2">
      <c r="B62" s="10">
        <f t="shared" si="1"/>
        <v>63</v>
      </c>
      <c r="C62" s="9">
        <v>1.1471E-2</v>
      </c>
    </row>
    <row r="63" spans="2:3" x14ac:dyDescent="0.2">
      <c r="B63" s="10">
        <f t="shared" si="1"/>
        <v>64</v>
      </c>
      <c r="C63" s="9">
        <v>1.294E-2</v>
      </c>
    </row>
    <row r="64" spans="2:3" x14ac:dyDescent="0.2">
      <c r="B64" s="10">
        <f t="shared" si="1"/>
        <v>65</v>
      </c>
      <c r="C64" s="9">
        <v>1.4534999999999999E-2</v>
      </c>
    </row>
    <row r="65" spans="2:3" x14ac:dyDescent="0.2">
      <c r="B65" s="10">
        <f t="shared" si="1"/>
        <v>66</v>
      </c>
      <c r="C65" s="9">
        <v>1.6239E-2</v>
      </c>
    </row>
    <row r="66" spans="2:3" x14ac:dyDescent="0.2">
      <c r="B66" s="10">
        <f t="shared" si="1"/>
        <v>67</v>
      </c>
      <c r="C66" s="9">
        <v>1.8034000000000001E-2</v>
      </c>
    </row>
    <row r="67" spans="2:3" x14ac:dyDescent="0.2">
      <c r="B67" s="10">
        <f t="shared" si="1"/>
        <v>68</v>
      </c>
      <c r="C67" s="9">
        <v>1.9859000000000002E-2</v>
      </c>
    </row>
    <row r="68" spans="2:3" x14ac:dyDescent="0.2">
      <c r="B68" s="10">
        <f t="shared" si="1"/>
        <v>69</v>
      </c>
      <c r="C68" s="9">
        <v>2.1728999999999998E-2</v>
      </c>
    </row>
    <row r="69" spans="2:3" x14ac:dyDescent="0.2">
      <c r="B69" s="10">
        <f t="shared" ref="B69:B100" si="2">B68+1</f>
        <v>70</v>
      </c>
      <c r="C69" s="9">
        <v>2.3730000000000001E-2</v>
      </c>
    </row>
    <row r="70" spans="2:3" x14ac:dyDescent="0.2">
      <c r="B70" s="10">
        <f t="shared" si="2"/>
        <v>71</v>
      </c>
      <c r="C70" s="9">
        <v>2.5950999999999998E-2</v>
      </c>
    </row>
    <row r="71" spans="2:3" x14ac:dyDescent="0.2">
      <c r="B71" s="10">
        <f t="shared" si="2"/>
        <v>72</v>
      </c>
      <c r="C71" s="9">
        <v>2.8480999999999999E-2</v>
      </c>
    </row>
    <row r="72" spans="2:3" x14ac:dyDescent="0.2">
      <c r="B72" s="10">
        <f t="shared" si="2"/>
        <v>73</v>
      </c>
      <c r="C72" s="9">
        <v>3.1201E-2</v>
      </c>
    </row>
    <row r="73" spans="2:3" x14ac:dyDescent="0.2">
      <c r="B73" s="10">
        <f t="shared" si="2"/>
        <v>74</v>
      </c>
      <c r="C73" s="9">
        <v>3.4050999999999998E-2</v>
      </c>
    </row>
    <row r="74" spans="2:3" x14ac:dyDescent="0.2">
      <c r="B74" s="10">
        <f t="shared" si="2"/>
        <v>75</v>
      </c>
      <c r="C74" s="9">
        <v>3.7211000000000001E-2</v>
      </c>
    </row>
    <row r="75" spans="2:3" x14ac:dyDescent="0.2">
      <c r="B75" s="10">
        <f t="shared" si="2"/>
        <v>76</v>
      </c>
      <c r="C75" s="9">
        <v>4.0857999999999998E-2</v>
      </c>
    </row>
    <row r="76" spans="2:3" x14ac:dyDescent="0.2">
      <c r="B76" s="10">
        <f t="shared" si="2"/>
        <v>77</v>
      </c>
      <c r="C76" s="9">
        <v>4.5171000000000003E-2</v>
      </c>
    </row>
    <row r="77" spans="2:3" x14ac:dyDescent="0.2">
      <c r="B77" s="10">
        <f t="shared" si="2"/>
        <v>78</v>
      </c>
      <c r="C77" s="9">
        <v>5.0210999999999999E-2</v>
      </c>
    </row>
    <row r="78" spans="2:3" x14ac:dyDescent="0.2">
      <c r="B78" s="10">
        <f t="shared" si="2"/>
        <v>79</v>
      </c>
      <c r="C78" s="9">
        <v>5.5861000000000001E-2</v>
      </c>
    </row>
    <row r="79" spans="2:3" x14ac:dyDescent="0.2">
      <c r="B79" s="10">
        <f t="shared" si="2"/>
        <v>80</v>
      </c>
      <c r="C79" s="9">
        <v>6.2026999999999999E-2</v>
      </c>
    </row>
    <row r="80" spans="2:3" x14ac:dyDescent="0.2">
      <c r="B80" s="10">
        <f t="shared" si="2"/>
        <v>81</v>
      </c>
      <c r="C80" s="9">
        <v>6.8614999999999995E-2</v>
      </c>
    </row>
    <row r="81" spans="2:3" x14ac:dyDescent="0.2">
      <c r="B81" s="10">
        <f t="shared" si="2"/>
        <v>82</v>
      </c>
      <c r="C81" s="9">
        <v>7.5532000000000002E-2</v>
      </c>
    </row>
    <row r="82" spans="2:3" x14ac:dyDescent="0.2">
      <c r="B82" s="10">
        <f t="shared" si="2"/>
        <v>83</v>
      </c>
      <c r="C82" s="9">
        <v>8.251E-2</v>
      </c>
    </row>
    <row r="83" spans="2:3" x14ac:dyDescent="0.2">
      <c r="B83" s="10">
        <f t="shared" si="2"/>
        <v>84</v>
      </c>
      <c r="C83" s="9">
        <v>8.9612999999999998E-2</v>
      </c>
    </row>
    <row r="84" spans="2:3" x14ac:dyDescent="0.2">
      <c r="B84" s="10">
        <f t="shared" si="2"/>
        <v>85</v>
      </c>
      <c r="C84" s="9">
        <v>9.7239999999999993E-2</v>
      </c>
    </row>
    <row r="85" spans="2:3" x14ac:dyDescent="0.2">
      <c r="B85" s="10">
        <f t="shared" si="2"/>
        <v>86</v>
      </c>
      <c r="C85" s="9">
        <v>0.105792</v>
      </c>
    </row>
    <row r="86" spans="2:3" x14ac:dyDescent="0.2">
      <c r="B86" s="10">
        <f t="shared" si="2"/>
        <v>87</v>
      </c>
      <c r="C86" s="9">
        <v>0.115671</v>
      </c>
    </row>
    <row r="87" spans="2:3" x14ac:dyDescent="0.2">
      <c r="B87" s="10">
        <f t="shared" si="2"/>
        <v>88</v>
      </c>
      <c r="C87" s="9">
        <v>0.12698000000000001</v>
      </c>
    </row>
    <row r="88" spans="2:3" x14ac:dyDescent="0.2">
      <c r="B88" s="10">
        <f t="shared" si="2"/>
        <v>89</v>
      </c>
      <c r="C88" s="9">
        <v>0.13945199999999999</v>
      </c>
    </row>
    <row r="89" spans="2:3" x14ac:dyDescent="0.2">
      <c r="B89" s="10">
        <f t="shared" si="2"/>
        <v>90</v>
      </c>
      <c r="C89" s="9">
        <v>0.15293100000000001</v>
      </c>
    </row>
    <row r="90" spans="2:3" x14ac:dyDescent="0.2">
      <c r="B90" s="10">
        <f t="shared" si="2"/>
        <v>91</v>
      </c>
      <c r="C90" s="9">
        <v>0.16725999999999999</v>
      </c>
    </row>
    <row r="91" spans="2:3" x14ac:dyDescent="0.2">
      <c r="B91" s="10">
        <f t="shared" si="2"/>
        <v>92</v>
      </c>
      <c r="C91" s="9">
        <v>0.182281</v>
      </c>
    </row>
    <row r="92" spans="2:3" x14ac:dyDescent="0.2">
      <c r="B92" s="10">
        <f t="shared" si="2"/>
        <v>93</v>
      </c>
      <c r="C92" s="9">
        <v>0.19839200000000001</v>
      </c>
    </row>
    <row r="93" spans="2:3" x14ac:dyDescent="0.2">
      <c r="B93" s="10">
        <f t="shared" si="2"/>
        <v>94</v>
      </c>
      <c r="C93" s="9">
        <v>0.2157</v>
      </c>
    </row>
    <row r="94" spans="2:3" x14ac:dyDescent="0.2">
      <c r="B94" s="10">
        <f t="shared" si="2"/>
        <v>95</v>
      </c>
      <c r="C94" s="9">
        <v>0.23360600000000001</v>
      </c>
    </row>
    <row r="95" spans="2:3" x14ac:dyDescent="0.2">
      <c r="B95" s="10">
        <f t="shared" si="2"/>
        <v>96</v>
      </c>
      <c r="C95" s="9">
        <v>0.25151000000000001</v>
      </c>
    </row>
    <row r="96" spans="2:3" x14ac:dyDescent="0.2">
      <c r="B96" s="10">
        <f t="shared" si="2"/>
        <v>97</v>
      </c>
      <c r="C96" s="9">
        <v>0.26881500000000003</v>
      </c>
    </row>
    <row r="97" spans="2:3" x14ac:dyDescent="0.2">
      <c r="B97" s="10">
        <f t="shared" si="2"/>
        <v>98</v>
      </c>
      <c r="C97" s="9">
        <v>0.285277</v>
      </c>
    </row>
    <row r="98" spans="2:3" x14ac:dyDescent="0.2">
      <c r="B98" s="10">
        <f t="shared" si="2"/>
        <v>99</v>
      </c>
      <c r="C98" s="9">
        <v>0.30129800000000001</v>
      </c>
    </row>
    <row r="99" spans="2:3" x14ac:dyDescent="0.2">
      <c r="B99" s="10">
        <f t="shared" si="2"/>
        <v>100</v>
      </c>
      <c r="C99" s="9">
        <v>0.31723800000000002</v>
      </c>
    </row>
    <row r="100" spans="2:3" x14ac:dyDescent="0.2">
      <c r="B100" s="10">
        <f t="shared" si="2"/>
        <v>101</v>
      </c>
      <c r="C100" s="9">
        <v>0.33346100000000001</v>
      </c>
    </row>
    <row r="101" spans="2:3" x14ac:dyDescent="0.2">
      <c r="B101" s="10">
        <f t="shared" ref="B101:B119" si="3">B100+1</f>
        <v>102</v>
      </c>
      <c r="C101" s="9">
        <v>0.35032999999999997</v>
      </c>
    </row>
    <row r="102" spans="2:3" x14ac:dyDescent="0.2">
      <c r="B102" s="10">
        <f t="shared" si="3"/>
        <v>103</v>
      </c>
      <c r="C102" s="9">
        <v>0.36854199999999998</v>
      </c>
    </row>
    <row r="103" spans="2:3" x14ac:dyDescent="0.2">
      <c r="B103" s="10">
        <f t="shared" si="3"/>
        <v>104</v>
      </c>
      <c r="C103" s="9">
        <v>0.38785500000000001</v>
      </c>
    </row>
    <row r="104" spans="2:3" x14ac:dyDescent="0.2">
      <c r="B104" s="10">
        <f t="shared" si="3"/>
        <v>105</v>
      </c>
      <c r="C104" s="9">
        <v>0.40722399999999997</v>
      </c>
    </row>
    <row r="105" spans="2:3" x14ac:dyDescent="0.2">
      <c r="B105" s="10">
        <f t="shared" si="3"/>
        <v>106</v>
      </c>
      <c r="C105" s="9">
        <v>0.42559900000000001</v>
      </c>
    </row>
    <row r="106" spans="2:3" x14ac:dyDescent="0.2">
      <c r="B106" s="10">
        <f t="shared" si="3"/>
        <v>107</v>
      </c>
      <c r="C106" s="9">
        <v>0.44193500000000002</v>
      </c>
    </row>
    <row r="107" spans="2:3" x14ac:dyDescent="0.2">
      <c r="B107" s="10">
        <f t="shared" si="3"/>
        <v>108</v>
      </c>
      <c r="C107" s="9">
        <v>0.45755299999999999</v>
      </c>
    </row>
    <row r="108" spans="2:3" x14ac:dyDescent="0.2">
      <c r="B108" s="10">
        <f t="shared" si="3"/>
        <v>109</v>
      </c>
      <c r="C108" s="9">
        <v>0.47315000000000002</v>
      </c>
    </row>
    <row r="109" spans="2:3" x14ac:dyDescent="0.2">
      <c r="B109" s="10">
        <f t="shared" si="3"/>
        <v>110</v>
      </c>
      <c r="C109" s="9">
        <v>0.48674499999999998</v>
      </c>
    </row>
    <row r="110" spans="2:3" x14ac:dyDescent="0.2">
      <c r="B110" s="10">
        <f t="shared" si="3"/>
        <v>111</v>
      </c>
      <c r="C110" s="9">
        <v>0.49635600000000002</v>
      </c>
    </row>
    <row r="111" spans="2:3" x14ac:dyDescent="0.2">
      <c r="B111" s="10">
        <f t="shared" si="3"/>
        <v>112</v>
      </c>
      <c r="C111" s="9">
        <v>0.5</v>
      </c>
    </row>
    <row r="112" spans="2:3" x14ac:dyDescent="0.2">
      <c r="B112" s="10">
        <f t="shared" si="3"/>
        <v>113</v>
      </c>
      <c r="C112" s="9">
        <v>0.5</v>
      </c>
    </row>
    <row r="113" spans="2:3" x14ac:dyDescent="0.2">
      <c r="B113" s="10">
        <f t="shared" si="3"/>
        <v>114</v>
      </c>
      <c r="C113" s="9">
        <v>0.5</v>
      </c>
    </row>
    <row r="114" spans="2:3" x14ac:dyDescent="0.2">
      <c r="B114" s="10">
        <f t="shared" si="3"/>
        <v>115</v>
      </c>
      <c r="C114" s="9">
        <v>0.5</v>
      </c>
    </row>
    <row r="115" spans="2:3" x14ac:dyDescent="0.2">
      <c r="B115" s="10">
        <f t="shared" si="3"/>
        <v>116</v>
      </c>
      <c r="C115" s="9">
        <v>0.5</v>
      </c>
    </row>
    <row r="116" spans="2:3" x14ac:dyDescent="0.2">
      <c r="B116" s="10">
        <f t="shared" si="3"/>
        <v>117</v>
      </c>
      <c r="C116" s="9">
        <v>0.5</v>
      </c>
    </row>
    <row r="117" spans="2:3" x14ac:dyDescent="0.2">
      <c r="B117" s="10">
        <f t="shared" si="3"/>
        <v>118</v>
      </c>
      <c r="C117" s="9">
        <v>0.5</v>
      </c>
    </row>
    <row r="118" spans="2:3" x14ac:dyDescent="0.2">
      <c r="B118" s="10">
        <f t="shared" si="3"/>
        <v>119</v>
      </c>
      <c r="C118" s="9">
        <v>0.5</v>
      </c>
    </row>
    <row r="119" spans="2:3" x14ac:dyDescent="0.2">
      <c r="B119" s="10">
        <f t="shared" si="3"/>
        <v>120</v>
      </c>
      <c r="C119" s="9">
        <v>1</v>
      </c>
    </row>
    <row r="120" spans="2:3" x14ac:dyDescent="0.2">
      <c r="B120" s="8"/>
    </row>
    <row r="121" spans="2:3" x14ac:dyDescent="0.2">
      <c r="B121" s="8"/>
    </row>
    <row r="122" spans="2:3" x14ac:dyDescent="0.2">
      <c r="B122" s="8"/>
    </row>
    <row r="123" spans="2:3" x14ac:dyDescent="0.2">
      <c r="B123" s="8"/>
    </row>
    <row r="124" spans="2:3" x14ac:dyDescent="0.2">
      <c r="B124" s="8"/>
    </row>
    <row r="125" spans="2:3" x14ac:dyDescent="0.2">
      <c r="B125" s="8"/>
    </row>
    <row r="126" spans="2:3" x14ac:dyDescent="0.2">
      <c r="B126" s="8"/>
    </row>
    <row r="127" spans="2:3" x14ac:dyDescent="0.2">
      <c r="B127" s="8"/>
    </row>
    <row r="128" spans="2:3" x14ac:dyDescent="0.2">
      <c r="B128" s="8"/>
    </row>
    <row r="129" spans="2:2" x14ac:dyDescent="0.2">
      <c r="B129" s="8"/>
    </row>
  </sheetData>
  <mergeCells count="1">
    <mergeCell ref="B2:C2"/>
  </mergeCell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01F967DF7FB4BBA051E41DA97D626" ma:contentTypeVersion="4" ma:contentTypeDescription="Create a new document." ma:contentTypeScope="" ma:versionID="2a8b39993528b9872c247ccf180a8608">
  <xsd:schema xmlns:xsd="http://www.w3.org/2001/XMLSchema" xmlns:xs="http://www.w3.org/2001/XMLSchema" xmlns:p="http://schemas.microsoft.com/office/2006/metadata/properties" xmlns:ns3="7fdb2c6f-0963-46e0-a262-e1354afe4723" targetNamespace="http://schemas.microsoft.com/office/2006/metadata/properties" ma:root="true" ma:fieldsID="9cfdb0ac0c88465590451199655ddf2d" ns3:_="">
    <xsd:import namespace="7fdb2c6f-0963-46e0-a262-e1354afe47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b2c6f-0963-46e0-a262-e1354afe47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12FA80-ECD9-4DEA-ACBB-0679C43613AC}">
  <ds:schemaRefs>
    <ds:schemaRef ds:uri="http://schemas.openxmlformats.org/package/2006/metadata/core-properties"/>
    <ds:schemaRef ds:uri="7fdb2c6f-0963-46e0-a262-e1354afe4723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2F5A528-0817-499B-B389-FCFC3D5CAC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7D9452-9EDA-4B21-AF66-9D68B9C662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b2c6f-0963-46e0-a262-e1354afe47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Annuity</vt:lpstr>
      <vt:lpstr>Qx</vt:lpstr>
      <vt:lpstr>Annuity!Print_Titles</vt:lpstr>
      <vt:lpstr>QxTable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2020-09-18T22:38:13Z</cp:lastPrinted>
  <dcterms:created xsi:type="dcterms:W3CDTF">2020-09-13T16:57:58Z</dcterms:created>
  <dcterms:modified xsi:type="dcterms:W3CDTF">2020-09-18T23:33:03Z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0x0101004C001F967DF7FB4BBA051E41DA97D626</vt:lpwstr>
  </property>
</Properties>
</file>