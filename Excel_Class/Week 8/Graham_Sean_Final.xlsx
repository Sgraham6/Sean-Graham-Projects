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8\"/>
    </mc:Choice>
  </mc:AlternateContent>
  <xr:revisionPtr revIDLastSave="905" documentId="6_{FB65CCB6-D707-4873-AC6F-BF1B2EC6389D}" xr6:coauthVersionLast="45" xr6:coauthVersionMax="45" xr10:uidLastSave="{40881A0C-89B4-4D1E-AC50-8BF4C48B34CC}"/>
  <bookViews>
    <workbookView xWindow="810" yWindow="-120" windowWidth="19800" windowHeight="11760" firstSheet="1" activeTab="9" xr2:uid="{C369023E-DEEC-418C-905D-9309C95C8689}"/>
  </bookViews>
  <sheets>
    <sheet name="Record" sheetId="5" r:id="rId1"/>
    <sheet name="Qx" sheetId="2" r:id="rId2"/>
    <sheet name="Pivot Table" sheetId="11" r:id="rId3"/>
    <sheet name="Annuity" sheetId="4" r:id="rId4"/>
    <sheet name="Rate" sheetId="3" r:id="rId5"/>
    <sheet name="Statement" sheetId="1" r:id="rId6"/>
    <sheet name="Calc" sheetId="14" state="hidden" r:id="rId7"/>
    <sheet name="Sort DB" sheetId="7" r:id="rId8"/>
    <sheet name="Filter DB" sheetId="8" r:id="rId9"/>
    <sheet name="Filter Advance" sheetId="9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9" hidden="1">'Filter Advance'!$B$7:$I$17</definedName>
    <definedName name="_xlnm._FilterDatabase" localSheetId="8" hidden="1">'Filter DB'!$B$9:$I$19</definedName>
    <definedName name="_xlnm._FilterDatabase" localSheetId="7" hidden="1">'Sort DB'!$B$5:$I$15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_xlnm.Criteria" localSheetId="9">'Filter Advance'!$D$2:$E$4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Graham_Rates">OFFSET(Rate!$C$3,COUNT(Rates),0,-6,1)</definedName>
    <definedName name="Graham_Years">OFFSET(Rate!$C$3,COUNT(Rates),-1,-6,1)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Titles" localSheetId="3">Annuity!$1:$12</definedName>
    <definedName name="QxTable">Qx!$B$4:$C$119</definedName>
    <definedName name="Rate">OFFSET([5]Rate!$C$4,0,0,COUNT([5]Rate!$C:$C))</definedName>
    <definedName name="Rates">Rate!$C$4:$C$24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  <definedName name="Years">Rate!$B$4:$B$24</definedName>
  </definedNames>
  <calcPr calcId="191029"/>
  <pivotCaches>
    <pivotCache cacheId="5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" l="1"/>
  <c r="C23" i="1" l="1"/>
  <c r="H5" i="4" l="1"/>
  <c r="C28" i="3"/>
  <c r="H7" i="4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E11" i="1" l="1"/>
  <c r="E19" i="1" s="1"/>
  <c r="I6" i="5"/>
  <c r="E7" i="1"/>
  <c r="E8" i="1"/>
  <c r="B6" i="14" s="1"/>
  <c r="B9" i="14" s="1"/>
  <c r="E10" i="1" l="1"/>
  <c r="E15" i="1" s="1"/>
  <c r="E13" i="1" l="1"/>
  <c r="E14" i="1" s="1"/>
  <c r="E16" i="1" s="1"/>
  <c r="H4" i="4" s="1"/>
  <c r="B3" i="14" l="1"/>
  <c r="E5" i="1" s="1"/>
  <c r="I17" i="9" l="1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11" i="8"/>
  <c r="I12" i="8"/>
  <c r="I13" i="8"/>
  <c r="I14" i="8"/>
  <c r="I15" i="8"/>
  <c r="I16" i="8"/>
  <c r="I17" i="8"/>
  <c r="I18" i="8"/>
  <c r="I19" i="8"/>
  <c r="I10" i="8"/>
  <c r="G5" i="8" s="1"/>
  <c r="H11" i="8"/>
  <c r="H12" i="8"/>
  <c r="H13" i="8"/>
  <c r="H14" i="8"/>
  <c r="H15" i="8"/>
  <c r="H16" i="8"/>
  <c r="H17" i="8"/>
  <c r="H18" i="8"/>
  <c r="H19" i="8"/>
  <c r="H10" i="8"/>
  <c r="E5" i="8"/>
  <c r="E4" i="8"/>
  <c r="E3" i="8"/>
  <c r="G4" i="8" l="1"/>
  <c r="G3" i="8"/>
  <c r="I12" i="7" l="1"/>
  <c r="H12" i="7"/>
  <c r="I10" i="7"/>
  <c r="H10" i="7"/>
  <c r="I11" i="7"/>
  <c r="H11" i="7"/>
  <c r="I6" i="7"/>
  <c r="H6" i="7"/>
  <c r="I13" i="7"/>
  <c r="H13" i="7"/>
  <c r="I14" i="7"/>
  <c r="H14" i="7"/>
  <c r="I8" i="7"/>
  <c r="H8" i="7"/>
  <c r="I9" i="7"/>
  <c r="H9" i="7"/>
  <c r="I7" i="7"/>
  <c r="H7" i="7"/>
  <c r="I15" i="7"/>
  <c r="H15" i="7"/>
  <c r="I7" i="5"/>
  <c r="I8" i="5"/>
  <c r="I9" i="5"/>
  <c r="I10" i="5"/>
  <c r="I11" i="5"/>
  <c r="I12" i="5"/>
  <c r="I13" i="5"/>
  <c r="I14" i="5"/>
  <c r="I15" i="5"/>
  <c r="H7" i="5" l="1"/>
  <c r="H8" i="5"/>
  <c r="H9" i="5"/>
  <c r="H10" i="5"/>
  <c r="E12" i="1" s="1"/>
  <c r="H3" i="4" s="1"/>
  <c r="B13" i="4" s="1"/>
  <c r="H11" i="5"/>
  <c r="H12" i="5"/>
  <c r="H13" i="5"/>
  <c r="H14" i="5"/>
  <c r="H15" i="5"/>
  <c r="H6" i="5"/>
  <c r="B14" i="4" l="1"/>
  <c r="H13" i="4"/>
  <c r="C13" i="4"/>
  <c r="D13" i="4" s="1"/>
  <c r="B15" i="4" l="1"/>
  <c r="C14" i="4"/>
  <c r="D14" i="4" s="1"/>
  <c r="E14" i="4"/>
  <c r="H14" i="4" s="1"/>
  <c r="E15" i="4" l="1"/>
  <c r="H15" i="4" s="1"/>
  <c r="B16" i="4"/>
  <c r="C15" i="4"/>
  <c r="D15" i="4" s="1"/>
  <c r="B17" i="4" l="1"/>
  <c r="E16" i="4"/>
  <c r="H16" i="4" s="1"/>
  <c r="C16" i="4"/>
  <c r="D16" i="4" s="1"/>
  <c r="E17" i="4" l="1"/>
  <c r="H17" i="4" s="1"/>
  <c r="C17" i="4"/>
  <c r="D17" i="4" s="1"/>
  <c r="B18" i="4"/>
  <c r="E18" i="4" l="1"/>
  <c r="H18" i="4" s="1"/>
  <c r="C18" i="4"/>
  <c r="D18" i="4" s="1"/>
  <c r="B19" i="4"/>
  <c r="B20" i="4" l="1"/>
  <c r="E19" i="4"/>
  <c r="H19" i="4" s="1"/>
  <c r="C19" i="4"/>
  <c r="D19" i="4" s="1"/>
  <c r="E20" i="4" l="1"/>
  <c r="H20" i="4" s="1"/>
  <c r="B21" i="4"/>
  <c r="C20" i="4"/>
  <c r="D20" i="4" s="1"/>
  <c r="C21" i="4" l="1"/>
  <c r="D21" i="4" s="1"/>
  <c r="B22" i="4"/>
  <c r="E21" i="4"/>
  <c r="H21" i="4" s="1"/>
  <c r="E22" i="4" l="1"/>
  <c r="H22" i="4" s="1"/>
  <c r="C22" i="4"/>
  <c r="D22" i="4" s="1"/>
  <c r="B23" i="4"/>
  <c r="B24" i="4" l="1"/>
  <c r="E23" i="4"/>
  <c r="H23" i="4" s="1"/>
  <c r="C23" i="4"/>
  <c r="D23" i="4" s="1"/>
  <c r="B25" i="4" l="1"/>
  <c r="E24" i="4"/>
  <c r="H24" i="4" s="1"/>
  <c r="C24" i="4"/>
  <c r="D24" i="4" s="1"/>
  <c r="C25" i="4" l="1"/>
  <c r="D25" i="4" s="1"/>
  <c r="E25" i="4"/>
  <c r="H25" i="4" s="1"/>
  <c r="B26" i="4"/>
  <c r="B27" i="4" l="1"/>
  <c r="E26" i="4"/>
  <c r="H26" i="4" s="1"/>
  <c r="C26" i="4"/>
  <c r="D26" i="4" s="1"/>
  <c r="C27" i="4" l="1"/>
  <c r="D27" i="4" s="1"/>
  <c r="B28" i="4"/>
  <c r="E27" i="4"/>
  <c r="H27" i="4" s="1"/>
  <c r="C28" i="4" l="1"/>
  <c r="D28" i="4" s="1"/>
  <c r="B29" i="4"/>
  <c r="E28" i="4"/>
  <c r="H28" i="4" s="1"/>
  <c r="B30" i="4" l="1"/>
  <c r="C29" i="4"/>
  <c r="D29" i="4" s="1"/>
  <c r="E29" i="4"/>
  <c r="H29" i="4" s="1"/>
  <c r="E30" i="4" l="1"/>
  <c r="H30" i="4" s="1"/>
  <c r="B31" i="4"/>
  <c r="C30" i="4"/>
  <c r="D30" i="4" s="1"/>
  <c r="B32" i="4" l="1"/>
  <c r="E31" i="4"/>
  <c r="H31" i="4" s="1"/>
  <c r="C31" i="4"/>
  <c r="D31" i="4" s="1"/>
  <c r="B33" i="4" l="1"/>
  <c r="E32" i="4"/>
  <c r="H32" i="4" s="1"/>
  <c r="C32" i="4"/>
  <c r="D32" i="4" s="1"/>
  <c r="C33" i="4" l="1"/>
  <c r="D33" i="4" s="1"/>
  <c r="E33" i="4"/>
  <c r="H33" i="4" s="1"/>
  <c r="B34" i="4"/>
  <c r="C34" i="4" l="1"/>
  <c r="D34" i="4" s="1"/>
  <c r="B35" i="4"/>
  <c r="E34" i="4"/>
  <c r="H34" i="4" s="1"/>
  <c r="C35" i="4" l="1"/>
  <c r="D35" i="4" s="1"/>
  <c r="B36" i="4"/>
  <c r="E35" i="4"/>
  <c r="H35" i="4" s="1"/>
  <c r="B37" i="4" l="1"/>
  <c r="E36" i="4"/>
  <c r="H36" i="4" s="1"/>
  <c r="C36" i="4"/>
  <c r="D36" i="4" s="1"/>
  <c r="E37" i="4" l="1"/>
  <c r="H37" i="4" s="1"/>
  <c r="C37" i="4"/>
  <c r="D37" i="4" s="1"/>
  <c r="B38" i="4"/>
  <c r="B39" i="4" l="1"/>
  <c r="C38" i="4"/>
  <c r="D38" i="4" s="1"/>
  <c r="E38" i="4"/>
  <c r="H38" i="4" s="1"/>
  <c r="E39" i="4" l="1"/>
  <c r="H39" i="4" s="1"/>
  <c r="C39" i="4"/>
  <c r="D39" i="4" s="1"/>
  <c r="B40" i="4"/>
  <c r="B41" i="4" l="1"/>
  <c r="E40" i="4"/>
  <c r="H40" i="4" s="1"/>
  <c r="C40" i="4"/>
  <c r="D40" i="4" s="1"/>
  <c r="C41" i="4" l="1"/>
  <c r="D41" i="4" s="1"/>
  <c r="B42" i="4"/>
  <c r="E41" i="4"/>
  <c r="H41" i="4" s="1"/>
  <c r="C42" i="4" l="1"/>
  <c r="D42" i="4" s="1"/>
  <c r="B43" i="4"/>
  <c r="E42" i="4"/>
  <c r="H42" i="4" s="1"/>
  <c r="B44" i="4" l="1"/>
  <c r="E43" i="4"/>
  <c r="H43" i="4" s="1"/>
  <c r="C43" i="4"/>
  <c r="D43" i="4" s="1"/>
  <c r="C44" i="4" l="1"/>
  <c r="D44" i="4" s="1"/>
  <c r="E44" i="4"/>
  <c r="H44" i="4" s="1"/>
  <c r="B45" i="4"/>
  <c r="E45" i="4" l="1"/>
  <c r="H45" i="4" s="1"/>
  <c r="C45" i="4"/>
  <c r="D45" i="4" s="1"/>
  <c r="B46" i="4"/>
  <c r="E46" i="4" l="1"/>
  <c r="H46" i="4" s="1"/>
  <c r="C46" i="4"/>
  <c r="D46" i="4" s="1"/>
  <c r="B47" i="4"/>
  <c r="B48" i="4" l="1"/>
  <c r="E47" i="4"/>
  <c r="H47" i="4" s="1"/>
  <c r="C47" i="4"/>
  <c r="D47" i="4" s="1"/>
  <c r="C48" i="4" l="1"/>
  <c r="D48" i="4" s="1"/>
  <c r="E48" i="4"/>
  <c r="H48" i="4" s="1"/>
  <c r="B49" i="4"/>
  <c r="C49" i="4" l="1"/>
  <c r="D49" i="4" s="1"/>
  <c r="B50" i="4"/>
  <c r="E49" i="4"/>
  <c r="H49" i="4" s="1"/>
  <c r="C50" i="4" l="1"/>
  <c r="D50" i="4" s="1"/>
  <c r="B51" i="4"/>
  <c r="E50" i="4"/>
  <c r="H50" i="4" s="1"/>
  <c r="B52" i="4" l="1"/>
  <c r="E51" i="4"/>
  <c r="H51" i="4" s="1"/>
  <c r="C51" i="4"/>
  <c r="D51" i="4" s="1"/>
  <c r="B53" i="4" l="1"/>
  <c r="E52" i="4"/>
  <c r="H52" i="4" s="1"/>
  <c r="C52" i="4"/>
  <c r="D52" i="4" s="1"/>
  <c r="E53" i="4" l="1"/>
  <c r="H53" i="4" s="1"/>
  <c r="B54" i="4"/>
  <c r="C53" i="4"/>
  <c r="D53" i="4" s="1"/>
  <c r="E54" i="4" l="1"/>
  <c r="H54" i="4" s="1"/>
  <c r="C54" i="4"/>
  <c r="D54" i="4" s="1"/>
  <c r="B55" i="4"/>
  <c r="B56" i="4" l="1"/>
  <c r="C55" i="4"/>
  <c r="D55" i="4" s="1"/>
  <c r="E55" i="4"/>
  <c r="H55" i="4" s="1"/>
  <c r="B57" i="4" l="1"/>
  <c r="E56" i="4"/>
  <c r="H56" i="4" s="1"/>
  <c r="C56" i="4"/>
  <c r="D56" i="4" s="1"/>
  <c r="C57" i="4" l="1"/>
  <c r="D57" i="4" s="1"/>
  <c r="B58" i="4"/>
  <c r="E57" i="4"/>
  <c r="H57" i="4" s="1"/>
  <c r="C58" i="4" l="1"/>
  <c r="D58" i="4" s="1"/>
  <c r="E58" i="4"/>
  <c r="H58" i="4" s="1"/>
  <c r="B59" i="4"/>
  <c r="B60" i="4" l="1"/>
  <c r="E59" i="4"/>
  <c r="H59" i="4" s="1"/>
  <c r="C59" i="4"/>
  <c r="D59" i="4" s="1"/>
  <c r="B61" i="4" l="1"/>
  <c r="E60" i="4"/>
  <c r="H60" i="4" s="1"/>
  <c r="C60" i="4"/>
  <c r="D60" i="4" s="1"/>
  <c r="E61" i="4" l="1"/>
  <c r="H61" i="4" s="1"/>
  <c r="C61" i="4"/>
  <c r="D61" i="4" s="1"/>
  <c r="B62" i="4"/>
  <c r="B63" i="4" l="1"/>
  <c r="C62" i="4"/>
  <c r="D62" i="4" s="1"/>
  <c r="E62" i="4"/>
  <c r="H62" i="4" s="1"/>
  <c r="E63" i="4" l="1"/>
  <c r="H63" i="4" s="1"/>
  <c r="C63" i="4"/>
  <c r="D63" i="4" s="1"/>
  <c r="B64" i="4"/>
  <c r="E64" i="4" l="1"/>
  <c r="H64" i="4" s="1"/>
  <c r="C64" i="4"/>
  <c r="D64" i="4" s="1"/>
  <c r="B65" i="4"/>
  <c r="C65" i="4" l="1"/>
  <c r="D65" i="4" s="1"/>
  <c r="B66" i="4"/>
  <c r="E65" i="4"/>
  <c r="H65" i="4" s="1"/>
  <c r="C66" i="4" l="1"/>
  <c r="D66" i="4" s="1"/>
  <c r="B67" i="4"/>
  <c r="E66" i="4"/>
  <c r="H66" i="4" s="1"/>
  <c r="B68" i="4" l="1"/>
  <c r="E67" i="4"/>
  <c r="H67" i="4" s="1"/>
  <c r="C67" i="4"/>
  <c r="D67" i="4" s="1"/>
  <c r="C68" i="4" l="1"/>
  <c r="D68" i="4" s="1"/>
  <c r="B69" i="4"/>
  <c r="E68" i="4"/>
  <c r="H68" i="4" s="1"/>
  <c r="E69" i="4" l="1"/>
  <c r="H69" i="4" s="1"/>
  <c r="C69" i="4"/>
  <c r="D69" i="4" s="1"/>
  <c r="B70" i="4"/>
  <c r="B71" i="4" l="1"/>
  <c r="C70" i="4"/>
  <c r="D70" i="4" s="1"/>
  <c r="E70" i="4"/>
  <c r="H70" i="4" s="1"/>
  <c r="B72" i="4" l="1"/>
  <c r="C71" i="4"/>
  <c r="D71" i="4" s="1"/>
  <c r="E71" i="4"/>
  <c r="H71" i="4" s="1"/>
  <c r="C72" i="4" l="1"/>
  <c r="D72" i="4" s="1"/>
  <c r="E72" i="4"/>
  <c r="H72" i="4" s="1"/>
  <c r="B73" i="4"/>
  <c r="C73" i="4" l="1"/>
  <c r="D73" i="4" s="1"/>
  <c r="B74" i="4"/>
  <c r="E73" i="4"/>
  <c r="H73" i="4" s="1"/>
  <c r="E74" i="4" l="1"/>
  <c r="H74" i="4" s="1"/>
  <c r="B75" i="4"/>
  <c r="C74" i="4"/>
  <c r="D74" i="4" s="1"/>
  <c r="C75" i="4" l="1"/>
  <c r="D75" i="4" s="1"/>
  <c r="B76" i="4"/>
  <c r="E75" i="4"/>
  <c r="H75" i="4" s="1"/>
  <c r="C76" i="4" l="1"/>
  <c r="D76" i="4" s="1"/>
  <c r="B77" i="4"/>
  <c r="E76" i="4"/>
  <c r="H76" i="4" s="1"/>
  <c r="B78" i="4" l="1"/>
  <c r="E77" i="4"/>
  <c r="H77" i="4" s="1"/>
  <c r="C77" i="4"/>
  <c r="D77" i="4" s="1"/>
  <c r="E78" i="4" l="1"/>
  <c r="H78" i="4" s="1"/>
  <c r="B79" i="4"/>
  <c r="C78" i="4"/>
  <c r="D78" i="4" s="1"/>
  <c r="B80" i="4" l="1"/>
  <c r="E79" i="4"/>
  <c r="H79" i="4" s="1"/>
  <c r="C79" i="4"/>
  <c r="D79" i="4" s="1"/>
  <c r="B81" i="4" l="1"/>
  <c r="C80" i="4"/>
  <c r="D80" i="4" s="1"/>
  <c r="E80" i="4"/>
  <c r="H80" i="4" s="1"/>
  <c r="E81" i="4" l="1"/>
  <c r="H81" i="4" s="1"/>
  <c r="C81" i="4"/>
  <c r="D81" i="4" s="1"/>
  <c r="B82" i="4"/>
  <c r="B83" i="4" l="1"/>
  <c r="E82" i="4"/>
  <c r="H82" i="4" s="1"/>
  <c r="C82" i="4"/>
  <c r="D82" i="4" s="1"/>
  <c r="C83" i="4" l="1"/>
  <c r="D83" i="4" s="1"/>
  <c r="B84" i="4"/>
  <c r="E83" i="4"/>
  <c r="H83" i="4" s="1"/>
  <c r="E84" i="4" l="1"/>
  <c r="H84" i="4" s="1"/>
  <c r="B85" i="4"/>
  <c r="C84" i="4"/>
  <c r="D84" i="4" s="1"/>
  <c r="B86" i="4" l="1"/>
  <c r="E85" i="4"/>
  <c r="H85" i="4" s="1"/>
  <c r="C85" i="4"/>
  <c r="D85" i="4" s="1"/>
  <c r="C86" i="4" l="1"/>
  <c r="D86" i="4" s="1"/>
  <c r="B87" i="4"/>
  <c r="E86" i="4"/>
  <c r="H86" i="4" s="1"/>
  <c r="B88" i="4" l="1"/>
  <c r="E87" i="4"/>
  <c r="H87" i="4" s="1"/>
  <c r="C87" i="4"/>
  <c r="D87" i="4" s="1"/>
  <c r="D88" i="4" l="1"/>
  <c r="B89" i="4"/>
  <c r="C88" i="4"/>
  <c r="H88" i="4"/>
  <c r="E89" i="4" l="1"/>
  <c r="D89" i="4"/>
  <c r="C89" i="4"/>
  <c r="B90" i="4"/>
  <c r="H89" i="4"/>
  <c r="C90" i="4" l="1"/>
  <c r="D90" i="4"/>
  <c r="E90" i="4"/>
  <c r="B91" i="4"/>
  <c r="H90" i="4"/>
  <c r="C91" i="4" l="1"/>
  <c r="E91" i="4"/>
  <c r="D91" i="4"/>
  <c r="B92" i="4"/>
  <c r="H91" i="4"/>
  <c r="D92" i="4" l="1"/>
  <c r="C92" i="4"/>
  <c r="E92" i="4"/>
  <c r="H92" i="4"/>
  <c r="B93" i="4"/>
  <c r="C93" i="4" l="1"/>
  <c r="E93" i="4"/>
  <c r="D93" i="4"/>
  <c r="B94" i="4"/>
  <c r="H93" i="4"/>
  <c r="E94" i="4" l="1"/>
  <c r="D94" i="4"/>
  <c r="C94" i="4"/>
  <c r="B95" i="4"/>
  <c r="H94" i="4"/>
  <c r="E95" i="4" l="1"/>
  <c r="D95" i="4"/>
  <c r="C95" i="4"/>
  <c r="B96" i="4"/>
  <c r="H95" i="4"/>
  <c r="D96" i="4" l="1"/>
  <c r="E96" i="4"/>
  <c r="C96" i="4"/>
  <c r="B97" i="4"/>
  <c r="H96" i="4"/>
  <c r="E97" i="4" l="1"/>
  <c r="D97" i="4"/>
  <c r="C97" i="4"/>
  <c r="H97" i="4"/>
  <c r="B98" i="4"/>
  <c r="D98" i="4" l="1"/>
  <c r="C98" i="4"/>
  <c r="E98" i="4"/>
  <c r="B99" i="4"/>
  <c r="H98" i="4"/>
  <c r="E99" i="4" l="1"/>
  <c r="D99" i="4"/>
  <c r="C99" i="4"/>
  <c r="B100" i="4"/>
  <c r="H99" i="4"/>
  <c r="C100" i="4" l="1"/>
  <c r="D100" i="4"/>
  <c r="E100" i="4"/>
  <c r="H100" i="4"/>
  <c r="B101" i="4"/>
  <c r="E101" i="4" l="1"/>
  <c r="B102" i="4"/>
  <c r="C101" i="4"/>
  <c r="D101" i="4"/>
  <c r="H101" i="4"/>
  <c r="E102" i="4" l="1"/>
  <c r="D102" i="4"/>
  <c r="C102" i="4"/>
  <c r="H102" i="4"/>
  <c r="B103" i="4"/>
  <c r="D103" i="4" l="1"/>
  <c r="C103" i="4"/>
  <c r="E103" i="4"/>
  <c r="H103" i="4"/>
  <c r="B104" i="4"/>
  <c r="D104" i="4" l="1"/>
  <c r="E104" i="4"/>
  <c r="C104" i="4"/>
  <c r="B105" i="4"/>
  <c r="H104" i="4"/>
  <c r="E105" i="4" l="1"/>
  <c r="D105" i="4"/>
  <c r="C105" i="4"/>
  <c r="H105" i="4"/>
  <c r="B106" i="4"/>
  <c r="C106" i="4" l="1"/>
  <c r="D106" i="4"/>
  <c r="E106" i="4"/>
  <c r="B107" i="4"/>
  <c r="H106" i="4"/>
  <c r="E107" i="4" l="1"/>
  <c r="D107" i="4"/>
  <c r="C107" i="4"/>
  <c r="B108" i="4"/>
  <c r="H107" i="4"/>
  <c r="D108" i="4" l="1"/>
  <c r="C108" i="4"/>
  <c r="E108" i="4"/>
  <c r="H108" i="4"/>
  <c r="B109" i="4"/>
  <c r="C109" i="4" l="1"/>
  <c r="E109" i="4"/>
  <c r="D109" i="4"/>
  <c r="B110" i="4"/>
  <c r="H109" i="4"/>
  <c r="E110" i="4" l="1"/>
  <c r="D110" i="4"/>
  <c r="C110" i="4"/>
  <c r="B111" i="4"/>
  <c r="H110" i="4"/>
  <c r="C111" i="4" l="1"/>
  <c r="E111" i="4"/>
  <c r="D111" i="4"/>
  <c r="B112" i="4"/>
  <c r="H111" i="4"/>
  <c r="C112" i="4" l="1"/>
  <c r="D112" i="4"/>
  <c r="E112" i="4"/>
  <c r="B113" i="4"/>
  <c r="H112" i="4"/>
  <c r="E113" i="4" l="1"/>
  <c r="D113" i="4"/>
  <c r="C113" i="4"/>
  <c r="H113" i="4"/>
  <c r="H8" i="4" s="1"/>
  <c r="H9" i="4" s="1"/>
  <c r="E17" i="1" s="1"/>
  <c r="E20" i="1" s="1"/>
</calcChain>
</file>

<file path=xl/sharedStrings.xml><?xml version="1.0" encoding="utf-8"?>
<sst xmlns="http://schemas.openxmlformats.org/spreadsheetml/2006/main" count="160" uniqueCount="76">
  <si>
    <t xml:space="preserve"> </t>
  </si>
  <si>
    <t>Valuation Date</t>
  </si>
  <si>
    <t>Employee Database</t>
  </si>
  <si>
    <t>ID</t>
  </si>
  <si>
    <t>Name</t>
  </si>
  <si>
    <t>Salary</t>
  </si>
  <si>
    <t>Date of Birth</t>
  </si>
  <si>
    <t>Date of Hire</t>
  </si>
  <si>
    <t>Klendshoj,Roxanne</t>
  </si>
  <si>
    <t>Woodley,Jeanne M</t>
  </si>
  <si>
    <t>Bartho,Jerome Fion</t>
  </si>
  <si>
    <t>Benson,Scott G</t>
  </si>
  <si>
    <t>Aho,Diane</t>
  </si>
  <si>
    <t>Larson,DeeAnn Smith</t>
  </si>
  <si>
    <t>Nelson,Susann</t>
  </si>
  <si>
    <t>Asche,Tracy A</t>
  </si>
  <si>
    <t>Carlson,Robert Lee</t>
  </si>
  <si>
    <t>Donovan,Richard</t>
  </si>
  <si>
    <t>Age</t>
  </si>
  <si>
    <t>Service</t>
  </si>
  <si>
    <t>Summary Info:</t>
  </si>
  <si>
    <t>Number of Records</t>
  </si>
  <si>
    <t>Total Salary of Current Year</t>
  </si>
  <si>
    <t>Average Salary of Current Year</t>
  </si>
  <si>
    <t>Maximum Age</t>
  </si>
  <si>
    <t>Minimum Age</t>
  </si>
  <si>
    <t>Average Service</t>
  </si>
  <si>
    <t>PY Salary</t>
  </si>
  <si>
    <t>&gt;50</t>
  </si>
  <si>
    <t>&lt;40</t>
  </si>
  <si>
    <t>&gt;80000</t>
  </si>
  <si>
    <t>Grand Total</t>
  </si>
  <si>
    <t>Count of Service</t>
  </si>
  <si>
    <t>Sum of Total Salary</t>
  </si>
  <si>
    <t>Values</t>
  </si>
  <si>
    <t>0-5</t>
  </si>
  <si>
    <t>6-10</t>
  </si>
  <si>
    <t>11-20</t>
  </si>
  <si>
    <t>20+</t>
  </si>
  <si>
    <t>45-49</t>
  </si>
  <si>
    <t>55-59</t>
  </si>
  <si>
    <t>60-64</t>
  </si>
  <si>
    <t>Age by Service Table with total Salaries plus total PY Salaries</t>
  </si>
  <si>
    <t>Mortality Table</t>
  </si>
  <si>
    <t>qx</t>
  </si>
  <si>
    <t>Life Annuity</t>
  </si>
  <si>
    <t>Current Age</t>
  </si>
  <si>
    <t>Annual Payment</t>
  </si>
  <si>
    <t>Interest Rate</t>
  </si>
  <si>
    <t>Annuity Factor</t>
  </si>
  <si>
    <t>Annuity Value</t>
  </si>
  <si>
    <t>Excel Calculation</t>
  </si>
  <si>
    <t>px</t>
  </si>
  <si>
    <t>tpx</t>
  </si>
  <si>
    <t>Discount Value</t>
  </si>
  <si>
    <t>Contract Year</t>
  </si>
  <si>
    <t>Year</t>
  </si>
  <si>
    <t>Rate</t>
  </si>
  <si>
    <t>Current Year Info</t>
  </si>
  <si>
    <t>The rate in a year is used to calculate
annuity value for
the contracts
made in that
year.</t>
  </si>
  <si>
    <t>For example, if a
plan is terminated
in 2019 and the annuity contract is purchased in the same year, then the rate of 4.00% is used to determine the annuity value</t>
  </si>
  <si>
    <t>Benefit Statement</t>
  </si>
  <si>
    <t>Date of Participation</t>
  </si>
  <si>
    <t>Date of Normal Retirement</t>
  </si>
  <si>
    <t>Age last birthday</t>
  </si>
  <si>
    <t>Service since the participation date</t>
  </si>
  <si>
    <t>Annual Benefit</t>
  </si>
  <si>
    <t>Early Retirement factor</t>
  </si>
  <si>
    <t>Early Retirement Benefit</t>
  </si>
  <si>
    <t>Retirement Goal</t>
  </si>
  <si>
    <t>Achieved Goal Percentage</t>
  </si>
  <si>
    <r>
      <rPr>
        <b/>
        <sz val="11"/>
        <color theme="1"/>
        <rFont val="Calibri"/>
        <family val="2"/>
        <scheme val="minor"/>
      </rPr>
      <t>Identification Number ---</t>
    </r>
    <r>
      <rPr>
        <sz val="11"/>
        <color theme="1"/>
        <rFont val="Calibri"/>
        <family val="2"/>
        <scheme val="minor"/>
      </rPr>
      <t xml:space="preserve"> input item</t>
    </r>
  </si>
  <si>
    <t>One Year Anniversary of Employement</t>
  </si>
  <si>
    <t>First day of the month after B6</t>
  </si>
  <si>
    <t>Annuity purchase value</t>
  </si>
  <si>
    <t>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</si>
</sst>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7" formatCode="0.000000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8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9" fillId="0" borderId="0"/>
    <xf numFmtId="43" fontId="9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14" fontId="2" fillId="2" borderId="0" xfId="0" applyNumberFormat="1" applyFont="1" applyFill="1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164" fontId="0" fillId="5" borderId="0" xfId="1" applyNumberFormat="1" applyFont="1" applyFill="1"/>
    <xf numFmtId="14" fontId="2" fillId="0" borderId="0" xfId="0" applyNumberFormat="1" applyFont="1" applyFill="1"/>
    <xf numFmtId="1" fontId="0" fillId="5" borderId="0" xfId="0" applyNumberFormat="1" applyFill="1" applyAlignment="1">
      <alignment horizontal="center"/>
    </xf>
    <xf numFmtId="0" fontId="5" fillId="0" borderId="0" xfId="0" applyNumberFormat="1" applyFont="1" applyFill="1"/>
    <xf numFmtId="164" fontId="0" fillId="0" borderId="0" xfId="1" applyNumberFormat="1" applyFont="1"/>
    <xf numFmtId="0" fontId="8" fillId="0" borderId="0" xfId="3"/>
    <xf numFmtId="0" fontId="0" fillId="0" borderId="0" xfId="0" pivotButton="1"/>
    <xf numFmtId="0" fontId="0" fillId="6" borderId="0" xfId="0" applyFill="1"/>
    <xf numFmtId="0" fontId="0" fillId="6" borderId="5" xfId="0" applyFill="1" applyBorder="1"/>
    <xf numFmtId="0" fontId="0" fillId="7" borderId="5" xfId="0" applyFill="1" applyBorder="1"/>
    <xf numFmtId="0" fontId="0" fillId="7" borderId="2" xfId="0" applyFill="1" applyBorder="1"/>
    <xf numFmtId="0" fontId="0" fillId="6" borderId="3" xfId="0" applyFill="1" applyBorder="1"/>
    <xf numFmtId="0" fontId="0" fillId="6" borderId="4" xfId="0" applyFill="1" applyBorder="1"/>
    <xf numFmtId="1" fontId="7" fillId="8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0" borderId="9" xfId="0" applyNumberFormat="1" applyFont="1" applyBorder="1" applyAlignment="1">
      <alignment horizontal="center"/>
    </xf>
    <xf numFmtId="0" fontId="7" fillId="0" borderId="10" xfId="0" applyNumberFormat="1" applyFont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right"/>
    </xf>
    <xf numFmtId="0" fontId="3" fillId="0" borderId="7" xfId="0" applyNumberFormat="1" applyFont="1" applyBorder="1" applyAlignment="1">
      <alignment horizontal="right"/>
    </xf>
    <xf numFmtId="0" fontId="12" fillId="0" borderId="6" xfId="3" applyFont="1" applyBorder="1" applyAlignment="1">
      <alignment horizontal="center"/>
    </xf>
    <xf numFmtId="0" fontId="8" fillId="0" borderId="1" xfId="3" applyBorder="1" applyAlignment="1">
      <alignment horizontal="center"/>
    </xf>
    <xf numFmtId="0" fontId="8" fillId="0" borderId="0" xfId="3" applyAlignment="1">
      <alignment horizontal="center"/>
    </xf>
    <xf numFmtId="0" fontId="7" fillId="0" borderId="0" xfId="0" applyFont="1"/>
    <xf numFmtId="167" fontId="0" fillId="0" borderId="0" xfId="0" applyNumberFormat="1"/>
    <xf numFmtId="3" fontId="0" fillId="6" borderId="0" xfId="0" applyNumberFormat="1" applyFill="1"/>
    <xf numFmtId="10" fontId="0" fillId="6" borderId="0" xfId="0" applyNumberFormat="1" applyFill="1"/>
    <xf numFmtId="0" fontId="7" fillId="0" borderId="0" xfId="0" applyFont="1" applyAlignment="1">
      <alignment horizontal="left"/>
    </xf>
    <xf numFmtId="0" fontId="0" fillId="0" borderId="1" xfId="0" applyBorder="1"/>
    <xf numFmtId="10" fontId="0" fillId="6" borderId="1" xfId="0" applyNumberFormat="1" applyFill="1" applyBorder="1"/>
    <xf numFmtId="0" fontId="0" fillId="6" borderId="1" xfId="0" applyFill="1" applyBorder="1"/>
    <xf numFmtId="0" fontId="0" fillId="0" borderId="14" xfId="0" applyBorder="1"/>
    <xf numFmtId="0" fontId="7" fillId="0" borderId="5" xfId="0" applyFont="1" applyBorder="1" applyAlignment="1">
      <alignment horizontal="center"/>
    </xf>
    <xf numFmtId="10" fontId="0" fillId="6" borderId="14" xfId="0" applyNumberFormat="1" applyFill="1" applyBorder="1"/>
    <xf numFmtId="0" fontId="3" fillId="12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10" fontId="14" fillId="0" borderId="5" xfId="2" applyNumberFormat="1" applyFont="1" applyBorder="1" applyAlignment="1">
      <alignment horizontal="center"/>
    </xf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16" xfId="0" applyFill="1" applyBorder="1"/>
    <xf numFmtId="0" fontId="0" fillId="12" borderId="17" xfId="0" applyFill="1" applyBorder="1"/>
    <xf numFmtId="0" fontId="0" fillId="0" borderId="0" xfId="0" applyBorder="1"/>
    <xf numFmtId="0" fontId="7" fillId="0" borderId="0" xfId="0" applyFont="1" applyBorder="1"/>
    <xf numFmtId="0" fontId="0" fillId="12" borderId="9" xfId="0" applyFill="1" applyBorder="1"/>
    <xf numFmtId="0" fontId="0" fillId="12" borderId="10" xfId="0" applyFill="1" applyBorder="1"/>
    <xf numFmtId="0" fontId="0" fillId="12" borderId="18" xfId="0" applyFill="1" applyBorder="1"/>
    <xf numFmtId="0" fontId="0" fillId="4" borderId="1" xfId="0" applyFill="1" applyBorder="1"/>
    <xf numFmtId="14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Border="1"/>
    <xf numFmtId="2" fontId="0" fillId="0" borderId="1" xfId="0" applyNumberFormat="1" applyBorder="1"/>
    <xf numFmtId="168" fontId="0" fillId="0" borderId="1" xfId="0" applyNumberFormat="1" applyBorder="1"/>
    <xf numFmtId="164" fontId="0" fillId="0" borderId="1" xfId="0" applyNumberFormat="1" applyBorder="1"/>
    <xf numFmtId="43" fontId="0" fillId="0" borderId="1" xfId="0" applyNumberFormat="1" applyBorder="1"/>
    <xf numFmtId="168" fontId="0" fillId="0" borderId="0" xfId="0" applyNumberFormat="1" applyAlignment="1">
      <alignment horizontal="center"/>
    </xf>
    <xf numFmtId="0" fontId="7" fillId="0" borderId="3" xfId="0" applyFont="1" applyBorder="1" applyAlignment="1">
      <alignment horizontal="center"/>
    </xf>
    <xf numFmtId="168" fontId="7" fillId="0" borderId="0" xfId="0" applyNumberFormat="1" applyFont="1"/>
    <xf numFmtId="3" fontId="7" fillId="0" borderId="0" xfId="0" applyNumberFormat="1" applyFont="1"/>
    <xf numFmtId="3" fontId="0" fillId="0" borderId="1" xfId="0" applyNumberFormat="1" applyBorder="1"/>
    <xf numFmtId="10" fontId="0" fillId="0" borderId="1" xfId="2" applyNumberFormat="1" applyFont="1" applyBorder="1"/>
    <xf numFmtId="0" fontId="7" fillId="0" borderId="1" xfId="0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0" fillId="10" borderId="11" xfId="3" applyFont="1" applyFill="1" applyBorder="1" applyAlignment="1">
      <alignment horizontal="center"/>
    </xf>
    <xf numFmtId="0" fontId="10" fillId="10" borderId="13" xfId="3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5" fillId="4" borderId="0" xfId="0" applyFont="1" applyFill="1" applyAlignment="1">
      <alignment horizontal="center" vertical="top" wrapText="1"/>
    </xf>
    <xf numFmtId="0" fontId="16" fillId="4" borderId="0" xfId="0" applyFont="1" applyFill="1" applyAlignment="1">
      <alignment horizontal="center" vertical="top"/>
    </xf>
    <xf numFmtId="0" fontId="2" fillId="13" borderId="15" xfId="0" applyFont="1" applyFill="1" applyBorder="1" applyAlignment="1">
      <alignment horizontal="center" vertical="top" wrapText="1"/>
    </xf>
    <xf numFmtId="0" fontId="6" fillId="13" borderId="0" xfId="0" applyFont="1" applyFill="1" applyAlignment="1">
      <alignment horizontal="center" vertical="top"/>
    </xf>
    <xf numFmtId="0" fontId="6" fillId="13" borderId="15" xfId="0" applyFont="1" applyFill="1" applyBorder="1" applyAlignment="1">
      <alignment horizontal="center" vertical="top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4" fillId="11" borderId="11" xfId="0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0" fontId="11" fillId="9" borderId="13" xfId="0" applyFont="1" applyFill="1" applyBorder="1" applyAlignment="1">
      <alignment horizontal="center"/>
    </xf>
    <xf numFmtId="0" fontId="8" fillId="5" borderId="1" xfId="3" applyFill="1" applyBorder="1" applyAlignment="1">
      <alignment horizontal="center"/>
    </xf>
    <xf numFmtId="167" fontId="8" fillId="4" borderId="1" xfId="3" applyNumberFormat="1" applyFill="1" applyBorder="1" applyAlignment="1">
      <alignment horizontal="center"/>
    </xf>
  </cellXfs>
  <cellStyles count="6">
    <cellStyle name="Comma" xfId="1" builtinId="3"/>
    <cellStyle name="Comma 2" xfId="5" xr:uid="{FE316D41-EFE0-44A2-8094-6DDF3A541E5F}"/>
    <cellStyle name="Normal" xfId="0" builtinId="0"/>
    <cellStyle name="Normal 2" xfId="3" xr:uid="{085500D2-D1F6-4768-AD65-AAB4C93215B8}"/>
    <cellStyle name="Normal 2 2" xfId="4" xr:uid="{DEAA8812-DF0F-4C38-832E-0626402CBC8E}"/>
    <cellStyle name="Percent" xfId="2" builtinId="5"/>
  </cellStyles>
  <dxfs count="41">
    <dxf>
      <font>
        <color rgb="FFFF0000"/>
      </font>
    </dxf>
    <dxf>
      <alignment horizontal="right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top style="thin">
          <color theme="4" tint="0.39997558519241921"/>
        </top>
      </border>
    </dxf>
    <dxf>
      <border>
        <bottom style="thin">
          <color theme="8" tint="0.39997558519241921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99FFCC"/>
        </patternFill>
      </fill>
    </dxf>
  </dxfs>
  <tableStyles count="0" defaultTableStyle="TableStyleMedium2" defaultPivotStyle="PivotStyleLight16"/>
  <colors>
    <mruColors>
      <color rgb="FFFFFF66"/>
      <color rgb="FF66FFFF"/>
      <color rgb="FF99FFCC"/>
      <color rgb="FF33CC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Rate!$B$2</c:f>
          <c:strCache>
            <c:ptCount val="1"/>
            <c:pt idx="0">
              <c:v>Interest Rate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42825896762904"/>
          <c:y val="0.16245370370370371"/>
          <c:w val="0.81601618547681554"/>
          <c:h val="0.67695939049285503"/>
        </c:manualLayout>
      </c:layout>
      <c:lineChart>
        <c:grouping val="standard"/>
        <c:varyColors val="0"/>
        <c:ser>
          <c:idx val="1"/>
          <c:order val="0"/>
          <c:tx>
            <c:v>Series 1</c:v>
          </c:tx>
          <c:spPr>
            <a:ln w="127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[0]!Graham_Years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[0]!Graham_Rates</c:f>
              <c:numCache>
                <c:formatCode>0.00%</c:formatCode>
                <c:ptCount val="6"/>
                <c:pt idx="0">
                  <c:v>6.5000000000000002E-2</c:v>
                </c:pt>
                <c:pt idx="1">
                  <c:v>7.2499999999999995E-2</c:v>
                </c:pt>
                <c:pt idx="2">
                  <c:v>6.5000000000000002E-2</c:v>
                </c:pt>
                <c:pt idx="3">
                  <c:v>0.04</c:v>
                </c:pt>
                <c:pt idx="4">
                  <c:v>4.4999999999999998E-2</c:v>
                </c:pt>
                <c:pt idx="5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3-4844-A13B-EFE8DA9BA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519407"/>
        <c:axId val="1838697311"/>
      </c:lineChart>
      <c:catAx>
        <c:axId val="1930519407"/>
        <c:scaling>
          <c:orientation val="minMax"/>
        </c:scaling>
        <c:delete val="0"/>
        <c:axPos val="b"/>
        <c:title>
          <c:tx>
            <c:strRef>
              <c:f>Rate!$B$3</c:f>
              <c:strCache>
                <c:ptCount val="1"/>
                <c:pt idx="0">
                  <c:v>Year</c:v>
                </c:pt>
              </c:strCache>
            </c:strRef>
          </c:tx>
          <c:layout>
            <c:manualLayout>
              <c:xMode val="edge"/>
              <c:yMode val="edge"/>
              <c:x val="0.47758902012248466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97311"/>
        <c:crosses val="autoZero"/>
        <c:auto val="1"/>
        <c:lblAlgn val="ctr"/>
        <c:lblOffset val="100"/>
        <c:noMultiLvlLbl val="0"/>
      </c:catAx>
      <c:valAx>
        <c:axId val="1838697311"/>
        <c:scaling>
          <c:orientation val="minMax"/>
          <c:max val="8.0000000000000016E-2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strRef>
              <c:f>Rate!$C$3</c:f>
              <c:strCache>
                <c:ptCount val="1"/>
                <c:pt idx="0">
                  <c:v>Rate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22225">
            <a:solidFill>
              <a:srgbClr val="0070C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19407"/>
        <c:crosses val="autoZero"/>
        <c:crossBetween val="between"/>
        <c:majorUnit val="2.0000000000000004E-2"/>
      </c:valAx>
      <c:spPr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</xdr:row>
      <xdr:rowOff>180975</xdr:rowOff>
    </xdr:from>
    <xdr:to>
      <xdr:col>13</xdr:col>
      <xdr:colOff>123825</xdr:colOff>
      <xdr:row>16</xdr:row>
      <xdr:rowOff>38100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F2A3619E-732A-4CEC-A2CB-38CEB426F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G" refreshedDate="44117.587072222224" createdVersion="6" refreshedVersion="6" minRefreshableVersion="3" recordCount="10" xr:uid="{ED61FDCC-037D-4243-96F7-715E5C55C886}">
  <cacheSource type="worksheet">
    <worksheetSource ref="B5:I15" sheet="Record"/>
  </cacheSource>
  <cacheFields count="10">
    <cacheField name="ID" numFmtId="0">
      <sharedItems containsSemiMixedTypes="0" containsString="0" containsNumber="1" containsInteger="1" minValue="50001" maxValue="50010"/>
    </cacheField>
    <cacheField name="Name" numFmtId="0">
      <sharedItems/>
    </cacheField>
    <cacheField name="Salary" numFmtId="164">
      <sharedItems containsSemiMixedTypes="0" containsString="0" containsNumber="1" containsInteger="1" minValue="91000" maxValue="110000"/>
    </cacheField>
    <cacheField name="PY Salary" numFmtId="164">
      <sharedItems containsSemiMixedTypes="0" containsString="0" containsNumber="1" containsInteger="1" minValue="83000" maxValue="101000"/>
    </cacheField>
    <cacheField name="Date of Birth" numFmtId="14">
      <sharedItems containsSemiMixedTypes="0" containsNonDate="0" containsDate="1" containsString="0" minDate="1954-03-02T00:00:00" maxDate="1972-06-09T00:00:00"/>
    </cacheField>
    <cacheField name="Date of Hire" numFmtId="14">
      <sharedItems containsSemiMixedTypes="0" containsNonDate="0" containsDate="1" containsString="0" minDate="1989-02-07T00:00:00" maxDate="2017-12-10T00:00:00"/>
    </cacheField>
    <cacheField name="Age" numFmtId="1">
      <sharedItems containsSemiMixedTypes="0" containsString="0" containsNumber="1" containsInteger="1" minValue="46" maxValue="64" count="7">
        <n v="46"/>
        <n v="64"/>
        <n v="62"/>
        <n v="63"/>
        <n v="55"/>
        <n v="60"/>
        <n v="56"/>
      </sharedItems>
      <fieldGroup base="6">
        <rangePr autoStart="0" startNum="45" endNum="64" groupInterval="5"/>
        <groupItems count="6">
          <s v="&lt;45"/>
          <s v="45-49"/>
          <s v="50-54"/>
          <s v="55-59"/>
          <s v="60-64"/>
          <s v="&gt;65"/>
        </groupItems>
      </fieldGroup>
    </cacheField>
    <cacheField name="Service" numFmtId="1">
      <sharedItems containsSemiMixedTypes="0" containsString="0" containsNumber="1" containsInteger="1" minValue="1" maxValue="30" count="9">
        <n v="27"/>
        <n v="2"/>
        <n v="15"/>
        <n v="7"/>
        <n v="20"/>
        <n v="29"/>
        <n v="1"/>
        <n v="18"/>
        <n v="30"/>
      </sharedItems>
      <fieldGroup par="9"/>
    </cacheField>
    <cacheField name="Total Salary" numFmtId="0" formula="Salary+'PY Salary'" databaseField="0"/>
    <cacheField name="Service2" numFmtId="0" databaseField="0">
      <fieldGroup base="7">
        <discretePr count="9">
          <x v="2"/>
          <x v="1"/>
          <x v="3"/>
          <x v="0"/>
          <x v="3"/>
          <x v="2"/>
          <x v="1"/>
          <x v="3"/>
          <x v="2"/>
        </discretePr>
        <groupItems count="4">
          <n v="7"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 pivotCacheId="5283296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50001"/>
    <s v="Klendshoj,Roxanne"/>
    <n v="110000"/>
    <n v="101000"/>
    <d v="1972-03-05T00:00:00"/>
    <d v="1992-03-02T00:00:00"/>
    <x v="0"/>
    <x v="0"/>
  </r>
  <r>
    <n v="50002"/>
    <s v="Woodley,Jeanne M"/>
    <n v="99000"/>
    <n v="91000"/>
    <d v="1954-03-02T00:00:00"/>
    <d v="2016-09-03T00:00:00"/>
    <x v="1"/>
    <x v="1"/>
  </r>
  <r>
    <n v="50003"/>
    <s v="Bartho,Jerome Fion"/>
    <n v="98000"/>
    <n v="90000"/>
    <d v="1956-05-09T00:00:00"/>
    <d v="2004-01-03T00:00:00"/>
    <x v="2"/>
    <x v="2"/>
  </r>
  <r>
    <n v="50004"/>
    <s v="Benson,Scott G"/>
    <n v="97000"/>
    <n v="89000"/>
    <d v="1955-09-09T00:00:00"/>
    <d v="2011-10-09T00:00:00"/>
    <x v="3"/>
    <x v="3"/>
  </r>
  <r>
    <n v="50005"/>
    <s v="Aho,Diane"/>
    <n v="96000"/>
    <n v="88000"/>
    <d v="1972-06-08T00:00:00"/>
    <d v="2012-03-05T00:00:00"/>
    <x v="0"/>
    <x v="3"/>
  </r>
  <r>
    <n v="50006"/>
    <s v="Larson,DeeAnn Smith"/>
    <n v="95000"/>
    <n v="87000"/>
    <d v="1963-03-02T00:00:00"/>
    <d v="1999-01-03T00:00:00"/>
    <x v="4"/>
    <x v="4"/>
  </r>
  <r>
    <n v="50007"/>
    <s v="Nelson,Susann"/>
    <n v="100000"/>
    <n v="92000"/>
    <d v="1954-12-12T00:00:00"/>
    <d v="1989-08-23T00:00:00"/>
    <x v="1"/>
    <x v="5"/>
  </r>
  <r>
    <n v="50008"/>
    <s v="Asche,Tracy A"/>
    <n v="93000"/>
    <n v="85000"/>
    <d v="1958-11-02T00:00:00"/>
    <d v="2017-12-09T00:00:00"/>
    <x v="5"/>
    <x v="6"/>
  </r>
  <r>
    <n v="50009"/>
    <s v="Carlson,Robert Lee"/>
    <n v="92000"/>
    <n v="84000"/>
    <d v="1956-08-27T00:00:00"/>
    <d v="2000-08-29T00:00:00"/>
    <x v="2"/>
    <x v="7"/>
  </r>
  <r>
    <n v="50010"/>
    <s v="Donovan,Richard"/>
    <n v="91000"/>
    <n v="83000"/>
    <d v="1962-09-12T00:00:00"/>
    <d v="1989-02-07T00:00:00"/>
    <x v="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36163-9B52-47D5-A468-CE58AB899236}" name="PivotTable1" cacheId="57" dataOnRows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compact="0" compactData="0" multipleFieldFilters="0">
  <location ref="A3:G10" firstHeaderRow="1" firstDataRow="2" firstDataCol="2"/>
  <pivotFields count="10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4" outline="0" showAll="0"/>
    <pivotField compact="0" numFmtId="14" outline="0" showAll="0"/>
    <pivotField axis="axisRow"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name="Service2" dataField="1" compact="0" numFmtId="1" outline="0" showAll="0">
      <items count="10">
        <item x="6"/>
        <item x="1"/>
        <item x="3"/>
        <item x="2"/>
        <item x="7"/>
        <item x="4"/>
        <item x="0"/>
        <item x="5"/>
        <item x="8"/>
        <item t="default"/>
      </items>
    </pivotField>
    <pivotField dataField="1" compact="0" outline="0" dragToRow="0" dragToCol="0" dragToPage="0" showAll="0" defaultSubtotal="0"/>
    <pivotField name="Service" axis="axisCol" compact="0" outline="0" showAll="0">
      <items count="5">
        <item n="0-5" sd="0" x="1"/>
        <item n="6-10" sd="0" x="0"/>
        <item n="11-20" sd="0" x="3"/>
        <item n="20+" sd="0" x="2"/>
        <item t="default"/>
      </items>
    </pivotField>
  </pivotFields>
  <rowFields count="2">
    <field x="6"/>
    <field x="-2"/>
  </rowFields>
  <rowItems count="6">
    <i>
      <x v="1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2">
    <dataField name="Sum of Total Salary" fld="8" baseField="0" baseItem="0" numFmtId="164"/>
    <dataField name="Count of Service" fld="7" subtotal="count" baseField="6" baseItem="0"/>
  </dataFields>
  <formats count="41">
    <format dxfId="40">
      <pivotArea type="origin" dataOnly="0" labelOnly="1" outline="0" offset="A1" fieldPosition="0"/>
    </format>
    <format dxfId="39">
      <pivotArea type="topRight" dataOnly="0" labelOnly="1" outline="0" fieldPosition="0"/>
    </format>
    <format dxfId="38">
      <pivotArea field="6" type="button" dataOnly="0" labelOnly="1" outline="0" axis="axisRow" fieldPosition="0"/>
    </format>
    <format dxfId="37">
      <pivotArea field="9" type="button" dataOnly="0" labelOnly="1" outline="0" axis="axisCol" fieldPosition="0"/>
    </format>
    <format dxfId="36">
      <pivotArea dataOnly="0" labelOnly="1" outline="0" fieldPosition="0">
        <references count="1">
          <reference field="6" count="3">
            <x v="1"/>
            <x v="3"/>
            <x v="4"/>
          </reference>
        </references>
      </pivotArea>
    </format>
    <format dxfId="35">
      <pivotArea dataOnly="0" labelOnly="1" outline="0" fieldPosition="0">
        <references count="1">
          <reference field="9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offset="A1" fieldPosition="0"/>
    </format>
    <format dxfId="32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6" count="1">
            <x v="1"/>
          </reference>
        </references>
      </pivotArea>
    </format>
    <format dxfId="30">
      <pivotArea dataOnly="0" labelOnly="1" outline="0" offset="IV1" fieldPosition="0">
        <references count="1">
          <reference field="6" count="1">
            <x v="1"/>
          </reference>
        </references>
      </pivotArea>
    </format>
    <format dxfId="29">
      <pivotArea dataOnly="0" labelOnly="1" outline="0" offset="IV256" fieldPosition="0">
        <references count="1">
          <reference field="6" count="1">
            <x v="3"/>
          </reference>
        </references>
      </pivotArea>
    </format>
    <format dxfId="28">
      <pivotArea dataOnly="0" labelOnly="1" outline="0" fieldPosition="0">
        <references count="1">
          <reference field="6" count="1">
            <x v="3"/>
          </reference>
        </references>
      </pivotArea>
    </format>
    <format dxfId="27">
      <pivotArea dataOnly="0" labelOnly="1" outline="0" fieldPosition="0">
        <references count="1">
          <reference field="6" count="1">
            <x v="4"/>
          </reference>
        </references>
      </pivotArea>
    </format>
    <format dxfId="26">
      <pivotArea outline="0" fieldPosition="0">
        <references count="1">
          <reference field="6" count="1" selected="0">
            <x v="4"/>
          </reference>
        </references>
      </pivotArea>
    </format>
    <format dxfId="25">
      <pivotArea outline="0" fieldPosition="0">
        <references count="2">
          <reference field="4294967294" count="2" selected="0">
            <x v="0"/>
            <x v="1"/>
          </reference>
          <reference field="6" count="1" selected="0">
            <x v="3"/>
          </reference>
        </references>
      </pivotArea>
    </format>
    <format dxfId="24">
      <pivotArea outline="0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23">
      <pivotArea field="9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outline="0" fieldPosition="0">
        <references count="1">
          <reference field="9" count="0"/>
        </references>
      </pivotArea>
    </format>
    <format dxfId="20">
      <pivotArea dataOnly="0" labelOnly="1" grandCol="1" outline="0" fieldPosition="0"/>
    </format>
    <format dxfId="19">
      <pivotArea dataOnly="0" labelOnly="1" outline="0" fieldPosition="0">
        <references count="1">
          <reference field="9" count="0"/>
        </references>
      </pivotArea>
    </format>
    <format dxfId="18">
      <pivotArea dataOnly="0" labelOnly="1" grandCol="1" outline="0" fieldPosition="0"/>
    </format>
    <format dxfId="17">
      <pivotArea grandCol="1" outline="0" collapsedLevelsAreSubtotals="1" fieldPosition="0"/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6" count="3">
            <x v="1"/>
            <x v="3"/>
            <x v="4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6" count="3">
            <x v="1"/>
            <x v="3"/>
            <x v="4"/>
          </reference>
        </references>
      </pivotArea>
    </format>
    <format dxfId="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"/>
          </reference>
        </references>
      </pivotArea>
    </format>
    <format dxfId="5">
      <pivotArea dataOnly="0" labelOnly="1" outline="0" fieldPosition="0">
        <references count="1">
          <reference field="9" count="0"/>
        </references>
      </pivotArea>
    </format>
    <format dxfId="4">
      <pivotArea dataOnly="0" labelOnly="1" grandCol="1" outline="0" fieldPosition="0"/>
    </format>
    <format dxfId="3">
      <pivotArea dataOnly="0" labelOnly="1" outline="0" fieldPosition="0">
        <references count="1">
          <reference field="9" count="0"/>
        </references>
      </pivotArea>
    </format>
    <format dxfId="2">
      <pivotArea dataOnly="0" labelOnly="1" grandCol="1" outline="0" fieldPosition="0"/>
    </format>
    <format dxfId="1">
      <pivotArea grandCol="1" outline="0" collapsedLevelsAreSubtotals="1" fieldPosition="0"/>
    </format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CBAD-3553-490D-B0EE-D0D799EB60A9}">
  <sheetPr>
    <pageSetUpPr fitToPage="1"/>
  </sheetPr>
  <dimension ref="A1:I15"/>
  <sheetViews>
    <sheetView showGridLines="0" workbookViewId="0">
      <selection activeCell="H2" sqref="H2"/>
    </sheetView>
  </sheetViews>
  <sheetFormatPr defaultRowHeight="15" x14ac:dyDescent="0.25"/>
  <cols>
    <col min="1" max="1" width="2.140625" customWidth="1"/>
    <col min="2" max="2" width="14.28515625" customWidth="1"/>
    <col min="3" max="3" width="25" customWidth="1"/>
    <col min="4" max="9" width="17.85546875" customWidth="1"/>
    <col min="10" max="10" width="2.140625" customWidth="1"/>
  </cols>
  <sheetData>
    <row r="1" spans="1:9" ht="7.5" customHeight="1" x14ac:dyDescent="0.25">
      <c r="A1" t="s">
        <v>0</v>
      </c>
    </row>
    <row r="2" spans="1:9" ht="15.75" x14ac:dyDescent="0.25">
      <c r="B2" s="1" t="s">
        <v>1</v>
      </c>
      <c r="G2" s="2">
        <v>43466</v>
      </c>
      <c r="H2" s="9"/>
      <c r="I2" s="9"/>
    </row>
    <row r="3" spans="1:9" ht="15.75" thickBot="1" x14ac:dyDescent="0.3"/>
    <row r="4" spans="1:9" ht="18.75" x14ac:dyDescent="0.3">
      <c r="B4" s="75" t="s">
        <v>2</v>
      </c>
      <c r="C4" s="76"/>
      <c r="D4" s="76"/>
      <c r="E4" s="76"/>
      <c r="F4" s="76"/>
      <c r="G4" s="76"/>
      <c r="H4" s="76"/>
      <c r="I4" s="77"/>
    </row>
    <row r="5" spans="1:9" x14ac:dyDescent="0.25">
      <c r="B5" s="4" t="s">
        <v>3</v>
      </c>
      <c r="C5" s="4" t="s">
        <v>4</v>
      </c>
      <c r="D5" s="4" t="s">
        <v>5</v>
      </c>
      <c r="E5" s="4" t="s">
        <v>27</v>
      </c>
      <c r="F5" s="4" t="s">
        <v>6</v>
      </c>
      <c r="G5" s="4" t="s">
        <v>7</v>
      </c>
      <c r="H5" s="4" t="s">
        <v>18</v>
      </c>
      <c r="I5" s="4" t="s">
        <v>19</v>
      </c>
    </row>
    <row r="6" spans="1:9" x14ac:dyDescent="0.25">
      <c r="B6" s="6">
        <v>50001</v>
      </c>
      <c r="C6" s="5" t="s">
        <v>8</v>
      </c>
      <c r="D6" s="8">
        <v>110000</v>
      </c>
      <c r="E6" s="8">
        <v>101000</v>
      </c>
      <c r="F6" s="7">
        <v>26363</v>
      </c>
      <c r="G6" s="7">
        <v>33665</v>
      </c>
      <c r="H6" s="10">
        <f>YEAR($G$2)-YEAR(F6)-IF($G$2&lt;DATE(YEAR($G$2), MONTH(F6),DAY(F6)),1,0)</f>
        <v>46</v>
      </c>
      <c r="I6" s="10">
        <f>ROUND((YEAR($G$2)-YEAR(G6))+(MONTH($G$2)-MONTH(G6))/12+(DAY($G$2)-DAY(G6))/365.25,0)</f>
        <v>27</v>
      </c>
    </row>
    <row r="7" spans="1:9" x14ac:dyDescent="0.25">
      <c r="B7" s="6">
        <v>50002</v>
      </c>
      <c r="C7" s="5" t="s">
        <v>9</v>
      </c>
      <c r="D7" s="8">
        <v>99000</v>
      </c>
      <c r="E7" s="8">
        <v>91000</v>
      </c>
      <c r="F7" s="7">
        <v>19785</v>
      </c>
      <c r="G7" s="7">
        <v>42616</v>
      </c>
      <c r="H7" s="10">
        <f t="shared" ref="H7:H15" si="0">YEAR($G$2)-YEAR(F7)-IF($G$2&lt;DATE(YEAR($G$2), MONTH(F7),DAY(F7)),1,0)</f>
        <v>64</v>
      </c>
      <c r="I7" s="10">
        <f t="shared" ref="I7:I15" si="1">ROUND((YEAR($G$2)-YEAR(G7))+(MONTH($G$2)-MONTH(G7))/12+(DAY($G$2)-DAY(G7))/365.25,0)</f>
        <v>2</v>
      </c>
    </row>
    <row r="8" spans="1:9" x14ac:dyDescent="0.25">
      <c r="B8" s="6">
        <v>50003</v>
      </c>
      <c r="C8" s="5" t="s">
        <v>10</v>
      </c>
      <c r="D8" s="8">
        <v>98000</v>
      </c>
      <c r="E8" s="8">
        <v>90000</v>
      </c>
      <c r="F8" s="7">
        <v>20584</v>
      </c>
      <c r="G8" s="7">
        <v>37989</v>
      </c>
      <c r="H8" s="10">
        <f t="shared" si="0"/>
        <v>62</v>
      </c>
      <c r="I8" s="10">
        <f t="shared" si="1"/>
        <v>15</v>
      </c>
    </row>
    <row r="9" spans="1:9" x14ac:dyDescent="0.25">
      <c r="B9" s="6">
        <v>50004</v>
      </c>
      <c r="C9" s="5" t="s">
        <v>11</v>
      </c>
      <c r="D9" s="8">
        <v>97000</v>
      </c>
      <c r="E9" s="8">
        <v>89000</v>
      </c>
      <c r="F9" s="7">
        <v>20341</v>
      </c>
      <c r="G9" s="7">
        <v>40825</v>
      </c>
      <c r="H9" s="10">
        <f t="shared" si="0"/>
        <v>63</v>
      </c>
      <c r="I9" s="10">
        <f t="shared" si="1"/>
        <v>7</v>
      </c>
    </row>
    <row r="10" spans="1:9" x14ac:dyDescent="0.25">
      <c r="B10" s="6">
        <v>50005</v>
      </c>
      <c r="C10" s="5" t="s">
        <v>12</v>
      </c>
      <c r="D10" s="8">
        <v>96000</v>
      </c>
      <c r="E10" s="8">
        <v>88000</v>
      </c>
      <c r="F10" s="7">
        <v>26458</v>
      </c>
      <c r="G10" s="7">
        <v>40973</v>
      </c>
      <c r="H10" s="10">
        <f t="shared" si="0"/>
        <v>46</v>
      </c>
      <c r="I10" s="10">
        <f t="shared" si="1"/>
        <v>7</v>
      </c>
    </row>
    <row r="11" spans="1:9" x14ac:dyDescent="0.25">
      <c r="B11" s="6">
        <v>50006</v>
      </c>
      <c r="C11" s="5" t="s">
        <v>13</v>
      </c>
      <c r="D11" s="8">
        <v>95000</v>
      </c>
      <c r="E11" s="8">
        <v>87000</v>
      </c>
      <c r="F11" s="7">
        <v>23072</v>
      </c>
      <c r="G11" s="7">
        <v>36163</v>
      </c>
      <c r="H11" s="10">
        <f t="shared" si="0"/>
        <v>55</v>
      </c>
      <c r="I11" s="10">
        <f t="shared" si="1"/>
        <v>20</v>
      </c>
    </row>
    <row r="12" spans="1:9" x14ac:dyDescent="0.25">
      <c r="B12" s="6">
        <v>50007</v>
      </c>
      <c r="C12" s="5" t="s">
        <v>14</v>
      </c>
      <c r="D12" s="8">
        <v>100000</v>
      </c>
      <c r="E12" s="8">
        <v>92000</v>
      </c>
      <c r="F12" s="7">
        <v>20070</v>
      </c>
      <c r="G12" s="7">
        <v>32743</v>
      </c>
      <c r="H12" s="10">
        <f t="shared" si="0"/>
        <v>64</v>
      </c>
      <c r="I12" s="10">
        <f t="shared" si="1"/>
        <v>29</v>
      </c>
    </row>
    <row r="13" spans="1:9" x14ac:dyDescent="0.25">
      <c r="B13" s="6">
        <v>50008</v>
      </c>
      <c r="C13" s="5" t="s">
        <v>15</v>
      </c>
      <c r="D13" s="8">
        <v>93000</v>
      </c>
      <c r="E13" s="8">
        <v>85000</v>
      </c>
      <c r="F13" s="7">
        <v>21491</v>
      </c>
      <c r="G13" s="7">
        <v>43078</v>
      </c>
      <c r="H13" s="10">
        <f t="shared" si="0"/>
        <v>60</v>
      </c>
      <c r="I13" s="10">
        <f t="shared" si="1"/>
        <v>1</v>
      </c>
    </row>
    <row r="14" spans="1:9" x14ac:dyDescent="0.25">
      <c r="B14" s="6">
        <v>50009</v>
      </c>
      <c r="C14" s="5" t="s">
        <v>16</v>
      </c>
      <c r="D14" s="8">
        <v>92000</v>
      </c>
      <c r="E14" s="8">
        <v>84000</v>
      </c>
      <c r="F14" s="7">
        <v>20694</v>
      </c>
      <c r="G14" s="7">
        <v>36767</v>
      </c>
      <c r="H14" s="10">
        <f t="shared" si="0"/>
        <v>62</v>
      </c>
      <c r="I14" s="10">
        <f t="shared" si="1"/>
        <v>18</v>
      </c>
    </row>
    <row r="15" spans="1:9" x14ac:dyDescent="0.25">
      <c r="B15" s="6">
        <v>50010</v>
      </c>
      <c r="C15" s="5" t="s">
        <v>17</v>
      </c>
      <c r="D15" s="8">
        <v>91000</v>
      </c>
      <c r="E15" s="8">
        <v>83000</v>
      </c>
      <c r="F15" s="7">
        <v>22901</v>
      </c>
      <c r="G15" s="7">
        <v>32546</v>
      </c>
      <c r="H15" s="10">
        <f t="shared" si="0"/>
        <v>56</v>
      </c>
      <c r="I15" s="10">
        <f t="shared" si="1"/>
        <v>30</v>
      </c>
    </row>
  </sheetData>
  <mergeCells count="1">
    <mergeCell ref="B4:I4"/>
  </mergeCells>
  <pageMargins left="0.7" right="0.7" top="0.75" bottom="0.75" header="0.3" footer="0.3"/>
  <pageSetup scale="84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05DC-7975-4B41-BC97-1A395158DD31}">
  <dimension ref="B1:C129"/>
  <sheetViews>
    <sheetView showGridLines="0" workbookViewId="0">
      <selection activeCell="C4" sqref="C4"/>
    </sheetView>
  </sheetViews>
  <sheetFormatPr defaultRowHeight="12.75" x14ac:dyDescent="0.2"/>
  <cols>
    <col min="1" max="1" width="5" style="13" customWidth="1"/>
    <col min="2" max="2" width="14.140625" style="13" customWidth="1"/>
    <col min="3" max="3" width="14.7109375" style="13" customWidth="1"/>
    <col min="4" max="16384" width="9.140625" style="13"/>
  </cols>
  <sheetData>
    <row r="1" spans="2:3" ht="13.5" thickBot="1" x14ac:dyDescent="0.25"/>
    <row r="2" spans="2:3" ht="16.5" thickBot="1" x14ac:dyDescent="0.3">
      <c r="B2" s="78" t="s">
        <v>43</v>
      </c>
      <c r="C2" s="79"/>
    </row>
    <row r="3" spans="2:3" x14ac:dyDescent="0.2">
      <c r="B3" s="33" t="s">
        <v>18</v>
      </c>
      <c r="C3" s="33" t="s">
        <v>44</v>
      </c>
    </row>
    <row r="4" spans="2:3" x14ac:dyDescent="0.2">
      <c r="B4" s="104">
        <v>5</v>
      </c>
      <c r="C4" s="105">
        <v>2.3699999999999999E-4</v>
      </c>
    </row>
    <row r="5" spans="2:3" x14ac:dyDescent="0.2">
      <c r="B5" s="34">
        <f>B4+1</f>
        <v>6</v>
      </c>
      <c r="C5" s="105">
        <v>2.2699999999999999E-4</v>
      </c>
    </row>
    <row r="6" spans="2:3" x14ac:dyDescent="0.2">
      <c r="B6" s="34">
        <f t="shared" ref="B6:B69" si="0">B5+1</f>
        <v>7</v>
      </c>
      <c r="C6" s="105">
        <v>2.1699999999999999E-4</v>
      </c>
    </row>
    <row r="7" spans="2:3" x14ac:dyDescent="0.2">
      <c r="B7" s="34">
        <f t="shared" si="0"/>
        <v>8</v>
      </c>
      <c r="C7" s="105">
        <v>2.0100000000000001E-4</v>
      </c>
    </row>
    <row r="8" spans="2:3" x14ac:dyDescent="0.2">
      <c r="B8" s="34">
        <f t="shared" si="0"/>
        <v>9</v>
      </c>
      <c r="C8" s="105">
        <v>1.94E-4</v>
      </c>
    </row>
    <row r="9" spans="2:3" x14ac:dyDescent="0.2">
      <c r="B9" s="34">
        <f t="shared" si="0"/>
        <v>10</v>
      </c>
      <c r="C9" s="105">
        <v>1.9699999999999999E-4</v>
      </c>
    </row>
    <row r="10" spans="2:3" x14ac:dyDescent="0.2">
      <c r="B10" s="34">
        <f t="shared" si="0"/>
        <v>11</v>
      </c>
      <c r="C10" s="105">
        <v>2.0799999999999999E-4</v>
      </c>
    </row>
    <row r="11" spans="2:3" x14ac:dyDescent="0.2">
      <c r="B11" s="34">
        <f t="shared" si="0"/>
        <v>12</v>
      </c>
      <c r="C11" s="105">
        <v>2.2599999999999999E-4</v>
      </c>
    </row>
    <row r="12" spans="2:3" x14ac:dyDescent="0.2">
      <c r="B12" s="34">
        <f t="shared" si="0"/>
        <v>13</v>
      </c>
      <c r="C12" s="105">
        <v>2.5500000000000002E-4</v>
      </c>
    </row>
    <row r="13" spans="2:3" x14ac:dyDescent="0.2">
      <c r="B13" s="34">
        <f t="shared" si="0"/>
        <v>14</v>
      </c>
      <c r="C13" s="105">
        <v>2.9700000000000001E-4</v>
      </c>
    </row>
    <row r="14" spans="2:3" x14ac:dyDescent="0.2">
      <c r="B14" s="34">
        <f t="shared" si="0"/>
        <v>15</v>
      </c>
      <c r="C14" s="105">
        <v>3.4499999999999998E-4</v>
      </c>
    </row>
    <row r="15" spans="2:3" x14ac:dyDescent="0.2">
      <c r="B15" s="34">
        <f t="shared" si="0"/>
        <v>16</v>
      </c>
      <c r="C15" s="105">
        <v>3.9100000000000002E-4</v>
      </c>
    </row>
    <row r="16" spans="2:3" x14ac:dyDescent="0.2">
      <c r="B16" s="34">
        <f t="shared" si="0"/>
        <v>17</v>
      </c>
      <c r="C16" s="105">
        <v>4.2999999999999999E-4</v>
      </c>
    </row>
    <row r="17" spans="2:3" x14ac:dyDescent="0.2">
      <c r="B17" s="34">
        <f t="shared" si="0"/>
        <v>18</v>
      </c>
      <c r="C17" s="105">
        <v>4.6000000000000001E-4</v>
      </c>
    </row>
    <row r="18" spans="2:3" x14ac:dyDescent="0.2">
      <c r="B18" s="34">
        <f t="shared" si="0"/>
        <v>19</v>
      </c>
      <c r="C18" s="105">
        <v>4.84E-4</v>
      </c>
    </row>
    <row r="19" spans="2:3" x14ac:dyDescent="0.2">
      <c r="B19" s="34">
        <f t="shared" si="0"/>
        <v>20</v>
      </c>
      <c r="C19" s="105">
        <v>5.0699999999999996E-4</v>
      </c>
    </row>
    <row r="20" spans="2:3" x14ac:dyDescent="0.2">
      <c r="B20" s="34">
        <f t="shared" si="0"/>
        <v>21</v>
      </c>
      <c r="C20" s="105">
        <v>5.2999999999999998E-4</v>
      </c>
    </row>
    <row r="21" spans="2:3" x14ac:dyDescent="0.2">
      <c r="B21" s="34">
        <f t="shared" si="0"/>
        <v>22</v>
      </c>
      <c r="C21" s="105">
        <v>5.5599999999999996E-4</v>
      </c>
    </row>
    <row r="22" spans="2:3" x14ac:dyDescent="0.2">
      <c r="B22" s="34">
        <f t="shared" si="0"/>
        <v>23</v>
      </c>
      <c r="C22" s="105">
        <v>5.8900000000000001E-4</v>
      </c>
    </row>
    <row r="23" spans="2:3" x14ac:dyDescent="0.2">
      <c r="B23" s="34">
        <f t="shared" si="0"/>
        <v>24</v>
      </c>
      <c r="C23" s="105">
        <v>6.2399999999999999E-4</v>
      </c>
    </row>
    <row r="24" spans="2:3" x14ac:dyDescent="0.2">
      <c r="B24" s="34">
        <f t="shared" si="0"/>
        <v>25</v>
      </c>
      <c r="C24" s="105">
        <v>6.6100000000000002E-4</v>
      </c>
    </row>
    <row r="25" spans="2:3" x14ac:dyDescent="0.2">
      <c r="B25" s="34">
        <f t="shared" si="0"/>
        <v>26</v>
      </c>
      <c r="C25" s="105">
        <v>6.96E-4</v>
      </c>
    </row>
    <row r="26" spans="2:3" x14ac:dyDescent="0.2">
      <c r="B26" s="34">
        <f t="shared" si="0"/>
        <v>27</v>
      </c>
      <c r="C26" s="105">
        <v>7.27E-4</v>
      </c>
    </row>
    <row r="27" spans="2:3" x14ac:dyDescent="0.2">
      <c r="B27" s="34">
        <f t="shared" si="0"/>
        <v>28</v>
      </c>
      <c r="C27" s="105">
        <v>7.54E-4</v>
      </c>
    </row>
    <row r="28" spans="2:3" x14ac:dyDescent="0.2">
      <c r="B28" s="34">
        <f t="shared" si="0"/>
        <v>29</v>
      </c>
      <c r="C28" s="105">
        <v>7.7899999999999996E-4</v>
      </c>
    </row>
    <row r="29" spans="2:3" x14ac:dyDescent="0.2">
      <c r="B29" s="34">
        <f t="shared" si="0"/>
        <v>30</v>
      </c>
      <c r="C29" s="105">
        <v>8.0099999999999995E-4</v>
      </c>
    </row>
    <row r="30" spans="2:3" x14ac:dyDescent="0.2">
      <c r="B30" s="34">
        <f t="shared" si="0"/>
        <v>31</v>
      </c>
      <c r="C30" s="105">
        <v>8.2100000000000001E-4</v>
      </c>
    </row>
    <row r="31" spans="2:3" x14ac:dyDescent="0.2">
      <c r="B31" s="34">
        <f t="shared" si="0"/>
        <v>32</v>
      </c>
      <c r="C31" s="105">
        <v>8.3900000000000001E-4</v>
      </c>
    </row>
    <row r="32" spans="2:3" x14ac:dyDescent="0.2">
      <c r="B32" s="34">
        <f t="shared" si="0"/>
        <v>33</v>
      </c>
      <c r="C32" s="105">
        <v>8.4800000000000001E-4</v>
      </c>
    </row>
    <row r="33" spans="2:3" x14ac:dyDescent="0.2">
      <c r="B33" s="34">
        <f t="shared" si="0"/>
        <v>34</v>
      </c>
      <c r="C33" s="105">
        <v>8.4900000000000004E-4</v>
      </c>
    </row>
    <row r="34" spans="2:3" x14ac:dyDescent="0.2">
      <c r="B34" s="34">
        <f t="shared" si="0"/>
        <v>35</v>
      </c>
      <c r="C34" s="105">
        <v>8.5099999999999998E-4</v>
      </c>
    </row>
    <row r="35" spans="2:3" x14ac:dyDescent="0.2">
      <c r="B35" s="34">
        <f t="shared" si="0"/>
        <v>36</v>
      </c>
      <c r="C35" s="105">
        <v>8.6200000000000003E-4</v>
      </c>
    </row>
    <row r="36" spans="2:3" x14ac:dyDescent="0.2">
      <c r="B36" s="34">
        <f t="shared" si="0"/>
        <v>37</v>
      </c>
      <c r="C36" s="105">
        <v>8.9099999999999997E-4</v>
      </c>
    </row>
    <row r="37" spans="2:3" x14ac:dyDescent="0.2">
      <c r="B37" s="34">
        <f t="shared" si="0"/>
        <v>38</v>
      </c>
      <c r="C37" s="105">
        <v>9.3899999999999995E-4</v>
      </c>
    </row>
    <row r="38" spans="2:3" x14ac:dyDescent="0.2">
      <c r="B38" s="34">
        <f t="shared" si="0"/>
        <v>39</v>
      </c>
      <c r="C38" s="105">
        <v>9.990000000000001E-4</v>
      </c>
    </row>
    <row r="39" spans="2:3" x14ac:dyDescent="0.2">
      <c r="B39" s="34">
        <f t="shared" si="0"/>
        <v>40</v>
      </c>
      <c r="C39" s="105">
        <v>1.072E-3</v>
      </c>
    </row>
    <row r="40" spans="2:3" x14ac:dyDescent="0.2">
      <c r="B40" s="34">
        <f t="shared" si="0"/>
        <v>41</v>
      </c>
      <c r="C40" s="105">
        <v>1.1559999999999999E-3</v>
      </c>
    </row>
    <row r="41" spans="2:3" x14ac:dyDescent="0.2">
      <c r="B41" s="34">
        <f t="shared" si="0"/>
        <v>42</v>
      </c>
      <c r="C41" s="105">
        <v>1.2520000000000001E-3</v>
      </c>
    </row>
    <row r="42" spans="2:3" x14ac:dyDescent="0.2">
      <c r="B42" s="34">
        <f t="shared" si="0"/>
        <v>43</v>
      </c>
      <c r="C42" s="105">
        <v>1.3519999999999999E-3</v>
      </c>
    </row>
    <row r="43" spans="2:3" x14ac:dyDescent="0.2">
      <c r="B43" s="34">
        <f t="shared" si="0"/>
        <v>44</v>
      </c>
      <c r="C43" s="105">
        <v>1.4580000000000001E-3</v>
      </c>
    </row>
    <row r="44" spans="2:3" x14ac:dyDescent="0.2">
      <c r="B44" s="34">
        <f t="shared" si="0"/>
        <v>45</v>
      </c>
      <c r="C44" s="105">
        <v>1.578E-3</v>
      </c>
    </row>
    <row r="45" spans="2:3" x14ac:dyDescent="0.2">
      <c r="B45" s="34">
        <f t="shared" si="0"/>
        <v>46</v>
      </c>
      <c r="C45" s="105">
        <v>1.722E-3</v>
      </c>
    </row>
    <row r="46" spans="2:3" x14ac:dyDescent="0.2">
      <c r="B46" s="34">
        <f t="shared" si="0"/>
        <v>47</v>
      </c>
      <c r="C46" s="105">
        <v>1.8990000000000001E-3</v>
      </c>
    </row>
    <row r="47" spans="2:3" x14ac:dyDescent="0.2">
      <c r="B47" s="34">
        <f t="shared" si="0"/>
        <v>48</v>
      </c>
      <c r="C47" s="105">
        <v>2.1020000000000001E-3</v>
      </c>
    </row>
    <row r="48" spans="2:3" x14ac:dyDescent="0.2">
      <c r="B48" s="34">
        <f t="shared" si="0"/>
        <v>49</v>
      </c>
      <c r="C48" s="105">
        <v>2.3259999999999999E-3</v>
      </c>
    </row>
    <row r="49" spans="2:3" x14ac:dyDescent="0.2">
      <c r="B49" s="34">
        <f t="shared" si="0"/>
        <v>50</v>
      </c>
      <c r="C49" s="105">
        <v>2.5790000000000001E-3</v>
      </c>
    </row>
    <row r="50" spans="2:3" x14ac:dyDescent="0.2">
      <c r="B50" s="34">
        <f t="shared" si="0"/>
        <v>51</v>
      </c>
      <c r="C50" s="105">
        <v>2.872E-3</v>
      </c>
    </row>
    <row r="51" spans="2:3" x14ac:dyDescent="0.2">
      <c r="B51" s="34">
        <f t="shared" si="0"/>
        <v>52</v>
      </c>
      <c r="C51" s="105">
        <v>3.2130000000000001E-3</v>
      </c>
    </row>
    <row r="52" spans="2:3" x14ac:dyDescent="0.2">
      <c r="B52" s="34">
        <f t="shared" si="0"/>
        <v>53</v>
      </c>
      <c r="C52" s="105">
        <v>3.5839999999999999E-3</v>
      </c>
    </row>
    <row r="53" spans="2:3" x14ac:dyDescent="0.2">
      <c r="B53" s="34">
        <f t="shared" si="0"/>
        <v>54</v>
      </c>
      <c r="C53" s="105">
        <v>3.9789999999999999E-3</v>
      </c>
    </row>
    <row r="54" spans="2:3" x14ac:dyDescent="0.2">
      <c r="B54" s="34">
        <f t="shared" si="0"/>
        <v>55</v>
      </c>
      <c r="C54" s="105">
        <v>4.4250000000000001E-3</v>
      </c>
    </row>
    <row r="55" spans="2:3" x14ac:dyDescent="0.2">
      <c r="B55" s="34">
        <f t="shared" si="0"/>
        <v>56</v>
      </c>
      <c r="C55" s="105">
        <v>4.9490000000000003E-3</v>
      </c>
    </row>
    <row r="56" spans="2:3" x14ac:dyDescent="0.2">
      <c r="B56" s="34">
        <f t="shared" si="0"/>
        <v>57</v>
      </c>
      <c r="C56" s="105">
        <v>5.581E-3</v>
      </c>
    </row>
    <row r="57" spans="2:3" x14ac:dyDescent="0.2">
      <c r="B57" s="34">
        <f t="shared" si="0"/>
        <v>58</v>
      </c>
      <c r="C57" s="105">
        <v>6.3E-3</v>
      </c>
    </row>
    <row r="58" spans="2:3" x14ac:dyDescent="0.2">
      <c r="B58" s="34">
        <f t="shared" si="0"/>
        <v>59</v>
      </c>
      <c r="C58" s="105">
        <v>7.0899999999999999E-3</v>
      </c>
    </row>
    <row r="59" spans="2:3" x14ac:dyDescent="0.2">
      <c r="B59" s="34">
        <f t="shared" si="0"/>
        <v>60</v>
      </c>
      <c r="C59" s="105">
        <v>7.9760000000000005E-3</v>
      </c>
    </row>
    <row r="60" spans="2:3" x14ac:dyDescent="0.2">
      <c r="B60" s="34">
        <f t="shared" si="0"/>
        <v>61</v>
      </c>
      <c r="C60" s="105">
        <v>8.9859999999999992E-3</v>
      </c>
    </row>
    <row r="61" spans="2:3" x14ac:dyDescent="0.2">
      <c r="B61" s="34">
        <f t="shared" si="0"/>
        <v>62</v>
      </c>
      <c r="C61" s="105">
        <v>1.0147E-2</v>
      </c>
    </row>
    <row r="62" spans="2:3" x14ac:dyDescent="0.2">
      <c r="B62" s="34">
        <f t="shared" si="0"/>
        <v>63</v>
      </c>
      <c r="C62" s="105">
        <v>1.1471E-2</v>
      </c>
    </row>
    <row r="63" spans="2:3" x14ac:dyDescent="0.2">
      <c r="B63" s="34">
        <f t="shared" si="0"/>
        <v>64</v>
      </c>
      <c r="C63" s="105">
        <v>1.294E-2</v>
      </c>
    </row>
    <row r="64" spans="2:3" x14ac:dyDescent="0.2">
      <c r="B64" s="34">
        <f t="shared" si="0"/>
        <v>65</v>
      </c>
      <c r="C64" s="105">
        <v>1.4534999999999999E-2</v>
      </c>
    </row>
    <row r="65" spans="2:3" x14ac:dyDescent="0.2">
      <c r="B65" s="34">
        <f t="shared" si="0"/>
        <v>66</v>
      </c>
      <c r="C65" s="105">
        <v>1.6239E-2</v>
      </c>
    </row>
    <row r="66" spans="2:3" x14ac:dyDescent="0.2">
      <c r="B66" s="34">
        <f t="shared" si="0"/>
        <v>67</v>
      </c>
      <c r="C66" s="105">
        <v>1.8034000000000001E-2</v>
      </c>
    </row>
    <row r="67" spans="2:3" x14ac:dyDescent="0.2">
      <c r="B67" s="34">
        <f t="shared" si="0"/>
        <v>68</v>
      </c>
      <c r="C67" s="105">
        <v>1.9859000000000002E-2</v>
      </c>
    </row>
    <row r="68" spans="2:3" x14ac:dyDescent="0.2">
      <c r="B68" s="34">
        <f t="shared" si="0"/>
        <v>69</v>
      </c>
      <c r="C68" s="105">
        <v>2.1728999999999998E-2</v>
      </c>
    </row>
    <row r="69" spans="2:3" x14ac:dyDescent="0.2">
      <c r="B69" s="34">
        <f t="shared" si="0"/>
        <v>70</v>
      </c>
      <c r="C69" s="105">
        <v>2.3730000000000001E-2</v>
      </c>
    </row>
    <row r="70" spans="2:3" x14ac:dyDescent="0.2">
      <c r="B70" s="34">
        <f t="shared" ref="B70:B119" si="1">B69+1</f>
        <v>71</v>
      </c>
      <c r="C70" s="105">
        <v>2.5950999999999998E-2</v>
      </c>
    </row>
    <row r="71" spans="2:3" x14ac:dyDescent="0.2">
      <c r="B71" s="34">
        <f t="shared" si="1"/>
        <v>72</v>
      </c>
      <c r="C71" s="105">
        <v>2.8480999999999999E-2</v>
      </c>
    </row>
    <row r="72" spans="2:3" x14ac:dyDescent="0.2">
      <c r="B72" s="34">
        <f t="shared" si="1"/>
        <v>73</v>
      </c>
      <c r="C72" s="105">
        <v>3.1201E-2</v>
      </c>
    </row>
    <row r="73" spans="2:3" x14ac:dyDescent="0.2">
      <c r="B73" s="34">
        <f t="shared" si="1"/>
        <v>74</v>
      </c>
      <c r="C73" s="105">
        <v>3.4050999999999998E-2</v>
      </c>
    </row>
    <row r="74" spans="2:3" x14ac:dyDescent="0.2">
      <c r="B74" s="34">
        <f t="shared" si="1"/>
        <v>75</v>
      </c>
      <c r="C74" s="105">
        <v>3.7211000000000001E-2</v>
      </c>
    </row>
    <row r="75" spans="2:3" x14ac:dyDescent="0.2">
      <c r="B75" s="34">
        <f t="shared" si="1"/>
        <v>76</v>
      </c>
      <c r="C75" s="105">
        <v>4.0857999999999998E-2</v>
      </c>
    </row>
    <row r="76" spans="2:3" x14ac:dyDescent="0.2">
      <c r="B76" s="34">
        <f t="shared" si="1"/>
        <v>77</v>
      </c>
      <c r="C76" s="105">
        <v>4.5171000000000003E-2</v>
      </c>
    </row>
    <row r="77" spans="2:3" x14ac:dyDescent="0.2">
      <c r="B77" s="34">
        <f t="shared" si="1"/>
        <v>78</v>
      </c>
      <c r="C77" s="105">
        <v>5.0210999999999999E-2</v>
      </c>
    </row>
    <row r="78" spans="2:3" x14ac:dyDescent="0.2">
      <c r="B78" s="34">
        <f t="shared" si="1"/>
        <v>79</v>
      </c>
      <c r="C78" s="105">
        <v>5.5861000000000001E-2</v>
      </c>
    </row>
    <row r="79" spans="2:3" x14ac:dyDescent="0.2">
      <c r="B79" s="34">
        <f t="shared" si="1"/>
        <v>80</v>
      </c>
      <c r="C79" s="105">
        <v>6.2026999999999999E-2</v>
      </c>
    </row>
    <row r="80" spans="2:3" x14ac:dyDescent="0.2">
      <c r="B80" s="34">
        <f t="shared" si="1"/>
        <v>81</v>
      </c>
      <c r="C80" s="105">
        <v>6.8614999999999995E-2</v>
      </c>
    </row>
    <row r="81" spans="2:3" x14ac:dyDescent="0.2">
      <c r="B81" s="34">
        <f t="shared" si="1"/>
        <v>82</v>
      </c>
      <c r="C81" s="105">
        <v>7.5532000000000002E-2</v>
      </c>
    </row>
    <row r="82" spans="2:3" x14ac:dyDescent="0.2">
      <c r="B82" s="34">
        <f t="shared" si="1"/>
        <v>83</v>
      </c>
      <c r="C82" s="105">
        <v>8.251E-2</v>
      </c>
    </row>
    <row r="83" spans="2:3" x14ac:dyDescent="0.2">
      <c r="B83" s="34">
        <f t="shared" si="1"/>
        <v>84</v>
      </c>
      <c r="C83" s="105">
        <v>8.9612999999999998E-2</v>
      </c>
    </row>
    <row r="84" spans="2:3" x14ac:dyDescent="0.2">
      <c r="B84" s="34">
        <f t="shared" si="1"/>
        <v>85</v>
      </c>
      <c r="C84" s="105">
        <v>9.7239999999999993E-2</v>
      </c>
    </row>
    <row r="85" spans="2:3" x14ac:dyDescent="0.2">
      <c r="B85" s="34">
        <f t="shared" si="1"/>
        <v>86</v>
      </c>
      <c r="C85" s="105">
        <v>0.105792</v>
      </c>
    </row>
    <row r="86" spans="2:3" x14ac:dyDescent="0.2">
      <c r="B86" s="34">
        <f t="shared" si="1"/>
        <v>87</v>
      </c>
      <c r="C86" s="105">
        <v>0.115671</v>
      </c>
    </row>
    <row r="87" spans="2:3" x14ac:dyDescent="0.2">
      <c r="B87" s="34">
        <f t="shared" si="1"/>
        <v>88</v>
      </c>
      <c r="C87" s="105">
        <v>0.12698000000000001</v>
      </c>
    </row>
    <row r="88" spans="2:3" x14ac:dyDescent="0.2">
      <c r="B88" s="34">
        <f t="shared" si="1"/>
        <v>89</v>
      </c>
      <c r="C88" s="105">
        <v>0.13945199999999999</v>
      </c>
    </row>
    <row r="89" spans="2:3" x14ac:dyDescent="0.2">
      <c r="B89" s="34">
        <f t="shared" si="1"/>
        <v>90</v>
      </c>
      <c r="C89" s="105">
        <v>0.15293100000000001</v>
      </c>
    </row>
    <row r="90" spans="2:3" x14ac:dyDescent="0.2">
      <c r="B90" s="34">
        <f t="shared" si="1"/>
        <v>91</v>
      </c>
      <c r="C90" s="105">
        <v>0.16725999999999999</v>
      </c>
    </row>
    <row r="91" spans="2:3" x14ac:dyDescent="0.2">
      <c r="B91" s="34">
        <f t="shared" si="1"/>
        <v>92</v>
      </c>
      <c r="C91" s="105">
        <v>0.182281</v>
      </c>
    </row>
    <row r="92" spans="2:3" x14ac:dyDescent="0.2">
      <c r="B92" s="34">
        <f t="shared" si="1"/>
        <v>93</v>
      </c>
      <c r="C92" s="105">
        <v>0.19839200000000001</v>
      </c>
    </row>
    <row r="93" spans="2:3" x14ac:dyDescent="0.2">
      <c r="B93" s="34">
        <f t="shared" si="1"/>
        <v>94</v>
      </c>
      <c r="C93" s="105">
        <v>0.2157</v>
      </c>
    </row>
    <row r="94" spans="2:3" x14ac:dyDescent="0.2">
      <c r="B94" s="34">
        <f t="shared" si="1"/>
        <v>95</v>
      </c>
      <c r="C94" s="105">
        <v>0.23360600000000001</v>
      </c>
    </row>
    <row r="95" spans="2:3" x14ac:dyDescent="0.2">
      <c r="B95" s="34">
        <f t="shared" si="1"/>
        <v>96</v>
      </c>
      <c r="C95" s="105">
        <v>0.25151000000000001</v>
      </c>
    </row>
    <row r="96" spans="2:3" x14ac:dyDescent="0.2">
      <c r="B96" s="34">
        <f t="shared" si="1"/>
        <v>97</v>
      </c>
      <c r="C96" s="105">
        <v>0.26881500000000003</v>
      </c>
    </row>
    <row r="97" spans="2:3" x14ac:dyDescent="0.2">
      <c r="B97" s="34">
        <f t="shared" si="1"/>
        <v>98</v>
      </c>
      <c r="C97" s="105">
        <v>0.285277</v>
      </c>
    </row>
    <row r="98" spans="2:3" x14ac:dyDescent="0.2">
      <c r="B98" s="34">
        <f t="shared" si="1"/>
        <v>99</v>
      </c>
      <c r="C98" s="105">
        <v>0.30129800000000001</v>
      </c>
    </row>
    <row r="99" spans="2:3" x14ac:dyDescent="0.2">
      <c r="B99" s="34">
        <f t="shared" si="1"/>
        <v>100</v>
      </c>
      <c r="C99" s="105">
        <v>0.31723800000000002</v>
      </c>
    </row>
    <row r="100" spans="2:3" x14ac:dyDescent="0.2">
      <c r="B100" s="34">
        <f t="shared" si="1"/>
        <v>101</v>
      </c>
      <c r="C100" s="105">
        <v>0.33346100000000001</v>
      </c>
    </row>
    <row r="101" spans="2:3" x14ac:dyDescent="0.2">
      <c r="B101" s="34">
        <f t="shared" si="1"/>
        <v>102</v>
      </c>
      <c r="C101" s="105">
        <v>0.35032999999999997</v>
      </c>
    </row>
    <row r="102" spans="2:3" x14ac:dyDescent="0.2">
      <c r="B102" s="34">
        <f t="shared" si="1"/>
        <v>103</v>
      </c>
      <c r="C102" s="105">
        <v>0.36854199999999998</v>
      </c>
    </row>
    <row r="103" spans="2:3" x14ac:dyDescent="0.2">
      <c r="B103" s="34">
        <f t="shared" si="1"/>
        <v>104</v>
      </c>
      <c r="C103" s="105">
        <v>0.38785500000000001</v>
      </c>
    </row>
    <row r="104" spans="2:3" x14ac:dyDescent="0.2">
      <c r="B104" s="34">
        <f t="shared" si="1"/>
        <v>105</v>
      </c>
      <c r="C104" s="105">
        <v>0.40722399999999997</v>
      </c>
    </row>
    <row r="105" spans="2:3" x14ac:dyDescent="0.2">
      <c r="B105" s="34">
        <f t="shared" si="1"/>
        <v>106</v>
      </c>
      <c r="C105" s="105">
        <v>0.42559900000000001</v>
      </c>
    </row>
    <row r="106" spans="2:3" x14ac:dyDescent="0.2">
      <c r="B106" s="34">
        <f t="shared" si="1"/>
        <v>107</v>
      </c>
      <c r="C106" s="105">
        <v>0.44193500000000002</v>
      </c>
    </row>
    <row r="107" spans="2:3" x14ac:dyDescent="0.2">
      <c r="B107" s="34">
        <f t="shared" si="1"/>
        <v>108</v>
      </c>
      <c r="C107" s="105">
        <v>0.45755299999999999</v>
      </c>
    </row>
    <row r="108" spans="2:3" x14ac:dyDescent="0.2">
      <c r="B108" s="34">
        <f t="shared" si="1"/>
        <v>109</v>
      </c>
      <c r="C108" s="105">
        <v>0.47315000000000002</v>
      </c>
    </row>
    <row r="109" spans="2:3" x14ac:dyDescent="0.2">
      <c r="B109" s="34">
        <f t="shared" si="1"/>
        <v>110</v>
      </c>
      <c r="C109" s="105">
        <v>0.48674499999999998</v>
      </c>
    </row>
    <row r="110" spans="2:3" x14ac:dyDescent="0.2">
      <c r="B110" s="34">
        <f t="shared" si="1"/>
        <v>111</v>
      </c>
      <c r="C110" s="105">
        <v>0.49635600000000002</v>
      </c>
    </row>
    <row r="111" spans="2:3" x14ac:dyDescent="0.2">
      <c r="B111" s="34">
        <f t="shared" si="1"/>
        <v>112</v>
      </c>
      <c r="C111" s="105">
        <v>0.5</v>
      </c>
    </row>
    <row r="112" spans="2:3" x14ac:dyDescent="0.2">
      <c r="B112" s="34">
        <f t="shared" si="1"/>
        <v>113</v>
      </c>
      <c r="C112" s="105">
        <v>0.5</v>
      </c>
    </row>
    <row r="113" spans="2:3" x14ac:dyDescent="0.2">
      <c r="B113" s="34">
        <f t="shared" si="1"/>
        <v>114</v>
      </c>
      <c r="C113" s="105">
        <v>0.5</v>
      </c>
    </row>
    <row r="114" spans="2:3" x14ac:dyDescent="0.2">
      <c r="B114" s="34">
        <f t="shared" si="1"/>
        <v>115</v>
      </c>
      <c r="C114" s="105">
        <v>0.5</v>
      </c>
    </row>
    <row r="115" spans="2:3" x14ac:dyDescent="0.2">
      <c r="B115" s="34">
        <f t="shared" si="1"/>
        <v>116</v>
      </c>
      <c r="C115" s="105">
        <v>0.5</v>
      </c>
    </row>
    <row r="116" spans="2:3" x14ac:dyDescent="0.2">
      <c r="B116" s="34">
        <f t="shared" si="1"/>
        <v>117</v>
      </c>
      <c r="C116" s="105">
        <v>0.5</v>
      </c>
    </row>
    <row r="117" spans="2:3" x14ac:dyDescent="0.2">
      <c r="B117" s="34">
        <f t="shared" si="1"/>
        <v>118</v>
      </c>
      <c r="C117" s="105">
        <v>0.5</v>
      </c>
    </row>
    <row r="118" spans="2:3" x14ac:dyDescent="0.2">
      <c r="B118" s="34">
        <f t="shared" si="1"/>
        <v>119</v>
      </c>
      <c r="C118" s="105">
        <v>0.5</v>
      </c>
    </row>
    <row r="119" spans="2:3" x14ac:dyDescent="0.2">
      <c r="B119" s="34">
        <f t="shared" si="1"/>
        <v>120</v>
      </c>
      <c r="C119" s="105">
        <v>1</v>
      </c>
    </row>
    <row r="120" spans="2:3" x14ac:dyDescent="0.2">
      <c r="B120" s="35"/>
    </row>
    <row r="121" spans="2:3" x14ac:dyDescent="0.2">
      <c r="B121" s="35"/>
    </row>
    <row r="122" spans="2:3" x14ac:dyDescent="0.2">
      <c r="B122" s="35"/>
    </row>
    <row r="123" spans="2:3" x14ac:dyDescent="0.2">
      <c r="B123" s="35"/>
    </row>
    <row r="124" spans="2:3" x14ac:dyDescent="0.2">
      <c r="B124" s="35"/>
    </row>
    <row r="125" spans="2:3" x14ac:dyDescent="0.2">
      <c r="B125" s="35"/>
    </row>
    <row r="126" spans="2:3" x14ac:dyDescent="0.2">
      <c r="B126" s="35"/>
    </row>
    <row r="127" spans="2:3" x14ac:dyDescent="0.2">
      <c r="B127" s="35"/>
    </row>
    <row r="128" spans="2:3" x14ac:dyDescent="0.2">
      <c r="B128" s="35"/>
    </row>
    <row r="129" spans="2:2" x14ac:dyDescent="0.2">
      <c r="B129" s="35"/>
    </row>
  </sheetData>
  <mergeCells count="1">
    <mergeCell ref="B2:C2"/>
  </mergeCells>
  <printOptions horizontalCentered="1"/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88A6-8F9A-4CEB-ABE1-7CBB5204062F}">
  <sheetPr>
    <pageSetUpPr fitToPage="1"/>
  </sheetPr>
  <dimension ref="A1:H10"/>
  <sheetViews>
    <sheetView showGridLines="0" zoomScaleNormal="100" workbookViewId="0">
      <selection sqref="A1:G1"/>
    </sheetView>
  </sheetViews>
  <sheetFormatPr defaultRowHeight="15" x14ac:dyDescent="0.25"/>
  <cols>
    <col min="1" max="1" width="15.5703125" customWidth="1"/>
    <col min="2" max="2" width="18" hidden="1" customWidth="1"/>
    <col min="3" max="6" width="9.7109375" bestFit="1" customWidth="1"/>
    <col min="7" max="8" width="11.28515625" bestFit="1" customWidth="1"/>
    <col min="9" max="9" width="12.42578125" bestFit="1" customWidth="1"/>
    <col min="10" max="10" width="9" bestFit="1" customWidth="1"/>
    <col min="11" max="12" width="11.28515625" bestFit="1" customWidth="1"/>
    <col min="13" max="13" width="9" bestFit="1" customWidth="1"/>
    <col min="14" max="14" width="11.28515625" bestFit="1" customWidth="1"/>
    <col min="15" max="15" width="9.42578125" bestFit="1" customWidth="1"/>
    <col min="16" max="16" width="12.42578125" bestFit="1" customWidth="1"/>
    <col min="17" max="18" width="11.28515625" bestFit="1" customWidth="1"/>
    <col min="19" max="19" width="9" bestFit="1" customWidth="1"/>
    <col min="20" max="20" width="11.28515625" bestFit="1" customWidth="1"/>
    <col min="21" max="21" width="23" bestFit="1" customWidth="1"/>
  </cols>
  <sheetData>
    <row r="1" spans="1:8" ht="16.5" thickBot="1" x14ac:dyDescent="0.3">
      <c r="A1" s="101" t="s">
        <v>42</v>
      </c>
      <c r="B1" s="102"/>
      <c r="C1" s="102"/>
      <c r="D1" s="102"/>
      <c r="E1" s="102"/>
      <c r="F1" s="102"/>
      <c r="G1" s="103"/>
    </row>
    <row r="2" spans="1:8" ht="15.75" thickBot="1" x14ac:dyDescent="0.3"/>
    <row r="3" spans="1:8" ht="15.75" thickBot="1" x14ac:dyDescent="0.3">
      <c r="A3" s="16"/>
      <c r="C3" s="18" t="s">
        <v>19</v>
      </c>
      <c r="D3" s="19"/>
      <c r="E3" s="19"/>
      <c r="F3" s="19"/>
      <c r="G3" s="20"/>
    </row>
    <row r="4" spans="1:8" ht="15.75" thickBot="1" x14ac:dyDescent="0.3">
      <c r="A4" s="17" t="s">
        <v>18</v>
      </c>
      <c r="B4" s="14" t="s">
        <v>34</v>
      </c>
      <c r="C4" s="28" t="s">
        <v>35</v>
      </c>
      <c r="D4" s="29" t="s">
        <v>36</v>
      </c>
      <c r="E4" s="29" t="s">
        <v>37</v>
      </c>
      <c r="F4" s="29" t="s">
        <v>38</v>
      </c>
      <c r="G4" s="30" t="s">
        <v>31</v>
      </c>
    </row>
    <row r="5" spans="1:8" x14ac:dyDescent="0.25">
      <c r="A5" s="21" t="s">
        <v>39</v>
      </c>
      <c r="B5" s="22" t="s">
        <v>33</v>
      </c>
      <c r="C5" s="23">
        <v>0</v>
      </c>
      <c r="D5" s="24">
        <v>184000</v>
      </c>
      <c r="E5" s="24">
        <v>0</v>
      </c>
      <c r="F5" s="24">
        <v>211000</v>
      </c>
      <c r="G5" s="31">
        <v>395000</v>
      </c>
    </row>
    <row r="6" spans="1:8" ht="15.75" thickBot="1" x14ac:dyDescent="0.3">
      <c r="A6" s="25"/>
      <c r="B6" s="22" t="s">
        <v>32</v>
      </c>
      <c r="C6" s="26"/>
      <c r="D6" s="27">
        <v>1</v>
      </c>
      <c r="E6" s="27"/>
      <c r="F6" s="27">
        <v>1</v>
      </c>
      <c r="G6" s="32">
        <v>2</v>
      </c>
    </row>
    <row r="7" spans="1:8" x14ac:dyDescent="0.25">
      <c r="A7" s="21" t="s">
        <v>40</v>
      </c>
      <c r="B7" s="22" t="s">
        <v>33</v>
      </c>
      <c r="C7" s="23">
        <v>0</v>
      </c>
      <c r="D7" s="24">
        <v>0</v>
      </c>
      <c r="E7" s="24">
        <v>182000</v>
      </c>
      <c r="F7" s="24">
        <v>174000</v>
      </c>
      <c r="G7" s="31">
        <v>356000</v>
      </c>
    </row>
    <row r="8" spans="1:8" ht="15.75" thickBot="1" x14ac:dyDescent="0.3">
      <c r="A8" s="25"/>
      <c r="B8" s="22" t="s">
        <v>32</v>
      </c>
      <c r="C8" s="26"/>
      <c r="D8" s="27"/>
      <c r="E8" s="27">
        <v>1</v>
      </c>
      <c r="F8" s="27">
        <v>1</v>
      </c>
      <c r="G8" s="32">
        <v>2</v>
      </c>
    </row>
    <row r="9" spans="1:8" x14ac:dyDescent="0.25">
      <c r="A9" s="21" t="s">
        <v>41</v>
      </c>
      <c r="B9" s="22" t="s">
        <v>33</v>
      </c>
      <c r="C9" s="23">
        <v>368000</v>
      </c>
      <c r="D9" s="24">
        <v>186000</v>
      </c>
      <c r="E9" s="24">
        <v>364000</v>
      </c>
      <c r="F9" s="24">
        <v>192000</v>
      </c>
      <c r="G9" s="31">
        <v>1110000</v>
      </c>
      <c r="H9" t="s">
        <v>0</v>
      </c>
    </row>
    <row r="10" spans="1:8" ht="15.75" thickBot="1" x14ac:dyDescent="0.3">
      <c r="A10" s="25"/>
      <c r="B10" s="22" t="s">
        <v>32</v>
      </c>
      <c r="C10" s="26">
        <v>2</v>
      </c>
      <c r="D10" s="27">
        <v>1</v>
      </c>
      <c r="E10" s="27">
        <v>2</v>
      </c>
      <c r="F10" s="27">
        <v>1</v>
      </c>
      <c r="G10" s="32">
        <v>6</v>
      </c>
    </row>
  </sheetData>
  <mergeCells count="1">
    <mergeCell ref="A1:G1"/>
  </mergeCells>
  <printOptions horizontalCentered="1"/>
  <pageMargins left="0.7" right="0.7" top="0.75" bottom="0.75" header="0.3" footer="0.3"/>
  <pageSetup orientation="portrait" horizontalDpi="300" verticalDpi="300" r:id="rId2"/>
  <headerFooter>
    <oddFooter>&amp;L&amp;F
&amp;A&amp;C&amp;P of &amp;N&amp;R&amp;D
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D0C4-8875-4C25-99CA-B4691C52FBDF}">
  <sheetPr>
    <pageSetUpPr fitToPage="1"/>
  </sheetPr>
  <dimension ref="A1:H129"/>
  <sheetViews>
    <sheetView showGridLines="0" workbookViewId="0">
      <pane ySplit="12" topLeftCell="A53" activePane="bottomLeft" state="frozen"/>
      <selection pane="bottomLeft" activeCell="E13" sqref="E13"/>
    </sheetView>
  </sheetViews>
  <sheetFormatPr defaultRowHeight="15" x14ac:dyDescent="0.25"/>
  <cols>
    <col min="1" max="1" width="2.85546875" customWidth="1"/>
    <col min="3" max="3" width="9.5703125" bestFit="1" customWidth="1"/>
    <col min="6" max="6" width="9.140625" customWidth="1"/>
    <col min="7" max="7" width="4.5703125" customWidth="1"/>
    <col min="8" max="8" width="14.28515625" customWidth="1"/>
  </cols>
  <sheetData>
    <row r="1" spans="1:8" ht="15.75" thickBot="1" x14ac:dyDescent="0.3">
      <c r="A1" t="s">
        <v>0</v>
      </c>
    </row>
    <row r="2" spans="1:8" ht="18" customHeight="1" thickBot="1" x14ac:dyDescent="0.35">
      <c r="B2" s="93" t="s">
        <v>45</v>
      </c>
      <c r="C2" s="94"/>
      <c r="D2" s="94"/>
      <c r="E2" s="94"/>
      <c r="F2" s="94"/>
      <c r="G2" s="94"/>
      <c r="H2" s="95"/>
    </row>
    <row r="3" spans="1:8" x14ac:dyDescent="0.25">
      <c r="B3" s="96" t="s">
        <v>46</v>
      </c>
      <c r="C3" s="96"/>
      <c r="H3" s="15">
        <f>Statement!E12</f>
        <v>46</v>
      </c>
    </row>
    <row r="4" spans="1:8" x14ac:dyDescent="0.25">
      <c r="B4" s="92" t="s">
        <v>47</v>
      </c>
      <c r="C4" s="92"/>
      <c r="H4" s="38">
        <f>Statement!E16</f>
        <v>4540.8</v>
      </c>
    </row>
    <row r="5" spans="1:8" x14ac:dyDescent="0.25">
      <c r="B5" s="92" t="s">
        <v>48</v>
      </c>
      <c r="C5" s="92"/>
      <c r="H5" s="39">
        <f>VLOOKUP(H7,Rate!B4:C24,2,FALSE)</f>
        <v>0.04</v>
      </c>
    </row>
    <row r="6" spans="1:8" x14ac:dyDescent="0.25">
      <c r="B6" s="40"/>
      <c r="C6" s="40"/>
    </row>
    <row r="7" spans="1:8" ht="15" customHeight="1" x14ac:dyDescent="0.25">
      <c r="B7" s="92" t="s">
        <v>55</v>
      </c>
      <c r="C7" s="92"/>
      <c r="H7" s="36">
        <f>Rate!B28</f>
        <v>2019</v>
      </c>
    </row>
    <row r="8" spans="1:8" x14ac:dyDescent="0.25">
      <c r="B8" s="92" t="s">
        <v>49</v>
      </c>
      <c r="C8" s="92"/>
      <c r="H8" s="70">
        <f>SUM(H13:H121)</f>
        <v>18.683688719905774</v>
      </c>
    </row>
    <row r="9" spans="1:8" x14ac:dyDescent="0.25">
      <c r="B9" s="92" t="s">
        <v>50</v>
      </c>
      <c r="C9" s="92"/>
      <c r="H9" s="71">
        <f>H8*H4</f>
        <v>84838.893739348146</v>
      </c>
    </row>
    <row r="10" spans="1:8" ht="15" customHeight="1" thickBot="1" x14ac:dyDescent="0.3"/>
    <row r="11" spans="1:8" ht="18" customHeight="1" thickBot="1" x14ac:dyDescent="0.35">
      <c r="B11" s="89" t="s">
        <v>51</v>
      </c>
      <c r="C11" s="90"/>
      <c r="D11" s="90"/>
      <c r="E11" s="90"/>
      <c r="F11" s="90"/>
      <c r="G11" s="90"/>
      <c r="H11" s="91"/>
    </row>
    <row r="12" spans="1:8" x14ac:dyDescent="0.25">
      <c r="B12" s="22" t="s">
        <v>18</v>
      </c>
      <c r="C12" s="22" t="s">
        <v>75</v>
      </c>
      <c r="D12" s="22" t="s">
        <v>52</v>
      </c>
      <c r="E12" s="22" t="s">
        <v>53</v>
      </c>
      <c r="F12" s="36"/>
      <c r="H12" s="69" t="s">
        <v>54</v>
      </c>
    </row>
    <row r="13" spans="1:8" x14ac:dyDescent="0.25">
      <c r="B13" s="3">
        <f>IF(H3="",65,H3)</f>
        <v>46</v>
      </c>
      <c r="C13" s="37">
        <f t="shared" ref="C13:C44" si="0">IF(B13="","",VLOOKUP(B13,QxTable,2))</f>
        <v>1.722E-3</v>
      </c>
      <c r="D13" s="37">
        <f>IF(B13="","",1-C13)</f>
        <v>0.998278</v>
      </c>
      <c r="E13" s="37">
        <v>1</v>
      </c>
      <c r="G13" s="3"/>
      <c r="H13" s="68">
        <f t="shared" ref="H13:H44" si="1">IF(B13="","",E13/(1+$H$5)^(B13-$B$13))</f>
        <v>1</v>
      </c>
    </row>
    <row r="14" spans="1:8" x14ac:dyDescent="0.25">
      <c r="B14" s="3">
        <f>IF(B13&gt;=120,"",B13+1)</f>
        <v>47</v>
      </c>
      <c r="C14" s="37">
        <f t="shared" si="0"/>
        <v>1.8990000000000001E-3</v>
      </c>
      <c r="D14" s="37">
        <f t="shared" ref="D14:D77" si="2">IF(B14="","",1-C14)</f>
        <v>0.99810100000000002</v>
      </c>
      <c r="E14" s="37">
        <f>IF(B14="","",E13*D13)</f>
        <v>0.998278</v>
      </c>
      <c r="G14" s="3"/>
      <c r="H14" s="68">
        <f t="shared" si="1"/>
        <v>0.9598826923076923</v>
      </c>
    </row>
    <row r="15" spans="1:8" x14ac:dyDescent="0.25">
      <c r="B15" s="3">
        <f t="shared" ref="B15:B78" si="3">IF(B14&gt;=120,"",B14+1)</f>
        <v>48</v>
      </c>
      <c r="C15" s="37">
        <f t="shared" si="0"/>
        <v>2.1020000000000001E-3</v>
      </c>
      <c r="D15" s="37">
        <f t="shared" si="2"/>
        <v>0.99789799999999995</v>
      </c>
      <c r="E15" s="37">
        <f t="shared" ref="E15:E78" si="4">IF(B15="","",E14*D14)</f>
        <v>0.99638227007800007</v>
      </c>
      <c r="G15" s="3"/>
      <c r="H15" s="68">
        <f t="shared" si="1"/>
        <v>0.92121141834134612</v>
      </c>
    </row>
    <row r="16" spans="1:8" x14ac:dyDescent="0.25">
      <c r="B16" s="3">
        <f t="shared" si="3"/>
        <v>49</v>
      </c>
      <c r="C16" s="37">
        <f t="shared" si="0"/>
        <v>2.3259999999999999E-3</v>
      </c>
      <c r="D16" s="37">
        <f t="shared" si="2"/>
        <v>0.99767399999999995</v>
      </c>
      <c r="E16" s="37">
        <f t="shared" si="4"/>
        <v>0.99428787454629608</v>
      </c>
      <c r="G16" s="3"/>
      <c r="H16" s="68">
        <f t="shared" si="1"/>
        <v>0.88391829994230053</v>
      </c>
    </row>
    <row r="17" spans="2:8" x14ac:dyDescent="0.25">
      <c r="B17" s="3">
        <f t="shared" si="3"/>
        <v>50</v>
      </c>
      <c r="C17" s="37">
        <f t="shared" si="0"/>
        <v>2.5790000000000001E-3</v>
      </c>
      <c r="D17" s="37">
        <f t="shared" si="2"/>
        <v>0.997421</v>
      </c>
      <c r="E17" s="37">
        <f t="shared" si="4"/>
        <v>0.9919751609501013</v>
      </c>
      <c r="G17" s="3"/>
      <c r="H17" s="68">
        <f t="shared" si="1"/>
        <v>0.84794452497753325</v>
      </c>
    </row>
    <row r="18" spans="2:8" x14ac:dyDescent="0.25">
      <c r="B18" s="3">
        <f t="shared" si="3"/>
        <v>51</v>
      </c>
      <c r="C18" s="37">
        <f t="shared" si="0"/>
        <v>2.872E-3</v>
      </c>
      <c r="D18" s="37">
        <f t="shared" si="2"/>
        <v>0.99712800000000001</v>
      </c>
      <c r="E18" s="37">
        <f t="shared" si="4"/>
        <v>0.98941685701001103</v>
      </c>
      <c r="G18" s="3"/>
      <c r="H18" s="68">
        <f t="shared" si="1"/>
        <v>0.8132285346611694</v>
      </c>
    </row>
    <row r="19" spans="2:8" x14ac:dyDescent="0.25">
      <c r="B19" s="3">
        <f t="shared" si="3"/>
        <v>52</v>
      </c>
      <c r="C19" s="37">
        <f t="shared" si="0"/>
        <v>3.2130000000000001E-3</v>
      </c>
      <c r="D19" s="37">
        <f t="shared" si="2"/>
        <v>0.99678699999999998</v>
      </c>
      <c r="E19" s="37">
        <f t="shared" si="4"/>
        <v>0.98657525179667827</v>
      </c>
      <c r="G19" s="3"/>
      <c r="H19" s="68">
        <f t="shared" si="1"/>
        <v>0.77970475222079083</v>
      </c>
    </row>
    <row r="20" spans="2:8" x14ac:dyDescent="0.25">
      <c r="B20" s="3">
        <f t="shared" si="3"/>
        <v>53</v>
      </c>
      <c r="C20" s="37">
        <f t="shared" si="0"/>
        <v>3.5839999999999999E-3</v>
      </c>
      <c r="D20" s="37">
        <f t="shared" si="2"/>
        <v>0.99641599999999997</v>
      </c>
      <c r="E20" s="37">
        <f t="shared" si="4"/>
        <v>0.98340538551265555</v>
      </c>
      <c r="G20" s="3"/>
      <c r="H20" s="68">
        <f t="shared" si="1"/>
        <v>0.74730727004990916</v>
      </c>
    </row>
    <row r="21" spans="2:8" x14ac:dyDescent="0.25">
      <c r="B21" s="3">
        <f t="shared" si="3"/>
        <v>54</v>
      </c>
      <c r="C21" s="37">
        <f t="shared" si="0"/>
        <v>3.9789999999999999E-3</v>
      </c>
      <c r="D21" s="37">
        <f t="shared" si="2"/>
        <v>0.99602100000000005</v>
      </c>
      <c r="E21" s="37">
        <f t="shared" si="4"/>
        <v>0.97988086061097812</v>
      </c>
      <c r="G21" s="3"/>
      <c r="H21" s="68">
        <f t="shared" si="1"/>
        <v>0.71598934691735594</v>
      </c>
    </row>
    <row r="22" spans="2:8" x14ac:dyDescent="0.25">
      <c r="B22" s="3">
        <f t="shared" si="3"/>
        <v>55</v>
      </c>
      <c r="C22" s="37">
        <f t="shared" si="0"/>
        <v>4.4250000000000001E-3</v>
      </c>
      <c r="D22" s="37">
        <f t="shared" si="2"/>
        <v>0.99557499999999999</v>
      </c>
      <c r="E22" s="37">
        <f t="shared" si="4"/>
        <v>0.97598191466660711</v>
      </c>
      <c r="G22" s="3"/>
      <c r="H22" s="68">
        <f t="shared" si="1"/>
        <v>0.68571194740958819</v>
      </c>
    </row>
    <row r="23" spans="2:8" x14ac:dyDescent="0.25">
      <c r="B23" s="3">
        <f t="shared" si="3"/>
        <v>56</v>
      </c>
      <c r="C23" s="37">
        <f t="shared" si="0"/>
        <v>4.9490000000000003E-3</v>
      </c>
      <c r="D23" s="37">
        <f t="shared" si="2"/>
        <v>0.99505100000000002</v>
      </c>
      <c r="E23" s="37">
        <f t="shared" si="4"/>
        <v>0.97166319469420737</v>
      </c>
      <c r="G23" s="3"/>
      <c r="H23" s="68">
        <f t="shared" si="1"/>
        <v>0.65642083850221222</v>
      </c>
    </row>
    <row r="24" spans="2:8" x14ac:dyDescent="0.25">
      <c r="B24" s="3">
        <f t="shared" si="3"/>
        <v>57</v>
      </c>
      <c r="C24" s="37">
        <f t="shared" si="0"/>
        <v>5.581E-3</v>
      </c>
      <c r="D24" s="37">
        <f t="shared" si="2"/>
        <v>0.99441900000000005</v>
      </c>
      <c r="E24" s="37">
        <f t="shared" si="4"/>
        <v>0.96685443354366574</v>
      </c>
      <c r="G24" s="3"/>
      <c r="H24" s="68">
        <f t="shared" si="1"/>
        <v>0.62805020362737007</v>
      </c>
    </row>
    <row r="25" spans="2:8" x14ac:dyDescent="0.25">
      <c r="B25" s="3">
        <f t="shared" si="3"/>
        <v>58</v>
      </c>
      <c r="C25" s="37">
        <f t="shared" si="0"/>
        <v>6.3E-3</v>
      </c>
      <c r="D25" s="37">
        <f t="shared" si="2"/>
        <v>0.99370000000000003</v>
      </c>
      <c r="E25" s="37">
        <f t="shared" si="4"/>
        <v>0.96145841895005857</v>
      </c>
      <c r="G25" s="3"/>
      <c r="H25" s="68">
        <f t="shared" si="1"/>
        <v>0.60052409177012078</v>
      </c>
    </row>
    <row r="26" spans="2:8" x14ac:dyDescent="0.25">
      <c r="B26" s="3">
        <f t="shared" si="3"/>
        <v>59</v>
      </c>
      <c r="C26" s="37">
        <f t="shared" si="0"/>
        <v>7.0899999999999999E-3</v>
      </c>
      <c r="D26" s="37">
        <f t="shared" si="2"/>
        <v>0.99290999999999996</v>
      </c>
      <c r="E26" s="37">
        <f t="shared" si="4"/>
        <v>0.95540123091067319</v>
      </c>
      <c r="G26" s="3"/>
      <c r="H26" s="68">
        <f t="shared" si="1"/>
        <v>0.57378922114612407</v>
      </c>
    </row>
    <row r="27" spans="2:8" x14ac:dyDescent="0.25">
      <c r="B27" s="3">
        <f t="shared" si="3"/>
        <v>60</v>
      </c>
      <c r="C27" s="37">
        <f t="shared" si="0"/>
        <v>7.9760000000000005E-3</v>
      </c>
      <c r="D27" s="37">
        <f t="shared" si="2"/>
        <v>0.99202400000000002</v>
      </c>
      <c r="E27" s="37">
        <f t="shared" si="4"/>
        <v>0.94862743618351653</v>
      </c>
      <c r="G27" s="3"/>
      <c r="H27" s="68">
        <f t="shared" si="1"/>
        <v>0.5478087072771135</v>
      </c>
    </row>
    <row r="28" spans="2:8" x14ac:dyDescent="0.25">
      <c r="B28" s="3">
        <f t="shared" si="3"/>
        <v>61</v>
      </c>
      <c r="C28" s="37">
        <f t="shared" si="0"/>
        <v>8.9859999999999992E-3</v>
      </c>
      <c r="D28" s="37">
        <f t="shared" si="2"/>
        <v>0.99101399999999995</v>
      </c>
      <c r="E28" s="37">
        <f t="shared" si="4"/>
        <v>0.94106118375251679</v>
      </c>
      <c r="G28" s="3"/>
      <c r="H28" s="68">
        <f t="shared" si="1"/>
        <v>0.52253787021910691</v>
      </c>
    </row>
    <row r="29" spans="2:8" x14ac:dyDescent="0.25">
      <c r="B29" s="3">
        <f t="shared" si="3"/>
        <v>62</v>
      </c>
      <c r="C29" s="37">
        <f t="shared" si="0"/>
        <v>1.0147E-2</v>
      </c>
      <c r="D29" s="37">
        <f t="shared" si="2"/>
        <v>0.98985299999999998</v>
      </c>
      <c r="E29" s="37">
        <f t="shared" si="4"/>
        <v>0.93260480795531664</v>
      </c>
      <c r="G29" s="3"/>
      <c r="H29" s="68">
        <f t="shared" si="1"/>
        <v>0.49792533165126729</v>
      </c>
    </row>
    <row r="30" spans="2:8" x14ac:dyDescent="0.25">
      <c r="B30" s="3">
        <f t="shared" si="3"/>
        <v>63</v>
      </c>
      <c r="C30" s="37">
        <f t="shared" si="0"/>
        <v>1.1471E-2</v>
      </c>
      <c r="D30" s="37">
        <f t="shared" si="2"/>
        <v>0.98852899999999999</v>
      </c>
      <c r="E30" s="37">
        <f t="shared" si="4"/>
        <v>0.92314166696899402</v>
      </c>
      <c r="G30" s="3"/>
      <c r="H30" s="68">
        <f t="shared" si="1"/>
        <v>0.4739162339528864</v>
      </c>
    </row>
    <row r="31" spans="2:8" x14ac:dyDescent="0.25">
      <c r="B31" s="3">
        <f t="shared" si="3"/>
        <v>64</v>
      </c>
      <c r="C31" s="37">
        <f t="shared" si="0"/>
        <v>1.294E-2</v>
      </c>
      <c r="D31" s="37">
        <f t="shared" si="2"/>
        <v>0.98706000000000005</v>
      </c>
      <c r="E31" s="37">
        <f t="shared" si="4"/>
        <v>0.91255230890719263</v>
      </c>
      <c r="G31" s="3"/>
      <c r="H31" s="68">
        <f t="shared" si="1"/>
        <v>0.45046148157039684</v>
      </c>
    </row>
    <row r="32" spans="2:8" x14ac:dyDescent="0.25">
      <c r="B32" s="3">
        <f t="shared" si="3"/>
        <v>65</v>
      </c>
      <c r="C32" s="37">
        <f t="shared" si="0"/>
        <v>1.4534999999999999E-2</v>
      </c>
      <c r="D32" s="37">
        <f t="shared" si="2"/>
        <v>0.98546500000000004</v>
      </c>
      <c r="E32" s="37">
        <f t="shared" si="4"/>
        <v>0.90074388202993361</v>
      </c>
      <c r="G32" s="3"/>
      <c r="H32" s="68">
        <f t="shared" si="1"/>
        <v>0.42753125961430383</v>
      </c>
    </row>
    <row r="33" spans="2:8" x14ac:dyDescent="0.25">
      <c r="B33" s="3">
        <f t="shared" si="3"/>
        <v>66</v>
      </c>
      <c r="C33" s="37">
        <f t="shared" si="0"/>
        <v>1.6239E-2</v>
      </c>
      <c r="D33" s="37">
        <f t="shared" si="2"/>
        <v>0.983761</v>
      </c>
      <c r="E33" s="37">
        <f t="shared" si="4"/>
        <v>0.88765156970462855</v>
      </c>
      <c r="G33" s="3"/>
      <c r="H33" s="68">
        <f t="shared" si="1"/>
        <v>0.40511258918827875</v>
      </c>
    </row>
    <row r="34" spans="2:8" x14ac:dyDescent="0.25">
      <c r="B34" s="3">
        <f t="shared" si="3"/>
        <v>67</v>
      </c>
      <c r="C34" s="37">
        <f t="shared" si="0"/>
        <v>1.8034000000000001E-2</v>
      </c>
      <c r="D34" s="37">
        <f t="shared" si="2"/>
        <v>0.98196600000000001</v>
      </c>
      <c r="E34" s="37">
        <f t="shared" si="4"/>
        <v>0.87323699586419512</v>
      </c>
      <c r="G34" s="3"/>
      <c r="H34" s="68">
        <f t="shared" si="1"/>
        <v>0.38320573639658673</v>
      </c>
    </row>
    <row r="35" spans="2:8" x14ac:dyDescent="0.25">
      <c r="B35" s="3">
        <f t="shared" si="3"/>
        <v>68</v>
      </c>
      <c r="C35" s="37">
        <f t="shared" si="0"/>
        <v>1.9859000000000002E-2</v>
      </c>
      <c r="D35" s="37">
        <f t="shared" si="2"/>
        <v>0.98014100000000004</v>
      </c>
      <c r="E35" s="37">
        <f t="shared" si="4"/>
        <v>0.85748903988078018</v>
      </c>
      <c r="G35" s="3"/>
      <c r="H35" s="68">
        <f t="shared" si="1"/>
        <v>0.36182211937154873</v>
      </c>
    </row>
    <row r="36" spans="2:8" x14ac:dyDescent="0.25">
      <c r="B36" s="3">
        <f t="shared" si="3"/>
        <v>69</v>
      </c>
      <c r="C36" s="37">
        <f t="shared" si="0"/>
        <v>2.1728999999999998E-2</v>
      </c>
      <c r="D36" s="37">
        <f t="shared" si="2"/>
        <v>0.978271</v>
      </c>
      <c r="E36" s="37">
        <f t="shared" si="4"/>
        <v>0.84046016503778775</v>
      </c>
      <c r="G36" s="3"/>
      <c r="H36" s="68">
        <f t="shared" si="1"/>
        <v>0.34099682106052809</v>
      </c>
    </row>
    <row r="37" spans="2:8" x14ac:dyDescent="0.25">
      <c r="B37" s="3">
        <f t="shared" si="3"/>
        <v>70</v>
      </c>
      <c r="C37" s="37">
        <f t="shared" si="0"/>
        <v>2.3730000000000001E-2</v>
      </c>
      <c r="D37" s="37">
        <f t="shared" si="2"/>
        <v>0.97626999999999997</v>
      </c>
      <c r="E37" s="37">
        <f t="shared" si="4"/>
        <v>0.82219780611168169</v>
      </c>
      <c r="G37" s="3"/>
      <c r="H37" s="68">
        <f t="shared" si="1"/>
        <v>0.32075702032279213</v>
      </c>
    </row>
    <row r="38" spans="2:8" x14ac:dyDescent="0.25">
      <c r="B38" s="3">
        <f t="shared" si="3"/>
        <v>71</v>
      </c>
      <c r="C38" s="37">
        <f t="shared" si="0"/>
        <v>2.5950999999999998E-2</v>
      </c>
      <c r="D38" s="37">
        <f t="shared" si="2"/>
        <v>0.97404900000000005</v>
      </c>
      <c r="E38" s="37">
        <f t="shared" si="4"/>
        <v>0.80268705217265146</v>
      </c>
      <c r="G38" s="3"/>
      <c r="H38" s="68">
        <f t="shared" si="1"/>
        <v>0.30110140022166559</v>
      </c>
    </row>
    <row r="39" spans="2:8" x14ac:dyDescent="0.25">
      <c r="B39" s="3">
        <f t="shared" si="3"/>
        <v>72</v>
      </c>
      <c r="C39" s="37">
        <f t="shared" si="0"/>
        <v>2.8480999999999999E-2</v>
      </c>
      <c r="D39" s="37">
        <f t="shared" si="2"/>
        <v>0.97151900000000002</v>
      </c>
      <c r="E39" s="37">
        <f t="shared" si="4"/>
        <v>0.78185652048171905</v>
      </c>
      <c r="G39" s="3"/>
      <c r="H39" s="68">
        <f t="shared" si="1"/>
        <v>0.282007228638955</v>
      </c>
    </row>
    <row r="40" spans="2:8" x14ac:dyDescent="0.25">
      <c r="B40" s="3">
        <f t="shared" si="3"/>
        <v>73</v>
      </c>
      <c r="C40" s="37">
        <f t="shared" si="0"/>
        <v>3.1201E-2</v>
      </c>
      <c r="D40" s="37">
        <f t="shared" si="2"/>
        <v>0.96879899999999997</v>
      </c>
      <c r="E40" s="37">
        <f t="shared" si="4"/>
        <v>0.75958846492187926</v>
      </c>
      <c r="G40" s="3"/>
      <c r="H40" s="68">
        <f t="shared" si="1"/>
        <v>0.26343786611547015</v>
      </c>
    </row>
    <row r="41" spans="2:8" x14ac:dyDescent="0.25">
      <c r="B41" s="3">
        <f t="shared" si="3"/>
        <v>74</v>
      </c>
      <c r="C41" s="37">
        <f t="shared" si="0"/>
        <v>3.4050999999999998E-2</v>
      </c>
      <c r="D41" s="37">
        <f t="shared" si="2"/>
        <v>0.96594899999999995</v>
      </c>
      <c r="E41" s="37">
        <f t="shared" si="4"/>
        <v>0.73588854522785163</v>
      </c>
      <c r="G41" s="3"/>
      <c r="H41" s="68">
        <f t="shared" si="1"/>
        <v>0.24540225120653969</v>
      </c>
    </row>
    <row r="42" spans="2:8" x14ac:dyDescent="0.25">
      <c r="B42" s="3">
        <f t="shared" si="3"/>
        <v>75</v>
      </c>
      <c r="C42" s="37">
        <f t="shared" si="0"/>
        <v>3.7211000000000001E-2</v>
      </c>
      <c r="D42" s="37">
        <f t="shared" si="2"/>
        <v>0.96278900000000001</v>
      </c>
      <c r="E42" s="37">
        <f t="shared" si="4"/>
        <v>0.71083080437429802</v>
      </c>
      <c r="G42" s="3"/>
      <c r="H42" s="68">
        <f t="shared" si="1"/>
        <v>0.22792890302952479</v>
      </c>
    </row>
    <row r="43" spans="2:8" x14ac:dyDescent="0.25">
      <c r="B43" s="3">
        <f t="shared" si="3"/>
        <v>76</v>
      </c>
      <c r="C43" s="37">
        <f t="shared" si="0"/>
        <v>4.0857999999999998E-2</v>
      </c>
      <c r="D43" s="37">
        <f t="shared" si="2"/>
        <v>0.95914200000000005</v>
      </c>
      <c r="E43" s="37">
        <f t="shared" si="4"/>
        <v>0.68438007931272604</v>
      </c>
      <c r="G43" s="3"/>
      <c r="H43" s="68">
        <f t="shared" si="1"/>
        <v>0.21100715444124343</v>
      </c>
    </row>
    <row r="44" spans="2:8" x14ac:dyDescent="0.25">
      <c r="B44" s="3">
        <f t="shared" si="3"/>
        <v>77</v>
      </c>
      <c r="C44" s="37">
        <f t="shared" si="0"/>
        <v>4.5171000000000003E-2</v>
      </c>
      <c r="D44" s="37">
        <f t="shared" si="2"/>
        <v>0.95482900000000004</v>
      </c>
      <c r="E44" s="37">
        <f t="shared" si="4"/>
        <v>0.65641767803216666</v>
      </c>
      <c r="G44" s="3"/>
      <c r="H44" s="68">
        <f t="shared" si="1"/>
        <v>0.19460175396642607</v>
      </c>
    </row>
    <row r="45" spans="2:8" x14ac:dyDescent="0.25">
      <c r="B45" s="3">
        <f t="shared" si="3"/>
        <v>78</v>
      </c>
      <c r="C45" s="37">
        <f t="shared" ref="C45:C76" si="5">IF(B45="","",VLOOKUP(B45,QxTable,2))</f>
        <v>5.0210999999999999E-2</v>
      </c>
      <c r="D45" s="37">
        <f t="shared" si="2"/>
        <v>0.94978899999999999</v>
      </c>
      <c r="E45" s="37">
        <f t="shared" si="4"/>
        <v>0.62676663509777564</v>
      </c>
      <c r="G45" s="3"/>
      <c r="H45" s="68">
        <f t="shared" ref="H45:H76" si="6">IF(B45="","",E45/(1+$H$5)^(B45-$B$13))</f>
        <v>0.17866480590193135</v>
      </c>
    </row>
    <row r="46" spans="2:8" x14ac:dyDescent="0.25">
      <c r="B46" s="3">
        <f t="shared" si="3"/>
        <v>79</v>
      </c>
      <c r="C46" s="37">
        <f t="shared" si="5"/>
        <v>5.5861000000000001E-2</v>
      </c>
      <c r="D46" s="37">
        <f t="shared" si="2"/>
        <v>0.94413899999999995</v>
      </c>
      <c r="E46" s="37">
        <f t="shared" si="4"/>
        <v>0.59529605558288123</v>
      </c>
      <c r="G46" s="3"/>
      <c r="H46" s="68">
        <f t="shared" si="6"/>
        <v>0.16316718012768219</v>
      </c>
    </row>
    <row r="47" spans="2:8" x14ac:dyDescent="0.25">
      <c r="B47" s="3">
        <f t="shared" si="3"/>
        <v>80</v>
      </c>
      <c r="C47" s="37">
        <f t="shared" si="5"/>
        <v>6.2026999999999999E-2</v>
      </c>
      <c r="D47" s="37">
        <f t="shared" si="2"/>
        <v>0.93797299999999995</v>
      </c>
      <c r="E47" s="37">
        <f t="shared" si="4"/>
        <v>0.5620422226219659</v>
      </c>
      <c r="G47" s="3"/>
      <c r="H47" s="68">
        <f t="shared" si="6"/>
        <v>0.14812740219093243</v>
      </c>
    </row>
    <row r="48" spans="2:8" x14ac:dyDescent="0.25">
      <c r="B48" s="3">
        <f t="shared" si="3"/>
        <v>81</v>
      </c>
      <c r="C48" s="37">
        <f t="shared" si="5"/>
        <v>6.8614999999999995E-2</v>
      </c>
      <c r="D48" s="37">
        <f t="shared" si="2"/>
        <v>0.93138500000000002</v>
      </c>
      <c r="E48" s="37">
        <f t="shared" si="4"/>
        <v>0.52718042967939316</v>
      </c>
      <c r="G48" s="3"/>
      <c r="H48" s="68">
        <f t="shared" si="6"/>
        <v>0.1335956767454187</v>
      </c>
    </row>
    <row r="49" spans="2:8" x14ac:dyDescent="0.25">
      <c r="B49" s="3">
        <f t="shared" si="3"/>
        <v>82</v>
      </c>
      <c r="C49" s="37">
        <f t="shared" si="5"/>
        <v>7.5532000000000002E-2</v>
      </c>
      <c r="D49" s="37">
        <f t="shared" si="2"/>
        <v>0.92446799999999996</v>
      </c>
      <c r="E49" s="37">
        <f t="shared" si="4"/>
        <v>0.49100794449694163</v>
      </c>
      <c r="G49" s="3"/>
      <c r="H49" s="68">
        <f t="shared" si="6"/>
        <v>0.11964327825531904</v>
      </c>
    </row>
    <row r="50" spans="2:8" x14ac:dyDescent="0.25">
      <c r="B50" s="3">
        <f t="shared" si="3"/>
        <v>83</v>
      </c>
      <c r="C50" s="37">
        <f t="shared" si="5"/>
        <v>8.251E-2</v>
      </c>
      <c r="D50" s="37">
        <f t="shared" si="2"/>
        <v>0.91749000000000003</v>
      </c>
      <c r="E50" s="37">
        <f t="shared" si="4"/>
        <v>0.45392113243319859</v>
      </c>
      <c r="G50" s="3"/>
      <c r="H50" s="68">
        <f t="shared" si="6"/>
        <v>0.10635229054051754</v>
      </c>
    </row>
    <row r="51" spans="2:8" x14ac:dyDescent="0.25">
      <c r="B51" s="3">
        <f t="shared" si="3"/>
        <v>84</v>
      </c>
      <c r="C51" s="37">
        <f t="shared" si="5"/>
        <v>8.9612999999999998E-2</v>
      </c>
      <c r="D51" s="37">
        <f t="shared" si="2"/>
        <v>0.91038700000000006</v>
      </c>
      <c r="E51" s="37">
        <f t="shared" si="4"/>
        <v>0.41646809979613542</v>
      </c>
      <c r="G51" s="3"/>
      <c r="H51" s="68">
        <f t="shared" si="6"/>
        <v>9.3824195238480249E-2</v>
      </c>
    </row>
    <row r="52" spans="2:8" x14ac:dyDescent="0.25">
      <c r="B52" s="3">
        <f t="shared" si="3"/>
        <v>85</v>
      </c>
      <c r="C52" s="37">
        <f t="shared" si="5"/>
        <v>9.7239999999999993E-2</v>
      </c>
      <c r="D52" s="37">
        <f t="shared" si="2"/>
        <v>0.90276000000000001</v>
      </c>
      <c r="E52" s="37">
        <f t="shared" si="4"/>
        <v>0.37914714396910437</v>
      </c>
      <c r="G52" s="3"/>
      <c r="H52" s="68">
        <f t="shared" si="6"/>
        <v>8.2131084260167631E-2</v>
      </c>
    </row>
    <row r="53" spans="2:8" x14ac:dyDescent="0.25">
      <c r="B53" s="3">
        <f t="shared" si="3"/>
        <v>86</v>
      </c>
      <c r="C53" s="37">
        <f t="shared" si="5"/>
        <v>0.105792</v>
      </c>
      <c r="D53" s="37">
        <f t="shared" si="2"/>
        <v>0.894208</v>
      </c>
      <c r="E53" s="37">
        <f t="shared" si="4"/>
        <v>0.34227887568954868</v>
      </c>
      <c r="G53" s="3"/>
      <c r="H53" s="68">
        <f t="shared" si="6"/>
        <v>7.1292940025681636E-2</v>
      </c>
    </row>
    <row r="54" spans="2:8" x14ac:dyDescent="0.25">
      <c r="B54" s="3">
        <f t="shared" si="3"/>
        <v>87</v>
      </c>
      <c r="C54" s="37">
        <f t="shared" si="5"/>
        <v>0.115671</v>
      </c>
      <c r="D54" s="37">
        <f t="shared" si="2"/>
        <v>0.88432900000000003</v>
      </c>
      <c r="E54" s="37">
        <f t="shared" si="4"/>
        <v>0.30606850887259995</v>
      </c>
      <c r="G54" s="3"/>
      <c r="H54" s="68">
        <f t="shared" si="6"/>
        <v>6.1298766648543015E-2</v>
      </c>
    </row>
    <row r="55" spans="2:8" x14ac:dyDescent="0.25">
      <c r="B55" s="3">
        <f t="shared" si="3"/>
        <v>88</v>
      </c>
      <c r="C55" s="37">
        <f t="shared" si="5"/>
        <v>0.12698000000000001</v>
      </c>
      <c r="D55" s="37">
        <f t="shared" si="2"/>
        <v>0.87302000000000002</v>
      </c>
      <c r="E55" s="37">
        <f t="shared" si="4"/>
        <v>0.27066525838279748</v>
      </c>
      <c r="G55" s="3"/>
      <c r="H55" s="68">
        <f t="shared" si="6"/>
        <v>5.2123343280326348E-2</v>
      </c>
    </row>
    <row r="56" spans="2:8" x14ac:dyDescent="0.25">
      <c r="B56" s="3">
        <f t="shared" si="3"/>
        <v>89</v>
      </c>
      <c r="C56" s="37">
        <f t="shared" si="5"/>
        <v>0.13945199999999999</v>
      </c>
      <c r="D56" s="37">
        <f t="shared" si="2"/>
        <v>0.86054799999999998</v>
      </c>
      <c r="E56" s="37">
        <f t="shared" si="4"/>
        <v>0.23629618387334986</v>
      </c>
      <c r="G56" s="3"/>
      <c r="H56" s="68">
        <f t="shared" si="6"/>
        <v>4.3754539567875485E-2</v>
      </c>
    </row>
    <row r="57" spans="2:8" x14ac:dyDescent="0.25">
      <c r="B57" s="3">
        <f t="shared" si="3"/>
        <v>90</v>
      </c>
      <c r="C57" s="37">
        <f t="shared" si="5"/>
        <v>0.15293100000000001</v>
      </c>
      <c r="D57" s="37">
        <f t="shared" si="2"/>
        <v>0.84706899999999996</v>
      </c>
      <c r="E57" s="37">
        <f t="shared" si="4"/>
        <v>0.20334420843984347</v>
      </c>
      <c r="G57" s="3"/>
      <c r="H57" s="68">
        <f t="shared" si="6"/>
        <v>3.6204693765438563E-2</v>
      </c>
    </row>
    <row r="58" spans="2:8" x14ac:dyDescent="0.25">
      <c r="B58" s="3">
        <f t="shared" si="3"/>
        <v>91</v>
      </c>
      <c r="C58" s="37">
        <f t="shared" si="5"/>
        <v>0.16725999999999999</v>
      </c>
      <c r="D58" s="37">
        <f t="shared" si="2"/>
        <v>0.83274000000000004</v>
      </c>
      <c r="E58" s="37">
        <f t="shared" si="4"/>
        <v>0.17224657529892975</v>
      </c>
      <c r="G58" s="3"/>
      <c r="H58" s="68">
        <f t="shared" si="6"/>
        <v>2.948834013768873E-2</v>
      </c>
    </row>
    <row r="59" spans="2:8" x14ac:dyDescent="0.25">
      <c r="B59" s="3">
        <f t="shared" si="3"/>
        <v>92</v>
      </c>
      <c r="C59" s="37">
        <f t="shared" si="5"/>
        <v>0.182281</v>
      </c>
      <c r="D59" s="37">
        <f t="shared" si="2"/>
        <v>0.81771899999999997</v>
      </c>
      <c r="E59" s="37">
        <f t="shared" si="4"/>
        <v>0.14343661311443076</v>
      </c>
      <c r="G59" s="3"/>
      <c r="H59" s="68">
        <f t="shared" si="6"/>
        <v>2.3611654198325876E-2</v>
      </c>
    </row>
    <row r="60" spans="2:8" x14ac:dyDescent="0.25">
      <c r="B60" s="3">
        <f t="shared" si="3"/>
        <v>93</v>
      </c>
      <c r="C60" s="37">
        <f t="shared" si="5"/>
        <v>0.19839200000000001</v>
      </c>
      <c r="D60" s="37">
        <f t="shared" si="2"/>
        <v>0.80160799999999999</v>
      </c>
      <c r="E60" s="37">
        <f t="shared" si="4"/>
        <v>0.1172908438393192</v>
      </c>
      <c r="G60" s="3"/>
      <c r="H60" s="68">
        <f t="shared" si="6"/>
        <v>1.8565094480193112E-2</v>
      </c>
    </row>
    <row r="61" spans="2:8" x14ac:dyDescent="0.25">
      <c r="B61" s="3">
        <f t="shared" si="3"/>
        <v>94</v>
      </c>
      <c r="C61" s="37">
        <f t="shared" si="5"/>
        <v>0.2157</v>
      </c>
      <c r="D61" s="37">
        <f t="shared" si="2"/>
        <v>0.7843</v>
      </c>
      <c r="E61" s="37">
        <f t="shared" si="4"/>
        <v>9.402127874834898E-2</v>
      </c>
      <c r="G61" s="3"/>
      <c r="H61" s="68">
        <f t="shared" si="6"/>
        <v>1.4309546400075613E-2</v>
      </c>
    </row>
    <row r="62" spans="2:8" x14ac:dyDescent="0.25">
      <c r="B62" s="3">
        <f t="shared" si="3"/>
        <v>95</v>
      </c>
      <c r="C62" s="37">
        <f t="shared" si="5"/>
        <v>0.23360600000000001</v>
      </c>
      <c r="D62" s="37">
        <f t="shared" si="2"/>
        <v>0.76639400000000002</v>
      </c>
      <c r="E62" s="37">
        <f t="shared" si="4"/>
        <v>7.3740888922330106E-2</v>
      </c>
      <c r="G62" s="3"/>
      <c r="H62" s="68">
        <f t="shared" si="6"/>
        <v>1.0791324270749329E-2</v>
      </c>
    </row>
    <row r="63" spans="2:8" x14ac:dyDescent="0.25">
      <c r="B63" s="3">
        <f t="shared" si="3"/>
        <v>96</v>
      </c>
      <c r="C63" s="37">
        <f t="shared" si="5"/>
        <v>0.25151000000000001</v>
      </c>
      <c r="D63" s="37">
        <f t="shared" si="2"/>
        <v>0.74848999999999999</v>
      </c>
      <c r="E63" s="37">
        <f t="shared" si="4"/>
        <v>5.651457482474026E-2</v>
      </c>
      <c r="G63" s="3"/>
      <c r="H63" s="68">
        <f t="shared" si="6"/>
        <v>7.9523136280352513E-3</v>
      </c>
    </row>
    <row r="64" spans="2:8" x14ac:dyDescent="0.25">
      <c r="B64" s="3">
        <f t="shared" si="3"/>
        <v>97</v>
      </c>
      <c r="C64" s="37">
        <f t="shared" si="5"/>
        <v>0.26881500000000003</v>
      </c>
      <c r="D64" s="37">
        <f t="shared" si="2"/>
        <v>0.73118499999999997</v>
      </c>
      <c r="E64" s="37">
        <f t="shared" si="4"/>
        <v>4.2300594110569835E-2</v>
      </c>
      <c r="G64" s="3"/>
      <c r="H64" s="68">
        <f t="shared" si="6"/>
        <v>5.7232954110077927E-3</v>
      </c>
    </row>
    <row r="65" spans="2:8" x14ac:dyDescent="0.25">
      <c r="B65" s="3">
        <f t="shared" si="3"/>
        <v>98</v>
      </c>
      <c r="C65" s="37">
        <f t="shared" si="5"/>
        <v>0.285277</v>
      </c>
      <c r="D65" s="37">
        <f t="shared" si="2"/>
        <v>0.714723</v>
      </c>
      <c r="E65" s="37">
        <f t="shared" si="4"/>
        <v>3.0929559904737003E-2</v>
      </c>
      <c r="G65" s="3"/>
      <c r="H65" s="68">
        <f t="shared" si="6"/>
        <v>4.0238343799016661E-3</v>
      </c>
    </row>
    <row r="66" spans="2:8" x14ac:dyDescent="0.25">
      <c r="B66" s="3">
        <f t="shared" si="3"/>
        <v>99</v>
      </c>
      <c r="C66" s="37">
        <f t="shared" si="5"/>
        <v>0.30129800000000001</v>
      </c>
      <c r="D66" s="37">
        <f t="shared" si="2"/>
        <v>0.69870199999999993</v>
      </c>
      <c r="E66" s="37">
        <f t="shared" si="4"/>
        <v>2.2106067843793344E-2</v>
      </c>
      <c r="G66" s="3"/>
      <c r="H66" s="68">
        <f t="shared" si="6"/>
        <v>2.765314403371594E-3</v>
      </c>
    </row>
    <row r="67" spans="2:8" x14ac:dyDescent="0.25">
      <c r="B67" s="3">
        <f t="shared" si="3"/>
        <v>100</v>
      </c>
      <c r="C67" s="37">
        <f t="shared" si="5"/>
        <v>0.31723800000000002</v>
      </c>
      <c r="D67" s="37">
        <f t="shared" si="2"/>
        <v>0.68276199999999998</v>
      </c>
      <c r="E67" s="37">
        <f t="shared" si="4"/>
        <v>1.5445553814594096E-2</v>
      </c>
      <c r="G67" s="3"/>
      <c r="H67" s="68">
        <f t="shared" si="6"/>
        <v>1.8578179848697494E-3</v>
      </c>
    </row>
    <row r="68" spans="2:8" x14ac:dyDescent="0.25">
      <c r="B68" s="3">
        <f t="shared" si="3"/>
        <v>101</v>
      </c>
      <c r="C68" s="37">
        <f t="shared" si="5"/>
        <v>0.33346100000000001</v>
      </c>
      <c r="D68" s="37">
        <f t="shared" si="2"/>
        <v>0.66653899999999999</v>
      </c>
      <c r="E68" s="37">
        <f t="shared" si="4"/>
        <v>1.0545637213559894E-2</v>
      </c>
      <c r="G68" s="3"/>
      <c r="H68" s="68">
        <f t="shared" si="6"/>
        <v>1.2196610797938845E-3</v>
      </c>
    </row>
    <row r="69" spans="2:8" x14ac:dyDescent="0.25">
      <c r="B69" s="3">
        <f t="shared" si="3"/>
        <v>102</v>
      </c>
      <c r="C69" s="37">
        <f t="shared" si="5"/>
        <v>0.35032999999999997</v>
      </c>
      <c r="D69" s="37">
        <f t="shared" si="2"/>
        <v>0.64966999999999997</v>
      </c>
      <c r="E69" s="37">
        <f t="shared" si="4"/>
        <v>7.0290784826889984E-3</v>
      </c>
      <c r="G69" s="3"/>
      <c r="H69" s="68">
        <f t="shared" si="6"/>
        <v>7.8168430429301542E-4</v>
      </c>
    </row>
    <row r="70" spans="2:8" x14ac:dyDescent="0.25">
      <c r="B70" s="3">
        <f t="shared" si="3"/>
        <v>103</v>
      </c>
      <c r="C70" s="37">
        <f t="shared" si="5"/>
        <v>0.36854199999999998</v>
      </c>
      <c r="D70" s="37">
        <f t="shared" si="2"/>
        <v>0.63145800000000007</v>
      </c>
      <c r="E70" s="37">
        <f t="shared" si="4"/>
        <v>4.5665814178485614E-3</v>
      </c>
      <c r="G70" s="3"/>
      <c r="H70" s="68">
        <f t="shared" si="6"/>
        <v>4.883046557404261E-4</v>
      </c>
    </row>
    <row r="71" spans="2:8" x14ac:dyDescent="0.25">
      <c r="B71" s="3">
        <f t="shared" si="3"/>
        <v>104</v>
      </c>
      <c r="C71" s="37">
        <f t="shared" si="5"/>
        <v>0.38785500000000001</v>
      </c>
      <c r="D71" s="37">
        <f t="shared" si="2"/>
        <v>0.61214499999999994</v>
      </c>
      <c r="E71" s="37">
        <f t="shared" si="4"/>
        <v>2.8836043689518171E-3</v>
      </c>
      <c r="G71" s="3"/>
      <c r="H71" s="68">
        <f t="shared" si="6"/>
        <v>2.9648450125436355E-4</v>
      </c>
    </row>
    <row r="72" spans="2:8" x14ac:dyDescent="0.25">
      <c r="B72" s="3">
        <f t="shared" si="3"/>
        <v>105</v>
      </c>
      <c r="C72" s="37">
        <f t="shared" si="5"/>
        <v>0.40722399999999997</v>
      </c>
      <c r="D72" s="37">
        <f t="shared" si="2"/>
        <v>0.59277599999999997</v>
      </c>
      <c r="E72" s="37">
        <f t="shared" si="4"/>
        <v>1.7651839964320098E-3</v>
      </c>
      <c r="G72" s="3"/>
      <c r="H72" s="68">
        <f t="shared" si="6"/>
        <v>1.7451106251956957E-4</v>
      </c>
    </row>
    <row r="73" spans="2:8" x14ac:dyDescent="0.25">
      <c r="B73" s="3">
        <f t="shared" si="3"/>
        <v>106</v>
      </c>
      <c r="C73" s="37">
        <f t="shared" si="5"/>
        <v>0.42559900000000001</v>
      </c>
      <c r="D73" s="37">
        <f t="shared" si="2"/>
        <v>0.57440099999999994</v>
      </c>
      <c r="E73" s="37">
        <f t="shared" si="4"/>
        <v>1.046358708668981E-3</v>
      </c>
      <c r="G73" s="3"/>
      <c r="H73" s="68">
        <f t="shared" si="6"/>
        <v>9.946727845778877E-5</v>
      </c>
    </row>
    <row r="74" spans="2:8" x14ac:dyDescent="0.25">
      <c r="B74" s="3">
        <f t="shared" si="3"/>
        <v>107</v>
      </c>
      <c r="C74" s="37">
        <f t="shared" si="5"/>
        <v>0.44193500000000002</v>
      </c>
      <c r="D74" s="37">
        <f t="shared" si="2"/>
        <v>0.55806500000000003</v>
      </c>
      <c r="E74" s="37">
        <f t="shared" si="4"/>
        <v>6.0102948861817131E-4</v>
      </c>
      <c r="G74" s="3"/>
      <c r="H74" s="68">
        <f t="shared" si="6"/>
        <v>5.4936638666761848E-5</v>
      </c>
    </row>
    <row r="75" spans="2:8" x14ac:dyDescent="0.25">
      <c r="B75" s="3">
        <f t="shared" si="3"/>
        <v>108</v>
      </c>
      <c r="C75" s="37">
        <f t="shared" si="5"/>
        <v>0.45755299999999999</v>
      </c>
      <c r="D75" s="37">
        <f t="shared" si="2"/>
        <v>0.54244700000000001</v>
      </c>
      <c r="E75" s="37">
        <f t="shared" si="4"/>
        <v>3.3541352156569982E-4</v>
      </c>
      <c r="G75" s="3"/>
      <c r="H75" s="68">
        <f t="shared" si="6"/>
        <v>2.9479053132275442E-5</v>
      </c>
    </row>
    <row r="76" spans="2:8" x14ac:dyDescent="0.25">
      <c r="B76" s="3">
        <f t="shared" si="3"/>
        <v>109</v>
      </c>
      <c r="C76" s="37">
        <f t="shared" si="5"/>
        <v>0.47315000000000002</v>
      </c>
      <c r="D76" s="37">
        <f t="shared" si="2"/>
        <v>0.52685000000000004</v>
      </c>
      <c r="E76" s="37">
        <f t="shared" si="4"/>
        <v>1.8194405853274917E-4</v>
      </c>
      <c r="G76" s="3"/>
      <c r="H76" s="68">
        <f t="shared" si="6"/>
        <v>1.5375792244657133E-5</v>
      </c>
    </row>
    <row r="77" spans="2:8" x14ac:dyDescent="0.25">
      <c r="B77" s="3">
        <f t="shared" si="3"/>
        <v>110</v>
      </c>
      <c r="C77" s="37">
        <f t="shared" ref="C77:C113" si="7">IF(B77="","",VLOOKUP(B77,QxTable,2))</f>
        <v>0.48674499999999998</v>
      </c>
      <c r="D77" s="37">
        <f t="shared" si="2"/>
        <v>0.51325500000000002</v>
      </c>
      <c r="E77" s="37">
        <f t="shared" si="4"/>
        <v>9.5857227237978909E-5</v>
      </c>
      <c r="G77" s="3"/>
      <c r="H77" s="68">
        <f t="shared" ref="H77:H83" si="8">IF(B77="","",E77/(1+$H$5)^(B77-$B$13))</f>
        <v>7.7891693693246254E-6</v>
      </c>
    </row>
    <row r="78" spans="2:8" x14ac:dyDescent="0.25">
      <c r="B78" s="3">
        <f t="shared" si="3"/>
        <v>111</v>
      </c>
      <c r="C78" s="37">
        <f t="shared" si="7"/>
        <v>0.49635600000000002</v>
      </c>
      <c r="D78" s="37">
        <f t="shared" ref="D78:D87" si="9">IF(B78="","",1-C78)</f>
        <v>0.50364399999999998</v>
      </c>
      <c r="E78" s="37">
        <f t="shared" si="4"/>
        <v>4.9199201166028864E-5</v>
      </c>
      <c r="G78" s="3"/>
      <c r="H78" s="68">
        <f t="shared" si="8"/>
        <v>3.8440674275506822E-6</v>
      </c>
    </row>
    <row r="79" spans="2:8" x14ac:dyDescent="0.25">
      <c r="B79" s="3">
        <f t="shared" ref="B79:B113" si="10">IF(B78&gt;=120,"",B78+1)</f>
        <v>112</v>
      </c>
      <c r="C79" s="37">
        <f t="shared" si="7"/>
        <v>0.5</v>
      </c>
      <c r="D79" s="37">
        <f t="shared" si="9"/>
        <v>0.5</v>
      </c>
      <c r="E79" s="37">
        <f t="shared" ref="E79:E87" si="11">IF(B79="","",E78*D78)</f>
        <v>2.477888247206344E-5</v>
      </c>
      <c r="G79" s="3"/>
      <c r="H79" s="68">
        <f t="shared" si="8"/>
        <v>1.861578361039746E-6</v>
      </c>
    </row>
    <row r="80" spans="2:8" x14ac:dyDescent="0.25">
      <c r="B80" s="3">
        <f t="shared" si="10"/>
        <v>113</v>
      </c>
      <c r="C80" s="37">
        <f t="shared" si="7"/>
        <v>0.5</v>
      </c>
      <c r="D80" s="37">
        <f t="shared" si="9"/>
        <v>0.5</v>
      </c>
      <c r="E80" s="37">
        <f t="shared" si="11"/>
        <v>1.238944123603172E-5</v>
      </c>
      <c r="G80" s="3"/>
      <c r="H80" s="68">
        <f t="shared" si="8"/>
        <v>8.9498959665372411E-7</v>
      </c>
    </row>
    <row r="81" spans="2:8" x14ac:dyDescent="0.25">
      <c r="B81" s="3">
        <f t="shared" si="10"/>
        <v>114</v>
      </c>
      <c r="C81" s="37">
        <f t="shared" si="7"/>
        <v>0.5</v>
      </c>
      <c r="D81" s="37">
        <f t="shared" si="9"/>
        <v>0.5</v>
      </c>
      <c r="E81" s="37">
        <f t="shared" si="11"/>
        <v>6.1947206180158601E-6</v>
      </c>
      <c r="G81" s="3"/>
      <c r="H81" s="68">
        <f t="shared" si="8"/>
        <v>4.30283459929675E-7</v>
      </c>
    </row>
    <row r="82" spans="2:8" x14ac:dyDescent="0.25">
      <c r="B82" s="3">
        <f t="shared" si="10"/>
        <v>115</v>
      </c>
      <c r="C82" s="37">
        <f t="shared" si="7"/>
        <v>0.5</v>
      </c>
      <c r="D82" s="37">
        <f t="shared" si="9"/>
        <v>0.5</v>
      </c>
      <c r="E82" s="37">
        <f t="shared" si="11"/>
        <v>3.09736030900793E-6</v>
      </c>
      <c r="G82" s="3"/>
      <c r="H82" s="68">
        <f t="shared" si="8"/>
        <v>2.0686704804311296E-7</v>
      </c>
    </row>
    <row r="83" spans="2:8" x14ac:dyDescent="0.25">
      <c r="B83" s="3">
        <f t="shared" si="10"/>
        <v>116</v>
      </c>
      <c r="C83" s="37">
        <f t="shared" si="7"/>
        <v>0.5</v>
      </c>
      <c r="D83" s="37">
        <f t="shared" si="9"/>
        <v>0.5</v>
      </c>
      <c r="E83" s="37">
        <f t="shared" si="11"/>
        <v>1.548680154503965E-6</v>
      </c>
      <c r="G83" s="3"/>
      <c r="H83" s="68">
        <f t="shared" si="8"/>
        <v>9.945531155918892E-8</v>
      </c>
    </row>
    <row r="84" spans="2:8" x14ac:dyDescent="0.25">
      <c r="B84" s="3">
        <f t="shared" si="10"/>
        <v>117</v>
      </c>
      <c r="C84" s="37">
        <f t="shared" si="7"/>
        <v>0.5</v>
      </c>
      <c r="D84" s="37">
        <f t="shared" si="9"/>
        <v>0.5</v>
      </c>
      <c r="E84" s="37">
        <f t="shared" si="11"/>
        <v>7.7434007725198251E-7</v>
      </c>
      <c r="G84" s="3"/>
      <c r="H84" s="68">
        <f t="shared" ref="H84:H113" si="12">IF(B84="","",E84/(1+$H$5)^(B84-$B$13))</f>
        <v>4.781505363422545E-8</v>
      </c>
    </row>
    <row r="85" spans="2:8" x14ac:dyDescent="0.25">
      <c r="B85" s="3">
        <f t="shared" si="10"/>
        <v>118</v>
      </c>
      <c r="C85" s="37">
        <f t="shared" si="7"/>
        <v>0.5</v>
      </c>
      <c r="D85" s="37">
        <f t="shared" si="9"/>
        <v>0.5</v>
      </c>
      <c r="E85" s="37">
        <f t="shared" si="11"/>
        <v>3.8717003862599125E-7</v>
      </c>
      <c r="G85" s="3"/>
      <c r="H85" s="68">
        <f t="shared" si="12"/>
        <v>2.2988006554916075E-8</v>
      </c>
    </row>
    <row r="86" spans="2:8" x14ac:dyDescent="0.25">
      <c r="B86" s="3">
        <f t="shared" si="10"/>
        <v>119</v>
      </c>
      <c r="C86" s="37">
        <f t="shared" si="7"/>
        <v>0.5</v>
      </c>
      <c r="D86" s="37">
        <f t="shared" si="9"/>
        <v>0.5</v>
      </c>
      <c r="E86" s="37">
        <f t="shared" si="11"/>
        <v>1.9358501931299563E-7</v>
      </c>
      <c r="G86" s="3"/>
      <c r="H86" s="68">
        <f t="shared" si="12"/>
        <v>1.1051926228325036E-8</v>
      </c>
    </row>
    <row r="87" spans="2:8" x14ac:dyDescent="0.25">
      <c r="B87" s="3">
        <f t="shared" si="10"/>
        <v>120</v>
      </c>
      <c r="C87" s="37">
        <f t="shared" si="7"/>
        <v>1</v>
      </c>
      <c r="D87" s="37">
        <f t="shared" si="9"/>
        <v>0</v>
      </c>
      <c r="E87" s="37">
        <f t="shared" si="11"/>
        <v>9.6792509656497813E-8</v>
      </c>
      <c r="G87" s="3"/>
      <c r="H87" s="68">
        <f t="shared" si="12"/>
        <v>5.3134260713101126E-9</v>
      </c>
    </row>
    <row r="88" spans="2:8" x14ac:dyDescent="0.25">
      <c r="B88" s="3" t="str">
        <f t="shared" si="10"/>
        <v/>
      </c>
      <c r="C88" s="37" t="str">
        <f t="shared" si="7"/>
        <v/>
      </c>
      <c r="D88" s="37" t="str">
        <f>IF(B88="","",1-C88)</f>
        <v/>
      </c>
      <c r="E88" s="37"/>
      <c r="G88" s="3"/>
      <c r="H88" s="68" t="str">
        <f t="shared" si="12"/>
        <v/>
      </c>
    </row>
    <row r="89" spans="2:8" x14ac:dyDescent="0.25">
      <c r="B89" s="3" t="str">
        <f t="shared" si="10"/>
        <v/>
      </c>
      <c r="C89" s="37" t="str">
        <f t="shared" si="7"/>
        <v/>
      </c>
      <c r="D89" s="37" t="str">
        <f t="shared" ref="D89:D113" si="13">IF(B89="","",1-C89)</f>
        <v/>
      </c>
      <c r="E89" s="37" t="str">
        <f>IF(B89="","",E88*D88)</f>
        <v/>
      </c>
      <c r="G89" s="3"/>
      <c r="H89" s="68" t="str">
        <f t="shared" si="12"/>
        <v/>
      </c>
    </row>
    <row r="90" spans="2:8" x14ac:dyDescent="0.25">
      <c r="B90" s="3" t="str">
        <f t="shared" si="10"/>
        <v/>
      </c>
      <c r="C90" s="37" t="str">
        <f t="shared" si="7"/>
        <v/>
      </c>
      <c r="D90" s="37" t="str">
        <f t="shared" si="13"/>
        <v/>
      </c>
      <c r="E90" s="37" t="str">
        <f t="shared" ref="E90:E113" si="14">IF(B90="","",E89*D89)</f>
        <v/>
      </c>
      <c r="G90" s="3"/>
      <c r="H90" s="68" t="str">
        <f t="shared" si="12"/>
        <v/>
      </c>
    </row>
    <row r="91" spans="2:8" x14ac:dyDescent="0.25">
      <c r="B91" s="3" t="str">
        <f t="shared" si="10"/>
        <v/>
      </c>
      <c r="C91" s="37" t="str">
        <f t="shared" si="7"/>
        <v/>
      </c>
      <c r="D91" s="37" t="str">
        <f t="shared" si="13"/>
        <v/>
      </c>
      <c r="E91" s="37" t="str">
        <f t="shared" si="14"/>
        <v/>
      </c>
      <c r="G91" s="3"/>
      <c r="H91" s="68" t="str">
        <f t="shared" si="12"/>
        <v/>
      </c>
    </row>
    <row r="92" spans="2:8" x14ac:dyDescent="0.25">
      <c r="B92" s="3" t="str">
        <f t="shared" si="10"/>
        <v/>
      </c>
      <c r="C92" s="37" t="str">
        <f t="shared" si="7"/>
        <v/>
      </c>
      <c r="D92" s="37" t="str">
        <f t="shared" si="13"/>
        <v/>
      </c>
      <c r="E92" s="37" t="str">
        <f t="shared" si="14"/>
        <v/>
      </c>
      <c r="G92" s="3"/>
      <c r="H92" s="68" t="str">
        <f t="shared" si="12"/>
        <v/>
      </c>
    </row>
    <row r="93" spans="2:8" x14ac:dyDescent="0.25">
      <c r="B93" s="3" t="str">
        <f t="shared" si="10"/>
        <v/>
      </c>
      <c r="C93" s="37" t="str">
        <f t="shared" si="7"/>
        <v/>
      </c>
      <c r="D93" s="37" t="str">
        <f t="shared" si="13"/>
        <v/>
      </c>
      <c r="E93" s="37" t="str">
        <f t="shared" si="14"/>
        <v/>
      </c>
      <c r="G93" s="3"/>
      <c r="H93" s="68" t="str">
        <f t="shared" si="12"/>
        <v/>
      </c>
    </row>
    <row r="94" spans="2:8" x14ac:dyDescent="0.25">
      <c r="B94" s="3" t="str">
        <f t="shared" si="10"/>
        <v/>
      </c>
      <c r="C94" s="37" t="str">
        <f t="shared" si="7"/>
        <v/>
      </c>
      <c r="D94" s="37" t="str">
        <f t="shared" si="13"/>
        <v/>
      </c>
      <c r="E94" s="37" t="str">
        <f t="shared" si="14"/>
        <v/>
      </c>
      <c r="G94" s="3"/>
      <c r="H94" s="68" t="str">
        <f t="shared" si="12"/>
        <v/>
      </c>
    </row>
    <row r="95" spans="2:8" x14ac:dyDescent="0.25">
      <c r="B95" s="3" t="str">
        <f t="shared" si="10"/>
        <v/>
      </c>
      <c r="C95" s="37" t="str">
        <f t="shared" si="7"/>
        <v/>
      </c>
      <c r="D95" s="37" t="str">
        <f t="shared" si="13"/>
        <v/>
      </c>
      <c r="E95" s="37" t="str">
        <f t="shared" si="14"/>
        <v/>
      </c>
      <c r="G95" s="3"/>
      <c r="H95" s="68" t="str">
        <f t="shared" si="12"/>
        <v/>
      </c>
    </row>
    <row r="96" spans="2:8" x14ac:dyDescent="0.25">
      <c r="B96" s="3" t="str">
        <f t="shared" si="10"/>
        <v/>
      </c>
      <c r="C96" s="37" t="str">
        <f t="shared" si="7"/>
        <v/>
      </c>
      <c r="D96" s="37" t="str">
        <f t="shared" si="13"/>
        <v/>
      </c>
      <c r="E96" s="37" t="str">
        <f t="shared" si="14"/>
        <v/>
      </c>
      <c r="G96" s="3"/>
      <c r="H96" s="68" t="str">
        <f t="shared" si="12"/>
        <v/>
      </c>
    </row>
    <row r="97" spans="2:8" x14ac:dyDescent="0.25">
      <c r="B97" s="3" t="str">
        <f t="shared" si="10"/>
        <v/>
      </c>
      <c r="C97" s="37" t="str">
        <f t="shared" si="7"/>
        <v/>
      </c>
      <c r="D97" s="37" t="str">
        <f t="shared" si="13"/>
        <v/>
      </c>
      <c r="E97" s="37" t="str">
        <f t="shared" si="14"/>
        <v/>
      </c>
      <c r="G97" s="3"/>
      <c r="H97" s="68" t="str">
        <f t="shared" si="12"/>
        <v/>
      </c>
    </row>
    <row r="98" spans="2:8" x14ac:dyDescent="0.25">
      <c r="B98" s="3" t="str">
        <f t="shared" si="10"/>
        <v/>
      </c>
      <c r="C98" s="37" t="str">
        <f t="shared" si="7"/>
        <v/>
      </c>
      <c r="D98" s="37" t="str">
        <f t="shared" si="13"/>
        <v/>
      </c>
      <c r="E98" s="37" t="str">
        <f t="shared" si="14"/>
        <v/>
      </c>
      <c r="G98" s="3"/>
      <c r="H98" s="68" t="str">
        <f t="shared" si="12"/>
        <v/>
      </c>
    </row>
    <row r="99" spans="2:8" x14ac:dyDescent="0.25">
      <c r="B99" s="3" t="str">
        <f t="shared" si="10"/>
        <v/>
      </c>
      <c r="C99" s="37" t="str">
        <f t="shared" si="7"/>
        <v/>
      </c>
      <c r="D99" s="37" t="str">
        <f t="shared" si="13"/>
        <v/>
      </c>
      <c r="E99" s="37" t="str">
        <f t="shared" si="14"/>
        <v/>
      </c>
      <c r="G99" s="3"/>
      <c r="H99" s="68" t="str">
        <f t="shared" si="12"/>
        <v/>
      </c>
    </row>
    <row r="100" spans="2:8" x14ac:dyDescent="0.25">
      <c r="B100" s="3" t="str">
        <f t="shared" si="10"/>
        <v/>
      </c>
      <c r="C100" s="37" t="str">
        <f t="shared" si="7"/>
        <v/>
      </c>
      <c r="D100" s="37" t="str">
        <f t="shared" si="13"/>
        <v/>
      </c>
      <c r="E100" s="37" t="str">
        <f t="shared" si="14"/>
        <v/>
      </c>
      <c r="G100" s="3"/>
      <c r="H100" s="68" t="str">
        <f t="shared" si="12"/>
        <v/>
      </c>
    </row>
    <row r="101" spans="2:8" x14ac:dyDescent="0.25">
      <c r="B101" s="3" t="str">
        <f t="shared" si="10"/>
        <v/>
      </c>
      <c r="C101" s="37" t="str">
        <f t="shared" si="7"/>
        <v/>
      </c>
      <c r="D101" s="37" t="str">
        <f t="shared" si="13"/>
        <v/>
      </c>
      <c r="E101" s="37" t="str">
        <f t="shared" si="14"/>
        <v/>
      </c>
      <c r="G101" s="3"/>
      <c r="H101" s="68" t="str">
        <f t="shared" si="12"/>
        <v/>
      </c>
    </row>
    <row r="102" spans="2:8" x14ac:dyDescent="0.25">
      <c r="B102" s="3" t="str">
        <f t="shared" si="10"/>
        <v/>
      </c>
      <c r="C102" s="37" t="str">
        <f t="shared" si="7"/>
        <v/>
      </c>
      <c r="D102" s="37" t="str">
        <f t="shared" si="13"/>
        <v/>
      </c>
      <c r="E102" s="37" t="str">
        <f t="shared" si="14"/>
        <v/>
      </c>
      <c r="G102" s="3"/>
      <c r="H102" s="68" t="str">
        <f t="shared" si="12"/>
        <v/>
      </c>
    </row>
    <row r="103" spans="2:8" x14ac:dyDescent="0.25">
      <c r="B103" s="3" t="str">
        <f t="shared" si="10"/>
        <v/>
      </c>
      <c r="C103" s="37" t="str">
        <f t="shared" si="7"/>
        <v/>
      </c>
      <c r="D103" s="37" t="str">
        <f t="shared" si="13"/>
        <v/>
      </c>
      <c r="E103" s="37" t="str">
        <f t="shared" si="14"/>
        <v/>
      </c>
      <c r="G103" s="3"/>
      <c r="H103" s="68" t="str">
        <f t="shared" si="12"/>
        <v/>
      </c>
    </row>
    <row r="104" spans="2:8" x14ac:dyDescent="0.25">
      <c r="B104" s="3" t="str">
        <f t="shared" si="10"/>
        <v/>
      </c>
      <c r="C104" s="37" t="str">
        <f t="shared" si="7"/>
        <v/>
      </c>
      <c r="D104" s="37" t="str">
        <f t="shared" si="13"/>
        <v/>
      </c>
      <c r="E104" s="37" t="str">
        <f t="shared" si="14"/>
        <v/>
      </c>
      <c r="G104" s="3"/>
      <c r="H104" s="68" t="str">
        <f t="shared" si="12"/>
        <v/>
      </c>
    </row>
    <row r="105" spans="2:8" x14ac:dyDescent="0.25">
      <c r="B105" s="3" t="str">
        <f t="shared" si="10"/>
        <v/>
      </c>
      <c r="C105" s="37" t="str">
        <f t="shared" si="7"/>
        <v/>
      </c>
      <c r="D105" s="37" t="str">
        <f t="shared" si="13"/>
        <v/>
      </c>
      <c r="E105" s="37" t="str">
        <f t="shared" si="14"/>
        <v/>
      </c>
      <c r="G105" s="3"/>
      <c r="H105" s="68" t="str">
        <f t="shared" si="12"/>
        <v/>
      </c>
    </row>
    <row r="106" spans="2:8" x14ac:dyDescent="0.25">
      <c r="B106" s="3" t="str">
        <f t="shared" si="10"/>
        <v/>
      </c>
      <c r="C106" s="37" t="str">
        <f t="shared" si="7"/>
        <v/>
      </c>
      <c r="D106" s="37" t="str">
        <f t="shared" si="13"/>
        <v/>
      </c>
      <c r="E106" s="37" t="str">
        <f t="shared" si="14"/>
        <v/>
      </c>
      <c r="G106" s="3"/>
      <c r="H106" s="68" t="str">
        <f t="shared" si="12"/>
        <v/>
      </c>
    </row>
    <row r="107" spans="2:8" x14ac:dyDescent="0.25">
      <c r="B107" s="3" t="str">
        <f t="shared" si="10"/>
        <v/>
      </c>
      <c r="C107" s="37" t="str">
        <f t="shared" si="7"/>
        <v/>
      </c>
      <c r="D107" s="37" t="str">
        <f t="shared" si="13"/>
        <v/>
      </c>
      <c r="E107" s="37" t="str">
        <f t="shared" si="14"/>
        <v/>
      </c>
      <c r="G107" s="3"/>
      <c r="H107" s="68" t="str">
        <f t="shared" si="12"/>
        <v/>
      </c>
    </row>
    <row r="108" spans="2:8" x14ac:dyDescent="0.25">
      <c r="B108" s="3" t="str">
        <f t="shared" si="10"/>
        <v/>
      </c>
      <c r="C108" s="37" t="str">
        <f t="shared" si="7"/>
        <v/>
      </c>
      <c r="D108" s="37" t="str">
        <f t="shared" si="13"/>
        <v/>
      </c>
      <c r="E108" s="37" t="str">
        <f t="shared" si="14"/>
        <v/>
      </c>
      <c r="G108" s="3"/>
      <c r="H108" s="68" t="str">
        <f t="shared" si="12"/>
        <v/>
      </c>
    </row>
    <row r="109" spans="2:8" x14ac:dyDescent="0.25">
      <c r="B109" s="3" t="str">
        <f t="shared" si="10"/>
        <v/>
      </c>
      <c r="C109" s="37" t="str">
        <f t="shared" si="7"/>
        <v/>
      </c>
      <c r="D109" s="37" t="str">
        <f t="shared" si="13"/>
        <v/>
      </c>
      <c r="E109" s="37" t="str">
        <f t="shared" si="14"/>
        <v/>
      </c>
      <c r="G109" s="3"/>
      <c r="H109" s="68" t="str">
        <f t="shared" si="12"/>
        <v/>
      </c>
    </row>
    <row r="110" spans="2:8" x14ac:dyDescent="0.25">
      <c r="B110" s="3" t="str">
        <f t="shared" si="10"/>
        <v/>
      </c>
      <c r="C110" s="37" t="str">
        <f t="shared" si="7"/>
        <v/>
      </c>
      <c r="D110" s="37" t="str">
        <f t="shared" si="13"/>
        <v/>
      </c>
      <c r="E110" s="37" t="str">
        <f t="shared" si="14"/>
        <v/>
      </c>
      <c r="G110" s="3"/>
      <c r="H110" s="68" t="str">
        <f t="shared" si="12"/>
        <v/>
      </c>
    </row>
    <row r="111" spans="2:8" x14ac:dyDescent="0.25">
      <c r="B111" s="3" t="str">
        <f t="shared" si="10"/>
        <v/>
      </c>
      <c r="C111" s="37" t="str">
        <f t="shared" si="7"/>
        <v/>
      </c>
      <c r="D111" s="37" t="str">
        <f t="shared" si="13"/>
        <v/>
      </c>
      <c r="E111" s="37" t="str">
        <f t="shared" si="14"/>
        <v/>
      </c>
      <c r="G111" s="3"/>
      <c r="H111" s="68" t="str">
        <f t="shared" si="12"/>
        <v/>
      </c>
    </row>
    <row r="112" spans="2:8" x14ac:dyDescent="0.25">
      <c r="B112" s="3" t="str">
        <f t="shared" si="10"/>
        <v/>
      </c>
      <c r="C112" s="37" t="str">
        <f t="shared" si="7"/>
        <v/>
      </c>
      <c r="D112" s="37" t="str">
        <f t="shared" si="13"/>
        <v/>
      </c>
      <c r="E112" s="37" t="str">
        <f t="shared" si="14"/>
        <v/>
      </c>
      <c r="G112" s="3"/>
      <c r="H112" s="68" t="str">
        <f t="shared" si="12"/>
        <v/>
      </c>
    </row>
    <row r="113" spans="2:8" x14ac:dyDescent="0.25">
      <c r="B113" s="3" t="str">
        <f t="shared" si="10"/>
        <v/>
      </c>
      <c r="C113" s="37" t="str">
        <f t="shared" si="7"/>
        <v/>
      </c>
      <c r="D113" s="37" t="str">
        <f t="shared" si="13"/>
        <v/>
      </c>
      <c r="E113" s="37" t="str">
        <f t="shared" si="14"/>
        <v/>
      </c>
      <c r="G113" s="3"/>
      <c r="H113" s="68" t="str">
        <f t="shared" si="12"/>
        <v/>
      </c>
    </row>
    <row r="114" spans="2:8" x14ac:dyDescent="0.25">
      <c r="B114" s="3"/>
    </row>
    <row r="115" spans="2:8" x14ac:dyDescent="0.25">
      <c r="B115" s="3"/>
    </row>
    <row r="116" spans="2:8" x14ac:dyDescent="0.25">
      <c r="B116" s="3"/>
    </row>
    <row r="117" spans="2:8" x14ac:dyDescent="0.25">
      <c r="B117" s="3"/>
    </row>
    <row r="118" spans="2:8" x14ac:dyDescent="0.25">
      <c r="B118" s="3"/>
    </row>
    <row r="119" spans="2:8" x14ac:dyDescent="0.25">
      <c r="B119" s="3"/>
    </row>
    <row r="120" spans="2:8" x14ac:dyDescent="0.25">
      <c r="B120" s="3"/>
    </row>
    <row r="121" spans="2:8" x14ac:dyDescent="0.25">
      <c r="B121" s="3"/>
    </row>
    <row r="122" spans="2:8" x14ac:dyDescent="0.25">
      <c r="B122" s="3"/>
    </row>
    <row r="123" spans="2:8" x14ac:dyDescent="0.25">
      <c r="B123" s="3"/>
    </row>
    <row r="124" spans="2:8" x14ac:dyDescent="0.25">
      <c r="B124" s="3"/>
    </row>
    <row r="125" spans="2:8" x14ac:dyDescent="0.25">
      <c r="B125" s="3"/>
    </row>
    <row r="126" spans="2:8" x14ac:dyDescent="0.25">
      <c r="B126" s="3"/>
    </row>
    <row r="127" spans="2:8" x14ac:dyDescent="0.25">
      <c r="B127" s="3"/>
    </row>
    <row r="128" spans="2:8" x14ac:dyDescent="0.25">
      <c r="B128" s="3"/>
    </row>
    <row r="129" spans="2:2" x14ac:dyDescent="0.25">
      <c r="B129" s="3"/>
    </row>
  </sheetData>
  <mergeCells count="8">
    <mergeCell ref="B11:H11"/>
    <mergeCell ref="B7:C7"/>
    <mergeCell ref="B2:H2"/>
    <mergeCell ref="B3:C3"/>
    <mergeCell ref="B4:C4"/>
    <mergeCell ref="B5:C5"/>
    <mergeCell ref="B8:C8"/>
    <mergeCell ref="B9:C9"/>
  </mergeCells>
  <printOptions horizontalCentered="1"/>
  <pageMargins left="0.7" right="0.7" top="0.75" bottom="0.75" header="0.3" footer="0.3"/>
  <pageSetup scale="69" fitToHeight="3" orientation="landscape" horizontalDpi="300" verticalDpi="300" r:id="rId1"/>
  <headerFooter>
    <oddFooter>&amp;L&amp;F
&amp;A&amp;C&amp;P of &amp;N&amp;R&amp;D
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1102-7A79-49A6-87D6-DC1BBE7926B8}">
  <sheetPr>
    <pageSetUpPr fitToPage="1"/>
  </sheetPr>
  <dimension ref="B1:E28"/>
  <sheetViews>
    <sheetView showGridLines="0" workbookViewId="0">
      <selection activeCell="F2" sqref="F2"/>
    </sheetView>
  </sheetViews>
  <sheetFormatPr defaultRowHeight="15" x14ac:dyDescent="0.25"/>
  <cols>
    <col min="1" max="1" width="2.85546875" customWidth="1"/>
    <col min="2" max="2" width="14.28515625" customWidth="1"/>
    <col min="3" max="3" width="10.7109375" customWidth="1"/>
  </cols>
  <sheetData>
    <row r="1" spans="2:5" ht="15.75" thickBot="1" x14ac:dyDescent="0.3"/>
    <row r="2" spans="2:5" ht="16.5" thickBot="1" x14ac:dyDescent="0.3">
      <c r="B2" s="80" t="s">
        <v>48</v>
      </c>
      <c r="C2" s="81"/>
      <c r="D2" s="84" t="s">
        <v>59</v>
      </c>
      <c r="E2" s="85"/>
    </row>
    <row r="3" spans="2:5" ht="15.75" thickBot="1" x14ac:dyDescent="0.3">
      <c r="B3" s="45" t="s">
        <v>56</v>
      </c>
      <c r="C3" s="45" t="s">
        <v>57</v>
      </c>
      <c r="D3" s="85"/>
      <c r="E3" s="85"/>
    </row>
    <row r="4" spans="2:5" x14ac:dyDescent="0.25">
      <c r="B4" s="44">
        <v>2012</v>
      </c>
      <c r="C4" s="46">
        <v>0.04</v>
      </c>
      <c r="D4" s="85"/>
      <c r="E4" s="85"/>
    </row>
    <row r="5" spans="2:5" x14ac:dyDescent="0.25">
      <c r="B5" s="41">
        <v>2013</v>
      </c>
      <c r="C5" s="42">
        <v>7.4999999999999997E-2</v>
      </c>
      <c r="D5" s="85"/>
      <c r="E5" s="85"/>
    </row>
    <row r="6" spans="2:5" x14ac:dyDescent="0.25">
      <c r="B6" s="41">
        <v>2014</v>
      </c>
      <c r="C6" s="42">
        <v>6.5000000000000002E-2</v>
      </c>
      <c r="D6" s="85"/>
      <c r="E6" s="85"/>
    </row>
    <row r="7" spans="2:5" x14ac:dyDescent="0.25">
      <c r="B7" s="41">
        <v>2015</v>
      </c>
      <c r="C7" s="42">
        <v>7.2499999999999995E-2</v>
      </c>
      <c r="D7" s="85"/>
      <c r="E7" s="85"/>
    </row>
    <row r="8" spans="2:5" x14ac:dyDescent="0.25">
      <c r="B8" s="41">
        <v>2016</v>
      </c>
      <c r="C8" s="42">
        <v>6.5000000000000002E-2</v>
      </c>
      <c r="D8" s="85"/>
      <c r="E8" s="85"/>
    </row>
    <row r="9" spans="2:5" x14ac:dyDescent="0.25">
      <c r="B9" s="41">
        <v>2017</v>
      </c>
      <c r="C9" s="42">
        <v>0.04</v>
      </c>
      <c r="D9" s="85"/>
      <c r="E9" s="85"/>
    </row>
    <row r="10" spans="2:5" x14ac:dyDescent="0.25">
      <c r="B10" s="41">
        <v>2018</v>
      </c>
      <c r="C10" s="42">
        <v>4.4999999999999998E-2</v>
      </c>
      <c r="D10" s="85"/>
      <c r="E10" s="85"/>
    </row>
    <row r="11" spans="2:5" x14ac:dyDescent="0.25">
      <c r="B11" s="41">
        <v>2019</v>
      </c>
      <c r="C11" s="42">
        <v>0.04</v>
      </c>
      <c r="D11" s="86" t="s">
        <v>60</v>
      </c>
      <c r="E11" s="87"/>
    </row>
    <row r="12" spans="2:5" x14ac:dyDescent="0.25">
      <c r="B12" s="41">
        <v>2020</v>
      </c>
      <c r="C12" s="42"/>
      <c r="D12" s="88"/>
      <c r="E12" s="87"/>
    </row>
    <row r="13" spans="2:5" x14ac:dyDescent="0.25">
      <c r="B13" s="41">
        <v>2021</v>
      </c>
      <c r="C13" s="42"/>
      <c r="D13" s="88"/>
      <c r="E13" s="87"/>
    </row>
    <row r="14" spans="2:5" x14ac:dyDescent="0.25">
      <c r="B14" s="41">
        <v>2022</v>
      </c>
      <c r="C14" s="43"/>
      <c r="D14" s="88"/>
      <c r="E14" s="87"/>
    </row>
    <row r="15" spans="2:5" x14ac:dyDescent="0.25">
      <c r="B15" s="41">
        <v>2023</v>
      </c>
      <c r="C15" s="43"/>
      <c r="D15" s="88"/>
      <c r="E15" s="87"/>
    </row>
    <row r="16" spans="2:5" x14ac:dyDescent="0.25">
      <c r="B16" s="41">
        <v>2024</v>
      </c>
      <c r="C16" s="43"/>
      <c r="D16" s="88"/>
      <c r="E16" s="87"/>
    </row>
    <row r="17" spans="2:5" x14ac:dyDescent="0.25">
      <c r="B17" s="41">
        <v>2025</v>
      </c>
      <c r="C17" s="43"/>
      <c r="D17" s="88"/>
      <c r="E17" s="87"/>
    </row>
    <row r="18" spans="2:5" x14ac:dyDescent="0.25">
      <c r="B18" s="41">
        <v>2026</v>
      </c>
      <c r="C18" s="43"/>
      <c r="D18" s="88"/>
      <c r="E18" s="87"/>
    </row>
    <row r="19" spans="2:5" x14ac:dyDescent="0.25">
      <c r="B19" s="41">
        <v>2027</v>
      </c>
      <c r="C19" s="43"/>
      <c r="D19" s="88"/>
      <c r="E19" s="87"/>
    </row>
    <row r="20" spans="2:5" x14ac:dyDescent="0.25">
      <c r="B20" s="41">
        <v>2028</v>
      </c>
      <c r="C20" s="43"/>
      <c r="D20" s="88"/>
      <c r="E20" s="87"/>
    </row>
    <row r="21" spans="2:5" x14ac:dyDescent="0.25">
      <c r="B21" s="41">
        <v>2029</v>
      </c>
      <c r="C21" s="43"/>
      <c r="D21" s="88"/>
      <c r="E21" s="87"/>
    </row>
    <row r="22" spans="2:5" x14ac:dyDescent="0.25">
      <c r="B22" s="41">
        <v>2030</v>
      </c>
      <c r="C22" s="43"/>
      <c r="D22" s="88"/>
      <c r="E22" s="87"/>
    </row>
    <row r="23" spans="2:5" x14ac:dyDescent="0.25">
      <c r="B23" s="41">
        <v>2031</v>
      </c>
      <c r="C23" s="43"/>
      <c r="D23" s="88"/>
      <c r="E23" s="87"/>
    </row>
    <row r="24" spans="2:5" x14ac:dyDescent="0.25">
      <c r="B24" s="41">
        <v>2032</v>
      </c>
      <c r="C24" s="43"/>
      <c r="D24" s="88"/>
      <c r="E24" s="87"/>
    </row>
    <row r="25" spans="2:5" ht="15.75" thickBot="1" x14ac:dyDescent="0.3"/>
    <row r="26" spans="2:5" ht="16.5" thickBot="1" x14ac:dyDescent="0.3">
      <c r="B26" s="82" t="s">
        <v>58</v>
      </c>
      <c r="C26" s="83"/>
    </row>
    <row r="27" spans="2:5" ht="15.75" thickBot="1" x14ac:dyDescent="0.3">
      <c r="B27" s="47" t="s">
        <v>55</v>
      </c>
      <c r="C27" s="47" t="s">
        <v>57</v>
      </c>
    </row>
    <row r="28" spans="2:5" ht="15.75" thickBot="1" x14ac:dyDescent="0.3">
      <c r="B28" s="48">
        <v>2019</v>
      </c>
      <c r="C28" s="49">
        <f>IF(VLOOKUP(B28,B4:C24,2,FALSE)="","",VLOOKUP(B28,B4:C24,2,FALSE))</f>
        <v>0.04</v>
      </c>
    </row>
  </sheetData>
  <mergeCells count="4">
    <mergeCell ref="B2:C2"/>
    <mergeCell ref="B26:C26"/>
    <mergeCell ref="D2:E10"/>
    <mergeCell ref="D11:E24"/>
  </mergeCells>
  <printOptions horizontalCentered="1"/>
  <pageMargins left="0.7" right="0.7" top="0.75" bottom="0.75" header="0.3" footer="0.3"/>
  <pageSetup scale="97" orientation="landscape" horizontalDpi="300" verticalDpi="300" r:id="rId1"/>
  <headerFooter>
    <oddFooter>&amp;L&amp;F
&amp;A&amp;C&amp;P of &amp;N&amp;R&amp;D
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D39E-B53D-4C6B-A66A-6F1746C5F57C}">
  <sheetPr>
    <pageSetUpPr fitToPage="1"/>
  </sheetPr>
  <dimension ref="B1:F26"/>
  <sheetViews>
    <sheetView showGridLines="0" topLeftCell="A2" workbookViewId="0">
      <selection activeCell="C23" sqref="C23:E23"/>
    </sheetView>
  </sheetViews>
  <sheetFormatPr defaultRowHeight="15" x14ac:dyDescent="0.25"/>
  <cols>
    <col min="1" max="1" width="2.140625" customWidth="1"/>
    <col min="2" max="2" width="2.85546875" customWidth="1"/>
    <col min="3" max="3" width="35.7109375" customWidth="1"/>
    <col min="4" max="4" width="17.140625" customWidth="1"/>
    <col min="5" max="5" width="25.7109375" customWidth="1"/>
    <col min="6" max="6" width="2.85546875" customWidth="1"/>
  </cols>
  <sheetData>
    <row r="1" spans="2:6" ht="7.5" customHeight="1" thickBot="1" x14ac:dyDescent="0.3"/>
    <row r="2" spans="2:6" ht="15.75" thickBot="1" x14ac:dyDescent="0.3">
      <c r="B2" s="50"/>
      <c r="C2" s="51"/>
      <c r="D2" s="51"/>
      <c r="E2" s="51"/>
      <c r="F2" s="52"/>
    </row>
    <row r="3" spans="2:6" ht="21.75" thickBot="1" x14ac:dyDescent="0.4">
      <c r="B3" s="53"/>
      <c r="C3" s="97" t="s">
        <v>61</v>
      </c>
      <c r="D3" s="98"/>
      <c r="E3" s="99"/>
      <c r="F3" s="54"/>
    </row>
    <row r="4" spans="2:6" x14ac:dyDescent="0.25">
      <c r="B4" s="53"/>
      <c r="C4" s="55"/>
      <c r="D4" s="55"/>
      <c r="E4" s="55"/>
      <c r="F4" s="54"/>
    </row>
    <row r="5" spans="2:6" x14ac:dyDescent="0.25">
      <c r="B5" s="53"/>
      <c r="C5" s="56" t="s">
        <v>4</v>
      </c>
      <c r="D5" s="55"/>
      <c r="E5" s="74" t="str">
        <f>RIGHT(Calc!B3,LEN(Calc!B3)-SEARCH(",",Calc!B3))&amp;" "&amp;LEFT(Calc!B3,SEARCH(",",Calc!B3)-1)</f>
        <v>Diane Aho</v>
      </c>
      <c r="F5" s="54"/>
    </row>
    <row r="6" spans="2:6" x14ac:dyDescent="0.25">
      <c r="B6" s="53"/>
      <c r="C6" s="56"/>
      <c r="D6" s="55"/>
      <c r="E6" s="55"/>
      <c r="F6" s="54"/>
    </row>
    <row r="7" spans="2:6" x14ac:dyDescent="0.25">
      <c r="B7" s="53"/>
      <c r="C7" s="56" t="s">
        <v>6</v>
      </c>
      <c r="D7" s="55"/>
      <c r="E7" s="61">
        <f>VLOOKUP($E$26,Record!$B$6:$I$15,5,FALSE)</f>
        <v>26458</v>
      </c>
      <c r="F7" s="54"/>
    </row>
    <row r="8" spans="2:6" x14ac:dyDescent="0.25">
      <c r="B8" s="53"/>
      <c r="C8" s="56" t="s">
        <v>7</v>
      </c>
      <c r="D8" s="55"/>
      <c r="E8" s="61">
        <f>VLOOKUP($E$26,Record!$B$6:$I$15,6,FALSE)</f>
        <v>40973</v>
      </c>
      <c r="F8" s="54"/>
    </row>
    <row r="9" spans="2:6" x14ac:dyDescent="0.25">
      <c r="B9" s="53"/>
      <c r="C9" s="56" t="s">
        <v>62</v>
      </c>
      <c r="D9" s="55"/>
      <c r="E9" s="61">
        <f>IF(MONTH(Calc!B9)=1,Calc!B9, IF(MONTH(Calc!B9)&lt;=7,DATE(YEAR(Calc!B9),7,1),DATE(YEAR(Calc!B9)+1,1,1)))</f>
        <v>41456</v>
      </c>
      <c r="F9" s="54"/>
    </row>
    <row r="10" spans="2:6" x14ac:dyDescent="0.25">
      <c r="B10" s="53"/>
      <c r="C10" s="56" t="s">
        <v>63</v>
      </c>
      <c r="D10" s="55"/>
      <c r="E10" s="61">
        <f>EOMONTH((MAX(EDATE(E9,60),EDATE(E7,12*65)))-1,0)+1</f>
        <v>50222</v>
      </c>
      <c r="F10" s="54"/>
    </row>
    <row r="11" spans="2:6" x14ac:dyDescent="0.25">
      <c r="B11" s="53"/>
      <c r="C11" s="56" t="s">
        <v>5</v>
      </c>
      <c r="D11" s="55"/>
      <c r="E11" s="63">
        <f>VLOOKUP($E$26,Record!$B$6:$I$15,3,FALSE)</f>
        <v>96000</v>
      </c>
      <c r="F11" s="54"/>
    </row>
    <row r="12" spans="2:6" x14ac:dyDescent="0.25">
      <c r="B12" s="53"/>
      <c r="C12" s="56" t="s">
        <v>64</v>
      </c>
      <c r="D12" s="55"/>
      <c r="E12" s="41">
        <f>VLOOKUP($E$26,Record!$B$6:$I$15,7,FALSE)</f>
        <v>46</v>
      </c>
      <c r="F12" s="54"/>
    </row>
    <row r="13" spans="2:6" x14ac:dyDescent="0.25">
      <c r="B13" s="53"/>
      <c r="C13" s="56" t="s">
        <v>65</v>
      </c>
      <c r="D13" s="55"/>
      <c r="E13" s="65">
        <f>(YEAR(Record!$G$2)-YEAR(E9))+(MONTH(Record!$G$2)-MONTH(E9))/12+IF(DAY(Record!$G$2)&lt;DAY(E9),-1/12,0)</f>
        <v>5.5</v>
      </c>
      <c r="F13" s="54"/>
    </row>
    <row r="14" spans="2:6" x14ac:dyDescent="0.25">
      <c r="B14" s="53"/>
      <c r="C14" s="56" t="s">
        <v>66</v>
      </c>
      <c r="D14" s="55"/>
      <c r="E14" s="67">
        <f>2%*E11*E13</f>
        <v>10560</v>
      </c>
      <c r="F14" s="54"/>
    </row>
    <row r="15" spans="2:6" x14ac:dyDescent="0.25">
      <c r="B15" s="53"/>
      <c r="C15" s="56" t="s">
        <v>67</v>
      </c>
      <c r="D15" s="55"/>
      <c r="E15" s="64">
        <f>MAX(0,1-0.03*(YEAR(E10)-YEAR(Record!$G$2)+IF(MONTH(E10)&gt;MONTH(Record!$G$2),1,0)))</f>
        <v>0.43000000000000005</v>
      </c>
      <c r="F15" s="54"/>
    </row>
    <row r="16" spans="2:6" x14ac:dyDescent="0.25">
      <c r="B16" s="53"/>
      <c r="C16" s="56" t="s">
        <v>68</v>
      </c>
      <c r="D16" s="55"/>
      <c r="E16" s="67">
        <f>E14*E15</f>
        <v>4540.8</v>
      </c>
      <c r="F16" s="54"/>
    </row>
    <row r="17" spans="2:6" x14ac:dyDescent="0.25">
      <c r="B17" s="53"/>
      <c r="C17" s="56" t="s">
        <v>74</v>
      </c>
      <c r="D17" s="55"/>
      <c r="E17" s="72">
        <f>Annuity!H9</f>
        <v>84838.893739348146</v>
      </c>
      <c r="F17" s="54"/>
    </row>
    <row r="18" spans="2:6" x14ac:dyDescent="0.25">
      <c r="B18" s="53"/>
      <c r="C18" s="56"/>
      <c r="D18" s="55"/>
      <c r="E18" s="55"/>
      <c r="F18" s="54"/>
    </row>
    <row r="19" spans="2:6" x14ac:dyDescent="0.25">
      <c r="B19" s="53"/>
      <c r="C19" s="56" t="s">
        <v>69</v>
      </c>
      <c r="D19" s="55"/>
      <c r="E19" s="66">
        <f>E11*10</f>
        <v>960000</v>
      </c>
      <c r="F19" s="54"/>
    </row>
    <row r="20" spans="2:6" x14ac:dyDescent="0.25">
      <c r="B20" s="53"/>
      <c r="C20" s="56" t="s">
        <v>70</v>
      </c>
      <c r="D20" s="55"/>
      <c r="E20" s="73">
        <f>E17/E19</f>
        <v>8.8373847645154324E-2</v>
      </c>
      <c r="F20" s="54"/>
    </row>
    <row r="21" spans="2:6" x14ac:dyDescent="0.25">
      <c r="B21" s="53"/>
      <c r="C21" s="55"/>
      <c r="D21" s="55"/>
      <c r="E21" s="55"/>
      <c r="F21" s="54"/>
    </row>
    <row r="22" spans="2:6" ht="15.75" thickBot="1" x14ac:dyDescent="0.3">
      <c r="B22" s="53"/>
      <c r="C22" s="55"/>
      <c r="D22" s="55"/>
      <c r="E22" s="55"/>
      <c r="F22" s="54"/>
    </row>
    <row r="23" spans="2:6" ht="19.5" thickBot="1" x14ac:dyDescent="0.35">
      <c r="B23" s="53"/>
      <c r="C23" s="100" t="str">
        <f>"This statement is prepared on "&amp;TEXT(WORKDAY(DATE(Rate!B28,5,1)-1,8),"mmm d, yyyy")</f>
        <v>This statement is prepared on May 10, 2019</v>
      </c>
      <c r="D23" s="90"/>
      <c r="E23" s="91"/>
      <c r="F23" s="54"/>
    </row>
    <row r="24" spans="2:6" ht="15.75" thickBot="1" x14ac:dyDescent="0.3">
      <c r="B24" s="57"/>
      <c r="C24" s="58"/>
      <c r="D24" s="58"/>
      <c r="E24" s="58"/>
      <c r="F24" s="59"/>
    </row>
    <row r="26" spans="2:6" x14ac:dyDescent="0.25">
      <c r="C26" t="s">
        <v>71</v>
      </c>
      <c r="E26" s="60">
        <v>50005</v>
      </c>
    </row>
  </sheetData>
  <mergeCells count="2">
    <mergeCell ref="C3:E3"/>
    <mergeCell ref="C23:E23"/>
  </mergeCells>
  <printOptions horizontalCentered="1"/>
  <pageMargins left="0.7" right="0.7" top="0.75" bottom="0.75" header="0.3" footer="0.3"/>
  <pageSetup orientation="landscape" horizontalDpi="300" verticalDpi="300" r:id="rId1"/>
  <headerFooter>
    <oddFooter>&amp;L&amp;F
&amp;A&amp;C&amp;P of &amp;N&amp;R&amp;D
&amp;T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544C05-4D62-43E8-B390-03E61D614F67}">
          <x14:formula1>
            <xm:f>Record!$B$6:$B$15</xm:f>
          </x14:formula1>
          <xm:sqref>E26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403B-F36B-40FC-9CF6-17A7249A071E}">
  <dimension ref="B2:B9"/>
  <sheetViews>
    <sheetView workbookViewId="0">
      <selection activeCell="B9" sqref="B9"/>
    </sheetView>
  </sheetViews>
  <sheetFormatPr defaultRowHeight="15" x14ac:dyDescent="0.25"/>
  <cols>
    <col min="2" max="2" width="37.42578125" customWidth="1"/>
  </cols>
  <sheetData>
    <row r="2" spans="2:2" x14ac:dyDescent="0.25">
      <c r="B2" s="36" t="s">
        <v>4</v>
      </c>
    </row>
    <row r="3" spans="2:2" x14ac:dyDescent="0.25">
      <c r="B3" t="str">
        <f>VLOOKUP(Statement!$E$26,Record!$B$6:$I$15,2,FALSE)</f>
        <v>Aho,Diane</v>
      </c>
    </row>
    <row r="5" spans="2:2" x14ac:dyDescent="0.25">
      <c r="B5" t="s">
        <v>72</v>
      </c>
    </row>
    <row r="6" spans="2:2" x14ac:dyDescent="0.25">
      <c r="B6" s="62">
        <f>EDATE(Statement!E8,12)</f>
        <v>41338</v>
      </c>
    </row>
    <row r="8" spans="2:2" x14ac:dyDescent="0.25">
      <c r="B8" t="s">
        <v>73</v>
      </c>
    </row>
    <row r="9" spans="2:2" x14ac:dyDescent="0.25">
      <c r="B9" s="62">
        <f>EOMONTH(B6-1,0)+1</f>
        <v>41365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66CF-D408-4D1A-842F-9A6D6F694B55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2.140625" customWidth="1"/>
    <col min="2" max="2" width="14.28515625" customWidth="1"/>
    <col min="3" max="3" width="25" customWidth="1"/>
    <col min="4" max="9" width="17.85546875" customWidth="1"/>
    <col min="10" max="10" width="2.140625" customWidth="1"/>
  </cols>
  <sheetData>
    <row r="1" spans="1:9" ht="7.5" customHeight="1" x14ac:dyDescent="0.25">
      <c r="A1" t="s">
        <v>0</v>
      </c>
    </row>
    <row r="2" spans="1:9" ht="15.75" x14ac:dyDescent="0.25">
      <c r="B2" s="1" t="s">
        <v>1</v>
      </c>
      <c r="G2" s="2">
        <v>43466</v>
      </c>
      <c r="H2" s="9"/>
      <c r="I2" s="9"/>
    </row>
    <row r="3" spans="1:9" ht="15.75" thickBot="1" x14ac:dyDescent="0.3"/>
    <row r="4" spans="1:9" ht="18.75" x14ac:dyDescent="0.3">
      <c r="B4" s="75" t="s">
        <v>2</v>
      </c>
      <c r="C4" s="76"/>
      <c r="D4" s="76"/>
      <c r="E4" s="76"/>
      <c r="F4" s="76"/>
      <c r="G4" s="76"/>
      <c r="H4" s="76"/>
      <c r="I4" s="77"/>
    </row>
    <row r="5" spans="1:9" x14ac:dyDescent="0.25">
      <c r="B5" s="4" t="s">
        <v>3</v>
      </c>
      <c r="C5" s="4" t="s">
        <v>4</v>
      </c>
      <c r="D5" s="4" t="s">
        <v>5</v>
      </c>
      <c r="E5" s="4" t="s">
        <v>27</v>
      </c>
      <c r="F5" s="4" t="s">
        <v>6</v>
      </c>
      <c r="G5" s="4" t="s">
        <v>7</v>
      </c>
      <c r="H5" s="4" t="s">
        <v>18</v>
      </c>
      <c r="I5" s="4" t="s">
        <v>19</v>
      </c>
    </row>
    <row r="6" spans="1:9" x14ac:dyDescent="0.25">
      <c r="B6" s="6">
        <v>50007</v>
      </c>
      <c r="C6" s="5" t="s">
        <v>14</v>
      </c>
      <c r="D6" s="8">
        <v>100000</v>
      </c>
      <c r="E6" s="8">
        <v>92000</v>
      </c>
      <c r="F6" s="7">
        <v>20070</v>
      </c>
      <c r="G6" s="7">
        <v>32743</v>
      </c>
      <c r="H6" s="10">
        <f t="shared" ref="H6:H15" si="0">YEAR($G$2)-YEAR(F6)-IF($G$2&lt;DATE(YEAR($G$2), MONTH(F6),DAY(F6)),1,0)</f>
        <v>64</v>
      </c>
      <c r="I6" s="10">
        <f t="shared" ref="I6:I15" si="1">ROUND((YEAR($G$2)-YEAR(G6))+(MONTH($G$2)-MONTH(G6))/12+(DAY($G$2)-DAY(G6))/365.25,0)</f>
        <v>29</v>
      </c>
    </row>
    <row r="7" spans="1:9" x14ac:dyDescent="0.25">
      <c r="B7" s="6">
        <v>50002</v>
      </c>
      <c r="C7" s="5" t="s">
        <v>9</v>
      </c>
      <c r="D7" s="8">
        <v>99000</v>
      </c>
      <c r="E7" s="8">
        <v>91000</v>
      </c>
      <c r="F7" s="7">
        <v>19785</v>
      </c>
      <c r="G7" s="7">
        <v>42616</v>
      </c>
      <c r="H7" s="10">
        <f t="shared" si="0"/>
        <v>64</v>
      </c>
      <c r="I7" s="10">
        <f t="shared" si="1"/>
        <v>2</v>
      </c>
    </row>
    <row r="8" spans="1:9" x14ac:dyDescent="0.25">
      <c r="B8" s="6">
        <v>50004</v>
      </c>
      <c r="C8" s="5" t="s">
        <v>11</v>
      </c>
      <c r="D8" s="8">
        <v>97000</v>
      </c>
      <c r="E8" s="8">
        <v>89000</v>
      </c>
      <c r="F8" s="7">
        <v>20341</v>
      </c>
      <c r="G8" s="7">
        <v>40825</v>
      </c>
      <c r="H8" s="10">
        <f t="shared" si="0"/>
        <v>63</v>
      </c>
      <c r="I8" s="10">
        <f t="shared" si="1"/>
        <v>7</v>
      </c>
    </row>
    <row r="9" spans="1:9" x14ac:dyDescent="0.25">
      <c r="B9" s="6">
        <v>50003</v>
      </c>
      <c r="C9" s="5" t="s">
        <v>10</v>
      </c>
      <c r="D9" s="8">
        <v>98000</v>
      </c>
      <c r="E9" s="8">
        <v>90000</v>
      </c>
      <c r="F9" s="7">
        <v>20584</v>
      </c>
      <c r="G9" s="7">
        <v>37989</v>
      </c>
      <c r="H9" s="10">
        <f t="shared" si="0"/>
        <v>62</v>
      </c>
      <c r="I9" s="10">
        <f t="shared" si="1"/>
        <v>15</v>
      </c>
    </row>
    <row r="10" spans="1:9" x14ac:dyDescent="0.25">
      <c r="B10" s="6">
        <v>50009</v>
      </c>
      <c r="C10" s="5" t="s">
        <v>16</v>
      </c>
      <c r="D10" s="8">
        <v>92000</v>
      </c>
      <c r="E10" s="8">
        <v>84000</v>
      </c>
      <c r="F10" s="7">
        <v>20694</v>
      </c>
      <c r="G10" s="7">
        <v>36767</v>
      </c>
      <c r="H10" s="10">
        <f t="shared" si="0"/>
        <v>62</v>
      </c>
      <c r="I10" s="10">
        <f t="shared" si="1"/>
        <v>18</v>
      </c>
    </row>
    <row r="11" spans="1:9" x14ac:dyDescent="0.25">
      <c r="B11" s="6">
        <v>50008</v>
      </c>
      <c r="C11" s="5" t="s">
        <v>15</v>
      </c>
      <c r="D11" s="8">
        <v>93000</v>
      </c>
      <c r="E11" s="8">
        <v>85000</v>
      </c>
      <c r="F11" s="7">
        <v>21491</v>
      </c>
      <c r="G11" s="7">
        <v>43078</v>
      </c>
      <c r="H11" s="10">
        <f t="shared" si="0"/>
        <v>60</v>
      </c>
      <c r="I11" s="10">
        <f t="shared" si="1"/>
        <v>1</v>
      </c>
    </row>
    <row r="12" spans="1:9" x14ac:dyDescent="0.25">
      <c r="B12" s="6">
        <v>50010</v>
      </c>
      <c r="C12" s="5" t="s">
        <v>17</v>
      </c>
      <c r="D12" s="8">
        <v>91000</v>
      </c>
      <c r="E12" s="8">
        <v>83000</v>
      </c>
      <c r="F12" s="7">
        <v>22901</v>
      </c>
      <c r="G12" s="7">
        <v>32546</v>
      </c>
      <c r="H12" s="10">
        <f t="shared" si="0"/>
        <v>56</v>
      </c>
      <c r="I12" s="10">
        <f t="shared" si="1"/>
        <v>30</v>
      </c>
    </row>
    <row r="13" spans="1:9" x14ac:dyDescent="0.25">
      <c r="B13" s="6">
        <v>50006</v>
      </c>
      <c r="C13" s="5" t="s">
        <v>13</v>
      </c>
      <c r="D13" s="8">
        <v>95000</v>
      </c>
      <c r="E13" s="8">
        <v>87000</v>
      </c>
      <c r="F13" s="7">
        <v>23072</v>
      </c>
      <c r="G13" s="7">
        <v>36163</v>
      </c>
      <c r="H13" s="10">
        <f t="shared" si="0"/>
        <v>55</v>
      </c>
      <c r="I13" s="10">
        <f t="shared" si="1"/>
        <v>20</v>
      </c>
    </row>
    <row r="14" spans="1:9" x14ac:dyDescent="0.25">
      <c r="B14" s="6">
        <v>50005</v>
      </c>
      <c r="C14" s="5" t="s">
        <v>12</v>
      </c>
      <c r="D14" s="8">
        <v>96000</v>
      </c>
      <c r="E14" s="8">
        <v>88000</v>
      </c>
      <c r="F14" s="7">
        <v>26458</v>
      </c>
      <c r="G14" s="7">
        <v>40973</v>
      </c>
      <c r="H14" s="10">
        <f t="shared" si="0"/>
        <v>46</v>
      </c>
      <c r="I14" s="10">
        <f t="shared" si="1"/>
        <v>7</v>
      </c>
    </row>
    <row r="15" spans="1:9" x14ac:dyDescent="0.25">
      <c r="B15" s="6">
        <v>50001</v>
      </c>
      <c r="C15" s="5" t="s">
        <v>8</v>
      </c>
      <c r="D15" s="8">
        <v>110000</v>
      </c>
      <c r="E15" s="8">
        <v>101000</v>
      </c>
      <c r="F15" s="7">
        <v>26363</v>
      </c>
      <c r="G15" s="7">
        <v>33665</v>
      </c>
      <c r="H15" s="10">
        <f t="shared" si="0"/>
        <v>46</v>
      </c>
      <c r="I15" s="10">
        <f t="shared" si="1"/>
        <v>27</v>
      </c>
    </row>
  </sheetData>
  <autoFilter ref="B5:I15" xr:uid="{0286DFA5-9622-47F3-91B6-96FFB7D19E36}">
    <sortState xmlns:xlrd2="http://schemas.microsoft.com/office/spreadsheetml/2017/richdata2" ref="B6:I15">
      <sortCondition ref="H5:H15"/>
    </sortState>
  </autoFilter>
  <sortState xmlns:xlrd2="http://schemas.microsoft.com/office/spreadsheetml/2017/richdata2" ref="B6:I15">
    <sortCondition descending="1" ref="H6:H15"/>
    <sortCondition ref="C6:C15"/>
  </sortState>
  <mergeCells count="1">
    <mergeCell ref="B4:I4"/>
  </mergeCells>
  <printOptions horizontalCentered="1"/>
  <pageMargins left="0.7" right="0.7" top="0.75" bottom="0.75" header="0.3" footer="0.3"/>
  <pageSetup scale="84" orientation="landscape" horizontalDpi="300" verticalDpi="300" r:id="rId1"/>
  <headerFooter>
    <oddFooter>&amp;L&amp;F
&amp;A&amp;C&amp;P of &amp;N&amp;R&amp;D
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06BB-C3ED-44E9-BC90-80756D268522}">
  <sheetPr>
    <pageSetUpPr fitToPage="1"/>
  </sheetPr>
  <dimension ref="A1:I19"/>
  <sheetViews>
    <sheetView showGridLines="0" workbookViewId="0"/>
  </sheetViews>
  <sheetFormatPr defaultRowHeight="15" x14ac:dyDescent="0.25"/>
  <cols>
    <col min="1" max="1" width="2.140625" customWidth="1"/>
    <col min="2" max="2" width="14.28515625" customWidth="1"/>
    <col min="3" max="3" width="25" customWidth="1"/>
    <col min="4" max="4" width="27.85546875" customWidth="1"/>
    <col min="5" max="9" width="17.85546875" customWidth="1"/>
    <col min="10" max="10" width="2.140625" customWidth="1"/>
  </cols>
  <sheetData>
    <row r="1" spans="1:9" ht="7.5" customHeight="1" x14ac:dyDescent="0.25">
      <c r="A1" t="s">
        <v>0</v>
      </c>
    </row>
    <row r="2" spans="1:9" ht="15" customHeight="1" x14ac:dyDescent="0.25">
      <c r="D2" t="s">
        <v>20</v>
      </c>
    </row>
    <row r="3" spans="1:9" ht="15" customHeight="1" x14ac:dyDescent="0.25">
      <c r="D3" t="s">
        <v>21</v>
      </c>
      <c r="E3">
        <f>SUBTOTAL(2,B10:B19)</f>
        <v>10</v>
      </c>
      <c r="F3" t="s">
        <v>24</v>
      </c>
      <c r="G3">
        <f>SUBTOTAL(4,H10:H19)</f>
        <v>64</v>
      </c>
    </row>
    <row r="4" spans="1:9" ht="15" customHeight="1" x14ac:dyDescent="0.25">
      <c r="D4" t="s">
        <v>22</v>
      </c>
      <c r="E4" s="12">
        <f>SUBTOTAL(9,D10:D19)</f>
        <v>971000</v>
      </c>
      <c r="F4" t="s">
        <v>25</v>
      </c>
      <c r="G4">
        <f>SUBTOTAL(5,H10:H19)</f>
        <v>46</v>
      </c>
    </row>
    <row r="5" spans="1:9" ht="15" customHeight="1" x14ac:dyDescent="0.25">
      <c r="D5" t="s">
        <v>23</v>
      </c>
      <c r="E5" s="12">
        <f>SUBTOTAL(1,D10:D19)</f>
        <v>97100</v>
      </c>
      <c r="F5" t="s">
        <v>26</v>
      </c>
      <c r="G5" s="11">
        <f>SUBTOTAL(1,I10:I19)</f>
        <v>15.6</v>
      </c>
    </row>
    <row r="6" spans="1:9" ht="15.75" x14ac:dyDescent="0.25">
      <c r="B6" s="1" t="s">
        <v>1</v>
      </c>
      <c r="H6" s="11"/>
      <c r="I6" s="2">
        <v>43466</v>
      </c>
    </row>
    <row r="7" spans="1:9" ht="15.75" thickBot="1" x14ac:dyDescent="0.3"/>
    <row r="8" spans="1:9" ht="18.75" x14ac:dyDescent="0.3">
      <c r="B8" s="75" t="s">
        <v>2</v>
      </c>
      <c r="C8" s="76"/>
      <c r="D8" s="76"/>
      <c r="E8" s="76"/>
      <c r="F8" s="76"/>
      <c r="G8" s="76"/>
      <c r="H8" s="76"/>
      <c r="I8" s="77"/>
    </row>
    <row r="9" spans="1:9" x14ac:dyDescent="0.25">
      <c r="B9" s="4" t="s">
        <v>3</v>
      </c>
      <c r="C9" s="4" t="s">
        <v>4</v>
      </c>
      <c r="D9" s="4" t="s">
        <v>5</v>
      </c>
      <c r="E9" s="4" t="s">
        <v>27</v>
      </c>
      <c r="F9" s="4" t="s">
        <v>6</v>
      </c>
      <c r="G9" s="4" t="s">
        <v>7</v>
      </c>
      <c r="H9" s="4" t="s">
        <v>18</v>
      </c>
      <c r="I9" s="4" t="s">
        <v>19</v>
      </c>
    </row>
    <row r="10" spans="1:9" x14ac:dyDescent="0.25">
      <c r="B10" s="6">
        <v>50001</v>
      </c>
      <c r="C10" s="5" t="s">
        <v>8</v>
      </c>
      <c r="D10" s="8">
        <v>110000</v>
      </c>
      <c r="E10" s="8">
        <v>101000</v>
      </c>
      <c r="F10" s="7">
        <v>26363</v>
      </c>
      <c r="G10" s="7">
        <v>33665</v>
      </c>
      <c r="H10" s="10">
        <f>YEAR($I$6)-YEAR(F10)-IF($I$6&lt;DATE(YEAR($I$6), MONTH(F10),DAY(F10)),1,0)</f>
        <v>46</v>
      </c>
      <c r="I10" s="10">
        <f>ROUND((YEAR($I$6)-YEAR(G10))+(MONTH($I$6)-MONTH(G10))/12+(DAY($I$6)-DAY(G10))/365.25,0)</f>
        <v>27</v>
      </c>
    </row>
    <row r="11" spans="1:9" x14ac:dyDescent="0.25">
      <c r="B11" s="6">
        <v>50002</v>
      </c>
      <c r="C11" s="5" t="s">
        <v>9</v>
      </c>
      <c r="D11" s="8">
        <v>99000</v>
      </c>
      <c r="E11" s="8">
        <v>91000</v>
      </c>
      <c r="F11" s="7">
        <v>19785</v>
      </c>
      <c r="G11" s="7">
        <v>42616</v>
      </c>
      <c r="H11" s="10">
        <f t="shared" ref="H11:H19" si="0">YEAR($I$6)-YEAR(F11)-IF($I$6&lt;DATE(YEAR($I$6), MONTH(F11),DAY(F11)),1,0)</f>
        <v>64</v>
      </c>
      <c r="I11" s="10">
        <f t="shared" ref="I11:I19" si="1">ROUND((YEAR($I$6)-YEAR(G11))+(MONTH($I$6)-MONTH(G11))/12+(DAY($I$6)-DAY(G11))/365.25,0)</f>
        <v>2</v>
      </c>
    </row>
    <row r="12" spans="1:9" x14ac:dyDescent="0.25">
      <c r="B12" s="6">
        <v>50003</v>
      </c>
      <c r="C12" s="5" t="s">
        <v>10</v>
      </c>
      <c r="D12" s="8">
        <v>98000</v>
      </c>
      <c r="E12" s="8">
        <v>90000</v>
      </c>
      <c r="F12" s="7">
        <v>20584</v>
      </c>
      <c r="G12" s="7">
        <v>37989</v>
      </c>
      <c r="H12" s="10">
        <f t="shared" si="0"/>
        <v>62</v>
      </c>
      <c r="I12" s="10">
        <f t="shared" si="1"/>
        <v>15</v>
      </c>
    </row>
    <row r="13" spans="1:9" x14ac:dyDescent="0.25">
      <c r="B13" s="6">
        <v>50004</v>
      </c>
      <c r="C13" s="5" t="s">
        <v>11</v>
      </c>
      <c r="D13" s="8">
        <v>97000</v>
      </c>
      <c r="E13" s="8">
        <v>89000</v>
      </c>
      <c r="F13" s="7">
        <v>20341</v>
      </c>
      <c r="G13" s="7">
        <v>40825</v>
      </c>
      <c r="H13" s="10">
        <f t="shared" si="0"/>
        <v>63</v>
      </c>
      <c r="I13" s="10">
        <f t="shared" si="1"/>
        <v>7</v>
      </c>
    </row>
    <row r="14" spans="1:9" x14ac:dyDescent="0.25">
      <c r="B14" s="6">
        <v>50005</v>
      </c>
      <c r="C14" s="5" t="s">
        <v>12</v>
      </c>
      <c r="D14" s="8">
        <v>96000</v>
      </c>
      <c r="E14" s="8">
        <v>88000</v>
      </c>
      <c r="F14" s="7">
        <v>26458</v>
      </c>
      <c r="G14" s="7">
        <v>40973</v>
      </c>
      <c r="H14" s="10">
        <f t="shared" si="0"/>
        <v>46</v>
      </c>
      <c r="I14" s="10">
        <f t="shared" si="1"/>
        <v>7</v>
      </c>
    </row>
    <row r="15" spans="1:9" x14ac:dyDescent="0.25">
      <c r="B15" s="6">
        <v>50006</v>
      </c>
      <c r="C15" s="5" t="s">
        <v>13</v>
      </c>
      <c r="D15" s="8">
        <v>95000</v>
      </c>
      <c r="E15" s="8">
        <v>87000</v>
      </c>
      <c r="F15" s="7">
        <v>23072</v>
      </c>
      <c r="G15" s="7">
        <v>36163</v>
      </c>
      <c r="H15" s="10">
        <f t="shared" si="0"/>
        <v>55</v>
      </c>
      <c r="I15" s="10">
        <f t="shared" si="1"/>
        <v>20</v>
      </c>
    </row>
    <row r="16" spans="1:9" x14ac:dyDescent="0.25">
      <c r="B16" s="6">
        <v>50007</v>
      </c>
      <c r="C16" s="5" t="s">
        <v>14</v>
      </c>
      <c r="D16" s="8">
        <v>100000</v>
      </c>
      <c r="E16" s="8">
        <v>92000</v>
      </c>
      <c r="F16" s="7">
        <v>20070</v>
      </c>
      <c r="G16" s="7">
        <v>32743</v>
      </c>
      <c r="H16" s="10">
        <f t="shared" si="0"/>
        <v>64</v>
      </c>
      <c r="I16" s="10">
        <f t="shared" si="1"/>
        <v>29</v>
      </c>
    </row>
    <row r="17" spans="2:9" x14ac:dyDescent="0.25">
      <c r="B17" s="6">
        <v>50008</v>
      </c>
      <c r="C17" s="5" t="s">
        <v>15</v>
      </c>
      <c r="D17" s="8">
        <v>93000</v>
      </c>
      <c r="E17" s="8">
        <v>85000</v>
      </c>
      <c r="F17" s="7">
        <v>21491</v>
      </c>
      <c r="G17" s="7">
        <v>43078</v>
      </c>
      <c r="H17" s="10">
        <f t="shared" si="0"/>
        <v>60</v>
      </c>
      <c r="I17" s="10">
        <f t="shared" si="1"/>
        <v>1</v>
      </c>
    </row>
    <row r="18" spans="2:9" x14ac:dyDescent="0.25">
      <c r="B18" s="6">
        <v>50009</v>
      </c>
      <c r="C18" s="5" t="s">
        <v>16</v>
      </c>
      <c r="D18" s="8">
        <v>92000</v>
      </c>
      <c r="E18" s="8">
        <v>84000</v>
      </c>
      <c r="F18" s="7">
        <v>20694</v>
      </c>
      <c r="G18" s="7">
        <v>36767</v>
      </c>
      <c r="H18" s="10">
        <f t="shared" si="0"/>
        <v>62</v>
      </c>
      <c r="I18" s="10">
        <f t="shared" si="1"/>
        <v>18</v>
      </c>
    </row>
    <row r="19" spans="2:9" x14ac:dyDescent="0.25">
      <c r="B19" s="6">
        <v>50010</v>
      </c>
      <c r="C19" s="5" t="s">
        <v>17</v>
      </c>
      <c r="D19" s="8">
        <v>91000</v>
      </c>
      <c r="E19" s="8">
        <v>83000</v>
      </c>
      <c r="F19" s="7">
        <v>22901</v>
      </c>
      <c r="G19" s="7">
        <v>32546</v>
      </c>
      <c r="H19" s="10">
        <f t="shared" si="0"/>
        <v>56</v>
      </c>
      <c r="I19" s="10">
        <f t="shared" si="1"/>
        <v>30</v>
      </c>
    </row>
  </sheetData>
  <autoFilter ref="B9:I19" xr:uid="{08FA2675-8148-4C33-BD6B-CB0E41470A03}"/>
  <mergeCells count="1">
    <mergeCell ref="B8:I8"/>
  </mergeCells>
  <printOptions horizontalCentered="1"/>
  <pageMargins left="0.7" right="0.7" top="0.75" bottom="0.75" header="0.3" footer="0.3"/>
  <pageSetup scale="78" orientation="landscape" horizontalDpi="300" verticalDpi="300" r:id="rId1"/>
  <headerFooter>
    <oddFooter>&amp;L&amp;F
&amp;A&amp;C&amp;P of &amp;N&amp;R&amp;D
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7875-7E55-418F-9B71-5E13CA11ADF1}">
  <sheetPr filterMode="1">
    <pageSetUpPr fitToPage="1"/>
  </sheetPr>
  <dimension ref="A1:I17"/>
  <sheetViews>
    <sheetView showGridLines="0" tabSelected="1" workbookViewId="0"/>
  </sheetViews>
  <sheetFormatPr defaultRowHeight="15" x14ac:dyDescent="0.25"/>
  <cols>
    <col min="1" max="1" width="2.140625" customWidth="1"/>
    <col min="2" max="2" width="14.28515625" customWidth="1"/>
    <col min="3" max="3" width="25" customWidth="1"/>
    <col min="4" max="9" width="17.85546875" customWidth="1"/>
    <col min="10" max="10" width="2.140625" customWidth="1"/>
  </cols>
  <sheetData>
    <row r="1" spans="1:9" ht="7.5" customHeight="1" x14ac:dyDescent="0.25">
      <c r="A1" t="s">
        <v>0</v>
      </c>
    </row>
    <row r="2" spans="1:9" ht="15" customHeight="1" x14ac:dyDescent="0.25">
      <c r="D2" s="4" t="s">
        <v>18</v>
      </c>
      <c r="E2" s="4" t="s">
        <v>5</v>
      </c>
    </row>
    <row r="3" spans="1:9" ht="15" customHeight="1" x14ac:dyDescent="0.25">
      <c r="D3" s="3" t="s">
        <v>28</v>
      </c>
      <c r="E3" s="3" t="s">
        <v>30</v>
      </c>
    </row>
    <row r="4" spans="1:9" ht="15.75" x14ac:dyDescent="0.25">
      <c r="B4" s="1" t="s">
        <v>1</v>
      </c>
      <c r="D4" s="3" t="s">
        <v>29</v>
      </c>
      <c r="E4" s="3" t="s">
        <v>30</v>
      </c>
      <c r="G4" s="2">
        <v>43466</v>
      </c>
      <c r="H4" s="9"/>
      <c r="I4" s="9"/>
    </row>
    <row r="5" spans="1:9" ht="15.75" thickBot="1" x14ac:dyDescent="0.3"/>
    <row r="6" spans="1:9" ht="18.75" x14ac:dyDescent="0.3">
      <c r="B6" s="75" t="s">
        <v>2</v>
      </c>
      <c r="C6" s="76"/>
      <c r="D6" s="76"/>
      <c r="E6" s="76"/>
      <c r="F6" s="76"/>
      <c r="G6" s="76"/>
      <c r="H6" s="76"/>
      <c r="I6" s="77"/>
    </row>
    <row r="7" spans="1:9" x14ac:dyDescent="0.25">
      <c r="B7" s="4" t="s">
        <v>3</v>
      </c>
      <c r="C7" s="4" t="s">
        <v>4</v>
      </c>
      <c r="D7" s="4" t="s">
        <v>5</v>
      </c>
      <c r="E7" s="4" t="s">
        <v>27</v>
      </c>
      <c r="F7" s="4" t="s">
        <v>6</v>
      </c>
      <c r="G7" s="4" t="s">
        <v>7</v>
      </c>
      <c r="H7" s="4" t="s">
        <v>18</v>
      </c>
      <c r="I7" s="4" t="s">
        <v>19</v>
      </c>
    </row>
    <row r="8" spans="1:9" hidden="1" x14ac:dyDescent="0.25">
      <c r="B8" s="6">
        <v>50001</v>
      </c>
      <c r="C8" s="5" t="s">
        <v>8</v>
      </c>
      <c r="D8" s="8">
        <v>110000</v>
      </c>
      <c r="E8" s="8">
        <v>101000</v>
      </c>
      <c r="F8" s="7">
        <v>26363</v>
      </c>
      <c r="G8" s="7">
        <v>33665</v>
      </c>
      <c r="H8" s="10">
        <f>YEAR($G$4)-YEAR(F8)-IF($G$4&lt;DATE(YEAR($G$4), MONTH(F8),DAY(F8)),1,0)</f>
        <v>46</v>
      </c>
      <c r="I8" s="10">
        <f>ROUND((YEAR($G$4)-YEAR(G8))+(MONTH($G$4)-MONTH(G8))/12+(DAY($G$4)-DAY(G8))/365.25,0)</f>
        <v>27</v>
      </c>
    </row>
    <row r="9" spans="1:9" x14ac:dyDescent="0.25">
      <c r="B9" s="6">
        <v>50002</v>
      </c>
      <c r="C9" s="5" t="s">
        <v>9</v>
      </c>
      <c r="D9" s="8">
        <v>99000</v>
      </c>
      <c r="E9" s="8">
        <v>91000</v>
      </c>
      <c r="F9" s="7">
        <v>19785</v>
      </c>
      <c r="G9" s="7">
        <v>42616</v>
      </c>
      <c r="H9" s="10">
        <f t="shared" ref="H9:H17" si="0">YEAR($G$4)-YEAR(F9)-IF($G$4&lt;DATE(YEAR($G$4), MONTH(F9),DAY(F9)),1,0)</f>
        <v>64</v>
      </c>
      <c r="I9" s="10">
        <f t="shared" ref="I9:I17" si="1">ROUND((YEAR($G$4)-YEAR(G9))+(MONTH($G$4)-MONTH(G9))/12+(DAY($G$4)-DAY(G9))/365.25,0)</f>
        <v>2</v>
      </c>
    </row>
    <row r="10" spans="1:9" x14ac:dyDescent="0.25">
      <c r="B10" s="6">
        <v>50003</v>
      </c>
      <c r="C10" s="5" t="s">
        <v>10</v>
      </c>
      <c r="D10" s="8">
        <v>98000</v>
      </c>
      <c r="E10" s="8">
        <v>90000</v>
      </c>
      <c r="F10" s="7">
        <v>20584</v>
      </c>
      <c r="G10" s="7">
        <v>37989</v>
      </c>
      <c r="H10" s="10">
        <f t="shared" si="0"/>
        <v>62</v>
      </c>
      <c r="I10" s="10">
        <f t="shared" si="1"/>
        <v>15</v>
      </c>
    </row>
    <row r="11" spans="1:9" x14ac:dyDescent="0.25">
      <c r="B11" s="6">
        <v>50004</v>
      </c>
      <c r="C11" s="5" t="s">
        <v>11</v>
      </c>
      <c r="D11" s="8">
        <v>97000</v>
      </c>
      <c r="E11" s="8">
        <v>89000</v>
      </c>
      <c r="F11" s="7">
        <v>20341</v>
      </c>
      <c r="G11" s="7">
        <v>40825</v>
      </c>
      <c r="H11" s="10">
        <f t="shared" si="0"/>
        <v>63</v>
      </c>
      <c r="I11" s="10">
        <f t="shared" si="1"/>
        <v>7</v>
      </c>
    </row>
    <row r="12" spans="1:9" hidden="1" x14ac:dyDescent="0.25">
      <c r="B12" s="6">
        <v>50005</v>
      </c>
      <c r="C12" s="5" t="s">
        <v>12</v>
      </c>
      <c r="D12" s="8">
        <v>96000</v>
      </c>
      <c r="E12" s="8">
        <v>88000</v>
      </c>
      <c r="F12" s="7">
        <v>26458</v>
      </c>
      <c r="G12" s="7">
        <v>40973</v>
      </c>
      <c r="H12" s="10">
        <f t="shared" si="0"/>
        <v>46</v>
      </c>
      <c r="I12" s="10">
        <f t="shared" si="1"/>
        <v>7</v>
      </c>
    </row>
    <row r="13" spans="1:9" x14ac:dyDescent="0.25">
      <c r="B13" s="6">
        <v>50006</v>
      </c>
      <c r="C13" s="5" t="s">
        <v>13</v>
      </c>
      <c r="D13" s="8">
        <v>95000</v>
      </c>
      <c r="E13" s="8">
        <v>87000</v>
      </c>
      <c r="F13" s="7">
        <v>23072</v>
      </c>
      <c r="G13" s="7">
        <v>36163</v>
      </c>
      <c r="H13" s="10">
        <f t="shared" si="0"/>
        <v>55</v>
      </c>
      <c r="I13" s="10">
        <f t="shared" si="1"/>
        <v>20</v>
      </c>
    </row>
    <row r="14" spans="1:9" x14ac:dyDescent="0.25">
      <c r="B14" s="6">
        <v>50007</v>
      </c>
      <c r="C14" s="5" t="s">
        <v>14</v>
      </c>
      <c r="D14" s="8">
        <v>100000</v>
      </c>
      <c r="E14" s="8">
        <v>92000</v>
      </c>
      <c r="F14" s="7">
        <v>20070</v>
      </c>
      <c r="G14" s="7">
        <v>32743</v>
      </c>
      <c r="H14" s="10">
        <f t="shared" si="0"/>
        <v>64</v>
      </c>
      <c r="I14" s="10">
        <f t="shared" si="1"/>
        <v>29</v>
      </c>
    </row>
    <row r="15" spans="1:9" x14ac:dyDescent="0.25">
      <c r="B15" s="6">
        <v>50008</v>
      </c>
      <c r="C15" s="5" t="s">
        <v>15</v>
      </c>
      <c r="D15" s="8">
        <v>93000</v>
      </c>
      <c r="E15" s="8">
        <v>85000</v>
      </c>
      <c r="F15" s="7">
        <v>21491</v>
      </c>
      <c r="G15" s="7">
        <v>43078</v>
      </c>
      <c r="H15" s="10">
        <f t="shared" si="0"/>
        <v>60</v>
      </c>
      <c r="I15" s="10">
        <f t="shared" si="1"/>
        <v>1</v>
      </c>
    </row>
    <row r="16" spans="1:9" x14ac:dyDescent="0.25">
      <c r="B16" s="6">
        <v>50009</v>
      </c>
      <c r="C16" s="5" t="s">
        <v>16</v>
      </c>
      <c r="D16" s="8">
        <v>92000</v>
      </c>
      <c r="E16" s="8">
        <v>84000</v>
      </c>
      <c r="F16" s="7">
        <v>20694</v>
      </c>
      <c r="G16" s="7">
        <v>36767</v>
      </c>
      <c r="H16" s="10">
        <f t="shared" si="0"/>
        <v>62</v>
      </c>
      <c r="I16" s="10">
        <f t="shared" si="1"/>
        <v>18</v>
      </c>
    </row>
    <row r="17" spans="2:9" x14ac:dyDescent="0.25">
      <c r="B17" s="6">
        <v>50010</v>
      </c>
      <c r="C17" s="5" t="s">
        <v>17</v>
      </c>
      <c r="D17" s="8">
        <v>91000</v>
      </c>
      <c r="E17" s="8">
        <v>83000</v>
      </c>
      <c r="F17" s="7">
        <v>22901</v>
      </c>
      <c r="G17" s="7">
        <v>32546</v>
      </c>
      <c r="H17" s="10">
        <f t="shared" si="0"/>
        <v>56</v>
      </c>
      <c r="I17" s="10">
        <f t="shared" si="1"/>
        <v>30</v>
      </c>
    </row>
  </sheetData>
  <mergeCells count="1">
    <mergeCell ref="B6:I6"/>
  </mergeCells>
  <printOptions horizontalCentered="1"/>
  <pageMargins left="0.7" right="0.7" top="0.75" bottom="0.75" header="0.3" footer="0.3"/>
  <pageSetup scale="84" orientation="landscape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Record</vt:lpstr>
      <vt:lpstr>Qx</vt:lpstr>
      <vt:lpstr>Pivot Table</vt:lpstr>
      <vt:lpstr>Annuity</vt:lpstr>
      <vt:lpstr>Rate</vt:lpstr>
      <vt:lpstr>Statement</vt:lpstr>
      <vt:lpstr>Calc</vt:lpstr>
      <vt:lpstr>Sort DB</vt:lpstr>
      <vt:lpstr>Filter DB</vt:lpstr>
      <vt:lpstr>Filter Advance</vt:lpstr>
      <vt:lpstr>'Filter Advance'!Criteria</vt:lpstr>
      <vt:lpstr>Annuity!Print_Titles</vt:lpstr>
      <vt:lpstr>QxTable</vt:lpstr>
      <vt:lpstr>Rates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2020-10-17T01:58:31Z</cp:lastPrinted>
  <dcterms:created xsi:type="dcterms:W3CDTF">2020-10-12T21:00:11Z</dcterms:created>
  <dcterms:modified xsi:type="dcterms:W3CDTF">2020-10-17T01:59:01Z</dcterms:modified>
</cp:coreProperties>
</file>