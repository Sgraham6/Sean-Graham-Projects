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2FC2F1FB-426E-4453-8232-DD95808F67F5}" xr6:coauthVersionLast="45" xr6:coauthVersionMax="45" xr10:uidLastSave="{00000000-0000-0000-0000-000000000000}"/>
  <bookViews>
    <workbookView xWindow="810" yWindow="-120" windowWidth="19800" windowHeight="11760" xr2:uid="{B7B5D040-E68E-49E7-9A42-79CADF2CBD1C}"/>
  </bookViews>
  <sheets>
    <sheet name="Count Bas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4" i="1"/>
  <c r="D33" i="1"/>
  <c r="D32" i="1"/>
  <c r="D31" i="1"/>
  <c r="D30" i="1"/>
  <c r="H41" i="1"/>
  <c r="D23" i="1"/>
  <c r="D26" i="1"/>
  <c r="D25" i="1"/>
  <c r="D24" i="1"/>
  <c r="D22" i="1"/>
  <c r="D21" i="1"/>
  <c r="D17" i="1"/>
  <c r="D18" i="1"/>
  <c r="D19" i="1"/>
  <c r="D20" i="1"/>
  <c r="D16" i="1"/>
  <c r="D14" i="1"/>
  <c r="D15" i="1"/>
  <c r="D13" i="1"/>
  <c r="D12" i="1"/>
  <c r="D7" i="1"/>
  <c r="D8" i="1" s="1"/>
  <c r="D6" i="1"/>
  <c r="D5" i="1"/>
  <c r="D4" i="1"/>
  <c r="H14" i="1"/>
</calcChain>
</file>

<file path=xl/sharedStrings.xml><?xml version="1.0" encoding="utf-8"?>
<sst xmlns="http://schemas.openxmlformats.org/spreadsheetml/2006/main" count="115" uniqueCount="101">
  <si>
    <t>Counting Techniques</t>
  </si>
  <si>
    <t>The Task</t>
  </si>
  <si>
    <t>Function</t>
  </si>
  <si>
    <t>Example</t>
  </si>
  <si>
    <t>Count</t>
  </si>
  <si>
    <t>CountA</t>
  </si>
  <si>
    <t>CountBlank</t>
  </si>
  <si>
    <t>Mode</t>
  </si>
  <si>
    <t>COUNTIF</t>
  </si>
  <si>
    <t>Counting the cells that contain a number</t>
  </si>
  <si>
    <t>Counting the cells that are non-empty</t>
  </si>
  <si>
    <t>Counting the cells that are either empty or
contain the zero-length sequence</t>
  </si>
  <si>
    <t>Counting the most frequently occuring entry</t>
  </si>
  <si>
    <t>Counting the frequency of the mode</t>
  </si>
  <si>
    <t>Simple Criteria</t>
  </si>
  <si>
    <t>Criterion</t>
  </si>
  <si>
    <t>It counts the cells that contain</t>
  </si>
  <si>
    <t>"A"</t>
  </si>
  <si>
    <t>"a"</t>
  </si>
  <si>
    <t>"2"</t>
  </si>
  <si>
    <t>"=2"</t>
  </si>
  <si>
    <t>"&gt;=2"</t>
  </si>
  <si>
    <t>"&lt;=2"</t>
  </si>
  <si>
    <t>"&gt;2"</t>
  </si>
  <si>
    <t>"&lt;2"</t>
  </si>
  <si>
    <t>"true"</t>
  </si>
  <si>
    <t>"&lt;&gt;A"</t>
  </si>
  <si>
    <t>"&lt;&gt;"</t>
  </si>
  <si>
    <t>""</t>
  </si>
  <si>
    <t>both letters A and a</t>
  </si>
  <si>
    <t>the number 2 (criterion #1)</t>
  </si>
  <si>
    <t>the number 2 (criterion #2)</t>
  </si>
  <si>
    <t>the number 2 (criterion #3)</t>
  </si>
  <si>
    <t>a number greater than or equal to 2</t>
  </si>
  <si>
    <t>a number less than or equal to 2</t>
  </si>
  <si>
    <t>a number greater than 2</t>
  </si>
  <si>
    <t>a number less than 2</t>
  </si>
  <si>
    <t>only the logical value of TRUE</t>
  </si>
  <si>
    <t>a logical value</t>
  </si>
  <si>
    <t>Do not contain A or a</t>
  </si>
  <si>
    <t>anything even a space or 0-length sequence;
Behaves like CountA</t>
  </si>
  <si>
    <t>empty of zero-length sequence;
Behaves like CountBlank</t>
  </si>
  <si>
    <t>Criteria with Cell References</t>
  </si>
  <si>
    <t>H30</t>
  </si>
  <si>
    <t>"&gt;=" &amp; H30</t>
  </si>
  <si>
    <t>"&lt;=" &amp; H30</t>
  </si>
  <si>
    <t>"&gt;" &amp; H30</t>
  </si>
  <si>
    <t>"&lt;" &amp; H30</t>
  </si>
  <si>
    <t>the value in the input cell</t>
  </si>
  <si>
    <t>a number greater than or equal to the input cell</t>
  </si>
  <si>
    <t>a number less than or equal to the input cell</t>
  </si>
  <si>
    <t>a number greater than the input cell</t>
  </si>
  <si>
    <t>a number less than the input cell</t>
  </si>
  <si>
    <t>Criteria Related to Text</t>
  </si>
  <si>
    <t>"in"</t>
  </si>
  <si>
    <t>"In"</t>
  </si>
  <si>
    <t>"*In*"</t>
  </si>
  <si>
    <t>"In*"</t>
  </si>
  <si>
    <t>"*In"</t>
  </si>
  <si>
    <t>"*"</t>
  </si>
  <si>
    <t>Char(42)</t>
  </si>
  <si>
    <t>Countifs</t>
  </si>
  <si>
    <t>"*~?*"</t>
  </si>
  <si>
    <t>"*In?"</t>
  </si>
  <si>
    <t>"*~**"</t>
  </si>
  <si>
    <t>"in" as the entire content</t>
  </si>
  <si>
    <t>"In" as the entire content</t>
  </si>
  <si>
    <t>"In" as the partial content</t>
  </si>
  <si>
    <t>"In" at the beginning of its cell content</t>
  </si>
  <si>
    <t>"In" at the end of its cell content</t>
  </si>
  <si>
    <t>a text, including the zero-length sequence</t>
  </si>
  <si>
    <t>a text, with the leading character between h and s</t>
  </si>
  <si>
    <t>"?" as the part of its content</t>
  </si>
  <si>
    <t>a text ending with "in" plus another character</t>
  </si>
  <si>
    <t>"*" as part of its content</t>
  </si>
  <si>
    <t>Input Word:</t>
  </si>
  <si>
    <t>The Input Section for Criteria
Related to Text</t>
  </si>
  <si>
    <t>Note: The content in cell H41 is: ="9"</t>
  </si>
  <si>
    <t>The Input Section for 
Counting Techniques, Simple Criteria, and Criteria with Cell
References</t>
  </si>
  <si>
    <t>Note: the content in cell H14 is: =""</t>
  </si>
  <si>
    <t>Cell Reference:</t>
  </si>
  <si>
    <t>B</t>
  </si>
  <si>
    <t>a</t>
  </si>
  <si>
    <t>A</t>
  </si>
  <si>
    <t>In</t>
  </si>
  <si>
    <t>b</t>
  </si>
  <si>
    <t>in</t>
  </si>
  <si>
    <t>*</t>
  </si>
  <si>
    <t>h</t>
  </si>
  <si>
    <t>K</t>
  </si>
  <si>
    <t>info</t>
  </si>
  <si>
    <t>dine</t>
  </si>
  <si>
    <t>s</t>
  </si>
  <si>
    <t>Symbol *</t>
  </si>
  <si>
    <t>i</t>
  </si>
  <si>
    <t>din</t>
  </si>
  <si>
    <t>4*6</t>
  </si>
  <si>
    <t>In or Out?</t>
  </si>
  <si>
    <t>ok?</t>
  </si>
  <si>
    <t>You</t>
  </si>
  <si>
    <t>"*" &amp; H36 &amp; "*"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</si>
</sst>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9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2" borderId="10" xfId="0" applyFill="1" applyBorder="1"/>
    <xf numFmtId="0" fontId="0" fillId="2" borderId="4" xfId="0" applyFill="1" applyBorder="1"/>
    <xf numFmtId="0" fontId="2" fillId="2" borderId="3" xfId="0" applyFont="1" applyFill="1" applyBorder="1"/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30" xfId="0" applyFon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wrapText="1"/>
    </xf>
    <xf numFmtId="0" fontId="1" fillId="2" borderId="14" xfId="0" applyFont="1" applyFill="1" applyBorder="1"/>
    <xf numFmtId="0" fontId="1" fillId="2" borderId="1" xfId="0" applyFont="1" applyFill="1" applyBorder="1"/>
    <xf numFmtId="0" fontId="2" fillId="2" borderId="13" xfId="0" applyFont="1" applyFill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31" xfId="0" applyFont="1" applyFill="1" applyBorder="1"/>
    <xf numFmtId="0" fontId="1" fillId="0" borderId="31" xfId="0" applyFont="1" applyBorder="1" applyAlignment="1">
      <alignment horizontal="center"/>
    </xf>
    <xf numFmtId="0" fontId="3" fillId="0" borderId="32" xfId="0" applyFont="1" applyBorder="1"/>
    <xf numFmtId="0" fontId="0" fillId="3" borderId="0" xfId="0" applyFill="1" applyBorder="1"/>
    <xf numFmtId="0" fontId="0" fillId="0" borderId="5" xfId="0" applyBorder="1" applyAlignment="1">
      <alignment horizontal="lef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3" xfId="0" applyBorder="1"/>
    <xf numFmtId="0" fontId="2" fillId="2" borderId="31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7F10-F47B-4CB2-9B77-047E9EB4D331}">
  <sheetPr>
    <pageSetUpPr fitToPage="1"/>
  </sheetPr>
  <dimension ref="B1:I49"/>
  <sheetViews>
    <sheetView tabSelected="1" workbookViewId="0"/>
  </sheetViews>
  <sheetFormatPr defaultRowHeight="15" x14ac:dyDescent="0.25"/>
  <cols>
    <col min="1" max="1" width="1.42578125" customWidth="1"/>
    <col min="2" max="2" width="17" customWidth="1"/>
    <col min="3" max="3" width="45.7109375" customWidth="1"/>
    <col min="4" max="4" width="7.42578125" customWidth="1"/>
    <col min="5" max="5" width="1.42578125" customWidth="1"/>
    <col min="10" max="10" width="1.42578125" customWidth="1"/>
  </cols>
  <sheetData>
    <row r="1" spans="2:9" ht="15.75" thickBot="1" x14ac:dyDescent="0.3"/>
    <row r="2" spans="2:9" ht="18" customHeight="1" thickBot="1" x14ac:dyDescent="0.3">
      <c r="B2" s="15"/>
      <c r="C2" s="17" t="s">
        <v>0</v>
      </c>
      <c r="D2" s="16"/>
      <c r="E2" s="2"/>
      <c r="F2" s="2"/>
      <c r="G2" s="2"/>
      <c r="H2" s="2"/>
      <c r="I2" s="3"/>
    </row>
    <row r="3" spans="2:9" ht="15.75" thickBot="1" x14ac:dyDescent="0.3">
      <c r="B3" s="19" t="s">
        <v>2</v>
      </c>
      <c r="C3" s="18" t="s">
        <v>1</v>
      </c>
      <c r="D3" s="20" t="s">
        <v>3</v>
      </c>
      <c r="E3" s="5"/>
      <c r="F3" s="5"/>
      <c r="G3" s="5"/>
      <c r="H3" s="5"/>
      <c r="I3" s="6"/>
    </row>
    <row r="4" spans="2:9" x14ac:dyDescent="0.25">
      <c r="B4" s="24" t="s">
        <v>4</v>
      </c>
      <c r="C4" s="12" t="s">
        <v>9</v>
      </c>
      <c r="D4" s="49">
        <f>COUNT(F14:I21)</f>
        <v>5</v>
      </c>
      <c r="E4" s="5"/>
      <c r="F4" s="5"/>
      <c r="G4" s="5"/>
      <c r="H4" s="5"/>
      <c r="I4" s="6"/>
    </row>
    <row r="5" spans="2:9" x14ac:dyDescent="0.25">
      <c r="B5" s="25" t="s">
        <v>5</v>
      </c>
      <c r="C5" s="13" t="s">
        <v>10</v>
      </c>
      <c r="D5" s="50">
        <f>COUNTA(F14:I21)</f>
        <v>13</v>
      </c>
      <c r="E5" s="5"/>
      <c r="F5" s="5"/>
      <c r="G5" s="5"/>
      <c r="H5" s="5"/>
      <c r="I5" s="6"/>
    </row>
    <row r="6" spans="2:9" ht="30" customHeight="1" x14ac:dyDescent="0.25">
      <c r="B6" s="25" t="s">
        <v>6</v>
      </c>
      <c r="C6" s="27" t="s">
        <v>11</v>
      </c>
      <c r="D6" s="52">
        <f>COUNTBLANK(F14:I21)</f>
        <v>20</v>
      </c>
      <c r="E6" s="5"/>
      <c r="F6" s="5"/>
      <c r="G6" s="5"/>
      <c r="H6" s="5"/>
      <c r="I6" s="6"/>
    </row>
    <row r="7" spans="2:9" x14ac:dyDescent="0.25">
      <c r="B7" s="25" t="s">
        <v>7</v>
      </c>
      <c r="C7" s="13" t="s">
        <v>12</v>
      </c>
      <c r="D7" s="50">
        <f>MODE(F14:I21)</f>
        <v>50</v>
      </c>
      <c r="E7" s="5"/>
      <c r="F7" s="5"/>
      <c r="G7" s="5"/>
      <c r="H7" s="5"/>
      <c r="I7" s="6"/>
    </row>
    <row r="8" spans="2:9" ht="15.75" thickBot="1" x14ac:dyDescent="0.3">
      <c r="B8" s="26" t="s">
        <v>8</v>
      </c>
      <c r="C8" s="14" t="s">
        <v>13</v>
      </c>
      <c r="D8" s="51">
        <f>COUNTIF(F14:I21,D7)</f>
        <v>2</v>
      </c>
      <c r="E8" s="5"/>
      <c r="F8" s="5"/>
      <c r="G8" s="5"/>
      <c r="H8" s="5"/>
      <c r="I8" s="6"/>
    </row>
    <row r="9" spans="2:9" ht="15.75" thickBot="1" x14ac:dyDescent="0.3">
      <c r="B9" s="39"/>
      <c r="C9" s="5"/>
      <c r="D9" s="5"/>
      <c r="E9" s="5"/>
      <c r="F9" s="5"/>
      <c r="G9" s="5"/>
      <c r="H9" s="5"/>
      <c r="I9" s="6"/>
    </row>
    <row r="10" spans="2:9" ht="18" customHeight="1" thickBot="1" x14ac:dyDescent="0.3">
      <c r="B10" s="29"/>
      <c r="C10" s="30" t="s">
        <v>14</v>
      </c>
      <c r="D10" s="28"/>
      <c r="E10" s="5"/>
      <c r="F10" s="74" t="s">
        <v>78</v>
      </c>
      <c r="G10" s="82"/>
      <c r="H10" s="82"/>
      <c r="I10" s="83"/>
    </row>
    <row r="11" spans="2:9" ht="15.75" customHeight="1" thickBot="1" x14ac:dyDescent="0.3">
      <c r="B11" s="31" t="s">
        <v>15</v>
      </c>
      <c r="C11" s="31" t="s">
        <v>16</v>
      </c>
      <c r="D11" s="37" t="s">
        <v>3</v>
      </c>
      <c r="E11" s="5"/>
      <c r="F11" s="84"/>
      <c r="G11" s="85"/>
      <c r="H11" s="85"/>
      <c r="I11" s="86"/>
    </row>
    <row r="12" spans="2:9" ht="15" customHeight="1" x14ac:dyDescent="0.25">
      <c r="B12" s="32" t="s">
        <v>17</v>
      </c>
      <c r="C12" s="1" t="s">
        <v>29</v>
      </c>
      <c r="D12" s="55">
        <f>COUNTIF($F$14:$I$21,"A")</f>
        <v>2</v>
      </c>
      <c r="E12" s="5"/>
      <c r="F12" s="84"/>
      <c r="G12" s="85"/>
      <c r="H12" s="85"/>
      <c r="I12" s="86"/>
    </row>
    <row r="13" spans="2:9" ht="15.75" customHeight="1" thickBot="1" x14ac:dyDescent="0.3">
      <c r="B13" s="33" t="s">
        <v>18</v>
      </c>
      <c r="C13" s="4" t="s">
        <v>29</v>
      </c>
      <c r="D13" s="56">
        <f>COUNTIF($F$14:$I$21,"a")</f>
        <v>2</v>
      </c>
      <c r="E13" s="5"/>
      <c r="F13" s="84"/>
      <c r="G13" s="85"/>
      <c r="H13" s="85"/>
      <c r="I13" s="86"/>
    </row>
    <row r="14" spans="2:9" x14ac:dyDescent="0.25">
      <c r="B14" s="33">
        <v>2</v>
      </c>
      <c r="C14" s="4" t="s">
        <v>30</v>
      </c>
      <c r="D14" s="56">
        <f>COUNTIF($F$14:$I$21,2)</f>
        <v>1</v>
      </c>
      <c r="E14" s="5"/>
      <c r="F14" s="40">
        <v>2</v>
      </c>
      <c r="G14" s="41"/>
      <c r="H14" s="41" t="str">
        <f>""</f>
        <v/>
      </c>
      <c r="I14" s="42"/>
    </row>
    <row r="15" spans="2:9" x14ac:dyDescent="0.25">
      <c r="B15" s="33" t="s">
        <v>19</v>
      </c>
      <c r="C15" s="4" t="s">
        <v>31</v>
      </c>
      <c r="D15" s="56">
        <f t="shared" ref="D15" si="0">COUNTIF($F$14:$I$21,"2")</f>
        <v>1</v>
      </c>
      <c r="E15" s="5"/>
      <c r="F15" s="43"/>
      <c r="G15" s="44"/>
      <c r="H15" s="44"/>
      <c r="I15" s="45"/>
    </row>
    <row r="16" spans="2:9" x14ac:dyDescent="0.25">
      <c r="B16" s="33" t="s">
        <v>20</v>
      </c>
      <c r="C16" s="4" t="s">
        <v>32</v>
      </c>
      <c r="D16" s="56">
        <f>COUNTIF($F$14:$I$21,"=2")</f>
        <v>1</v>
      </c>
      <c r="E16" s="5"/>
      <c r="F16" s="43"/>
      <c r="G16" s="44">
        <v>5</v>
      </c>
      <c r="H16" s="44">
        <v>50</v>
      </c>
      <c r="I16" s="45"/>
    </row>
    <row r="17" spans="2:9" x14ac:dyDescent="0.25">
      <c r="B17" s="33" t="s">
        <v>21</v>
      </c>
      <c r="C17" s="4" t="s">
        <v>33</v>
      </c>
      <c r="D17" s="56">
        <f>COUNTIF($F$14:$I$21,"&gt;="&amp;D12)</f>
        <v>4</v>
      </c>
      <c r="E17" s="5"/>
      <c r="F17" s="43"/>
      <c r="G17" s="44"/>
      <c r="H17" s="44">
        <v>50</v>
      </c>
      <c r="I17" s="45"/>
    </row>
    <row r="18" spans="2:9" x14ac:dyDescent="0.25">
      <c r="B18" s="33" t="s">
        <v>22</v>
      </c>
      <c r="C18" s="4" t="s">
        <v>34</v>
      </c>
      <c r="D18" s="56">
        <f>COUNTIF($F$14:$I$21,"&lt;="&amp;D12)</f>
        <v>2</v>
      </c>
      <c r="E18" s="5"/>
      <c r="F18" s="43" t="s">
        <v>83</v>
      </c>
      <c r="G18" s="44" t="s">
        <v>82</v>
      </c>
      <c r="H18" s="44"/>
      <c r="I18" s="45" t="b">
        <v>1</v>
      </c>
    </row>
    <row r="19" spans="2:9" x14ac:dyDescent="0.25">
      <c r="B19" s="33" t="s">
        <v>23</v>
      </c>
      <c r="C19" s="4" t="s">
        <v>35</v>
      </c>
      <c r="D19" s="56">
        <f>COUNTIF($F$14:$I$21,"&gt;"&amp;D12)</f>
        <v>3</v>
      </c>
      <c r="E19" s="5"/>
      <c r="F19" s="43"/>
      <c r="G19" s="44" t="s">
        <v>81</v>
      </c>
      <c r="H19" s="44" t="b">
        <v>1</v>
      </c>
      <c r="I19" s="45"/>
    </row>
    <row r="20" spans="2:9" x14ac:dyDescent="0.25">
      <c r="B20" s="33" t="s">
        <v>24</v>
      </c>
      <c r="C20" s="4" t="s">
        <v>36</v>
      </c>
      <c r="D20" s="56">
        <f>COUNTIF($F$14:$I$21,"&lt;"&amp;D12)</f>
        <v>1</v>
      </c>
      <c r="E20" s="5"/>
      <c r="F20" s="43">
        <v>1</v>
      </c>
      <c r="G20" s="44"/>
      <c r="H20" s="44" t="b">
        <v>0</v>
      </c>
      <c r="I20" s="45"/>
    </row>
    <row r="21" spans="2:9" ht="15.75" thickBot="1" x14ac:dyDescent="0.3">
      <c r="B21" s="33" t="b">
        <v>1</v>
      </c>
      <c r="C21" s="4" t="s">
        <v>37</v>
      </c>
      <c r="D21" s="56">
        <f>COUNTIF($F$14:$I$21,TRUE)</f>
        <v>3</v>
      </c>
      <c r="E21" s="5"/>
      <c r="F21" s="46"/>
      <c r="G21" s="47"/>
      <c r="H21" s="47" t="b">
        <v>1</v>
      </c>
      <c r="I21" s="48"/>
    </row>
    <row r="22" spans="2:9" x14ac:dyDescent="0.25">
      <c r="B22" s="33" t="s">
        <v>25</v>
      </c>
      <c r="C22" s="4" t="s">
        <v>37</v>
      </c>
      <c r="D22" s="56">
        <f>COUNTIF($F$14:$I$21,"true")</f>
        <v>3</v>
      </c>
      <c r="E22" s="5"/>
      <c r="F22" s="80" t="s">
        <v>79</v>
      </c>
      <c r="G22" s="80"/>
      <c r="H22" s="80"/>
      <c r="I22" s="81"/>
    </row>
    <row r="23" spans="2:9" x14ac:dyDescent="0.25">
      <c r="B23" s="33"/>
      <c r="C23" s="4" t="s">
        <v>38</v>
      </c>
      <c r="D23" s="56">
        <f>COUNTIF($F$14:$I$21,TRUE) + COUNTIF($F$14:$I$21,FALSE)</f>
        <v>4</v>
      </c>
      <c r="E23" s="5"/>
      <c r="F23" s="5"/>
      <c r="G23" s="5"/>
      <c r="H23" s="5"/>
      <c r="I23" s="6"/>
    </row>
    <row r="24" spans="2:9" x14ac:dyDescent="0.25">
      <c r="B24" s="33" t="s">
        <v>26</v>
      </c>
      <c r="C24" s="4" t="s">
        <v>39</v>
      </c>
      <c r="D24" s="56">
        <f>COUNTIF($F$14:$I$21,"&lt;&gt;A")</f>
        <v>30</v>
      </c>
      <c r="E24" s="5"/>
      <c r="F24" s="5"/>
      <c r="G24" s="5"/>
      <c r="H24" s="5"/>
      <c r="I24" s="6"/>
    </row>
    <row r="25" spans="2:9" ht="30" customHeight="1" x14ac:dyDescent="0.25">
      <c r="B25" s="33" t="s">
        <v>27</v>
      </c>
      <c r="C25" s="53" t="s">
        <v>40</v>
      </c>
      <c r="D25" s="56">
        <f>COUNTIF($F$14:$I$21,"&lt;&gt;")</f>
        <v>13</v>
      </c>
      <c r="E25" s="5"/>
      <c r="F25" s="5"/>
      <c r="G25" s="5"/>
      <c r="H25" s="5"/>
      <c r="I25" s="6"/>
    </row>
    <row r="26" spans="2:9" ht="31.5" customHeight="1" thickBot="1" x14ac:dyDescent="0.3">
      <c r="B26" s="34" t="s">
        <v>28</v>
      </c>
      <c r="C26" s="54" t="s">
        <v>41</v>
      </c>
      <c r="D26" s="57">
        <f>COUNTIF($F$14:$I$21,"")</f>
        <v>20</v>
      </c>
      <c r="E26" s="5"/>
      <c r="F26" s="5"/>
      <c r="G26" s="5"/>
      <c r="H26" s="5"/>
      <c r="I26" s="6"/>
    </row>
    <row r="27" spans="2:9" ht="15.75" thickBot="1" x14ac:dyDescent="0.3">
      <c r="B27" s="4"/>
      <c r="C27" s="5"/>
      <c r="D27" s="5"/>
      <c r="E27" s="5"/>
      <c r="F27" s="5"/>
      <c r="G27" s="5"/>
      <c r="H27" s="5"/>
      <c r="I27" s="6"/>
    </row>
    <row r="28" spans="2:9" ht="16.5" thickBot="1" x14ac:dyDescent="0.3">
      <c r="B28" s="35"/>
      <c r="C28" s="70" t="s">
        <v>42</v>
      </c>
      <c r="D28" s="71"/>
      <c r="E28" s="5"/>
      <c r="F28" s="5"/>
      <c r="G28" s="5"/>
      <c r="H28" s="5"/>
      <c r="I28" s="6"/>
    </row>
    <row r="29" spans="2:9" ht="15.75" thickBot="1" x14ac:dyDescent="0.3">
      <c r="B29" s="31" t="s">
        <v>15</v>
      </c>
      <c r="C29" s="36" t="s">
        <v>16</v>
      </c>
      <c r="D29" s="20" t="s">
        <v>3</v>
      </c>
      <c r="E29" s="5"/>
      <c r="F29" s="5"/>
      <c r="G29" s="5"/>
      <c r="H29" s="5"/>
      <c r="I29" s="6"/>
    </row>
    <row r="30" spans="2:9" x14ac:dyDescent="0.25">
      <c r="B30" s="21" t="s">
        <v>43</v>
      </c>
      <c r="C30" s="9" t="s">
        <v>48</v>
      </c>
      <c r="D30" s="49">
        <f>COUNTIF($F$14:$I$21,H30)</f>
        <v>1</v>
      </c>
      <c r="E30" s="5"/>
      <c r="F30" s="87" t="s">
        <v>80</v>
      </c>
      <c r="G30" s="87"/>
      <c r="H30" s="38">
        <v>2</v>
      </c>
      <c r="I30" s="6"/>
    </row>
    <row r="31" spans="2:9" x14ac:dyDescent="0.25">
      <c r="B31" s="22" t="s">
        <v>44</v>
      </c>
      <c r="C31" s="10" t="s">
        <v>49</v>
      </c>
      <c r="D31" s="50">
        <f>COUNTIF($F$14:$I$21,"&gt;=" &amp; H30)</f>
        <v>4</v>
      </c>
      <c r="E31" s="5"/>
      <c r="F31" s="5"/>
      <c r="G31" s="5"/>
      <c r="H31" s="5"/>
      <c r="I31" s="6"/>
    </row>
    <row r="32" spans="2:9" x14ac:dyDescent="0.25">
      <c r="B32" s="22" t="s">
        <v>45</v>
      </c>
      <c r="C32" s="10" t="s">
        <v>50</v>
      </c>
      <c r="D32" s="50">
        <f>COUNTIF($F$14:$I$21,"&lt;=" &amp; H30)</f>
        <v>2</v>
      </c>
      <c r="E32" s="5"/>
      <c r="F32" s="5"/>
      <c r="G32" s="5"/>
      <c r="H32" s="5"/>
      <c r="I32" s="6"/>
    </row>
    <row r="33" spans="2:9" x14ac:dyDescent="0.25">
      <c r="B33" s="22" t="s">
        <v>46</v>
      </c>
      <c r="C33" s="10" t="s">
        <v>51</v>
      </c>
      <c r="D33" s="50">
        <f>COUNTIF($F$14:$I$21,"&gt;" &amp; H30)</f>
        <v>3</v>
      </c>
      <c r="E33" s="5"/>
      <c r="F33" s="5"/>
      <c r="G33" s="5"/>
      <c r="H33" s="5"/>
      <c r="I33" s="6"/>
    </row>
    <row r="34" spans="2:9" ht="15.75" thickBot="1" x14ac:dyDescent="0.3">
      <c r="B34" s="23" t="s">
        <v>47</v>
      </c>
      <c r="C34" s="11" t="s">
        <v>52</v>
      </c>
      <c r="D34" s="51">
        <f>COUNTIF($F$14:$I$21,"&lt;" &amp; H30)</f>
        <v>1</v>
      </c>
      <c r="E34" s="7"/>
      <c r="F34" s="7"/>
      <c r="G34" s="7"/>
      <c r="H34" s="7"/>
      <c r="I34" s="8"/>
    </row>
    <row r="35" spans="2:9" ht="15.75" thickBot="1" x14ac:dyDescent="0.3"/>
    <row r="36" spans="2:9" ht="16.5" thickBot="1" x14ac:dyDescent="0.3">
      <c r="B36" s="35"/>
      <c r="C36" s="70" t="s">
        <v>53</v>
      </c>
      <c r="D36" s="71"/>
      <c r="E36" s="1"/>
      <c r="F36" s="72" t="s">
        <v>75</v>
      </c>
      <c r="G36" s="73"/>
      <c r="H36" s="58" t="s">
        <v>84</v>
      </c>
      <c r="I36" s="3"/>
    </row>
    <row r="37" spans="2:9" ht="15.75" thickBot="1" x14ac:dyDescent="0.3">
      <c r="B37" s="31" t="s">
        <v>15</v>
      </c>
      <c r="C37" s="36" t="s">
        <v>16</v>
      </c>
      <c r="D37" s="37" t="s">
        <v>3</v>
      </c>
      <c r="E37" s="4"/>
      <c r="F37" s="5"/>
      <c r="G37" s="5"/>
      <c r="H37" s="5"/>
      <c r="I37" s="6"/>
    </row>
    <row r="38" spans="2:9" x14ac:dyDescent="0.25">
      <c r="B38" s="21" t="s">
        <v>54</v>
      </c>
      <c r="C38" s="67" t="s">
        <v>65</v>
      </c>
      <c r="D38" s="49">
        <f>COUNTIF($F$40:$I$45, "in")</f>
        <v>2</v>
      </c>
      <c r="E38" s="5"/>
      <c r="F38" s="74" t="s">
        <v>76</v>
      </c>
      <c r="G38" s="75"/>
      <c r="H38" s="75"/>
      <c r="I38" s="76"/>
    </row>
    <row r="39" spans="2:9" ht="15.75" thickBot="1" x14ac:dyDescent="0.3">
      <c r="B39" s="22" t="s">
        <v>55</v>
      </c>
      <c r="C39" s="68" t="s">
        <v>66</v>
      </c>
      <c r="D39" s="50">
        <f>COUNTIF($F$40:$I$45, "In")</f>
        <v>2</v>
      </c>
      <c r="E39" s="5"/>
      <c r="F39" s="77"/>
      <c r="G39" s="78"/>
      <c r="H39" s="78"/>
      <c r="I39" s="79"/>
    </row>
    <row r="40" spans="2:9" x14ac:dyDescent="0.25">
      <c r="B40" s="22" t="s">
        <v>56</v>
      </c>
      <c r="C40" s="68" t="s">
        <v>67</v>
      </c>
      <c r="D40" s="50">
        <f>COUNTIF($F$40:$I$45, "*In*")</f>
        <v>6</v>
      </c>
      <c r="E40" s="5"/>
      <c r="F40" s="59" t="s">
        <v>85</v>
      </c>
      <c r="G40" s="58" t="s">
        <v>98</v>
      </c>
      <c r="H40" s="58" t="s">
        <v>99</v>
      </c>
      <c r="I40" s="60" t="s">
        <v>92</v>
      </c>
    </row>
    <row r="41" spans="2:9" x14ac:dyDescent="0.25">
      <c r="B41" s="22" t="s">
        <v>100</v>
      </c>
      <c r="C41" s="68" t="s">
        <v>67</v>
      </c>
      <c r="D41" s="50">
        <f>COUNTIF($F$40:$I$45, "*" &amp; H36 &amp; "*")</f>
        <v>6</v>
      </c>
      <c r="E41" s="5"/>
      <c r="F41" s="61" t="s">
        <v>86</v>
      </c>
      <c r="G41" s="62" t="s">
        <v>97</v>
      </c>
      <c r="H41" s="62" t="str">
        <f>"9"</f>
        <v>9</v>
      </c>
      <c r="I41" s="63" t="s">
        <v>87</v>
      </c>
    </row>
    <row r="42" spans="2:9" x14ac:dyDescent="0.25">
      <c r="B42" s="22" t="s">
        <v>57</v>
      </c>
      <c r="C42" s="68" t="s">
        <v>68</v>
      </c>
      <c r="D42" s="50">
        <f>COUNTIF($F$40:$I$45, "In*")</f>
        <v>4</v>
      </c>
      <c r="E42" s="5"/>
      <c r="F42" s="61"/>
      <c r="G42" s="62" t="s">
        <v>96</v>
      </c>
      <c r="H42" s="62">
        <v>9</v>
      </c>
      <c r="I42" s="63"/>
    </row>
    <row r="43" spans="2:9" x14ac:dyDescent="0.25">
      <c r="B43" s="22" t="s">
        <v>58</v>
      </c>
      <c r="C43" s="68" t="s">
        <v>69</v>
      </c>
      <c r="D43" s="50">
        <f>COUNTIF($F$40:$I$45, "*In")</f>
        <v>3</v>
      </c>
      <c r="E43" s="5"/>
      <c r="F43" s="61" t="s">
        <v>84</v>
      </c>
      <c r="G43" s="62" t="s">
        <v>95</v>
      </c>
      <c r="H43" s="62" t="s">
        <v>94</v>
      </c>
      <c r="I43" s="63" t="b">
        <v>1</v>
      </c>
    </row>
    <row r="44" spans="2:9" x14ac:dyDescent="0.25">
      <c r="B44" s="22" t="s">
        <v>59</v>
      </c>
      <c r="C44" s="68" t="s">
        <v>70</v>
      </c>
      <c r="D44" s="50">
        <f>COUNTIF($F$40:$I$45, "*")</f>
        <v>19</v>
      </c>
      <c r="E44" s="5"/>
      <c r="F44" s="61"/>
      <c r="G44" s="62" t="s">
        <v>93</v>
      </c>
      <c r="H44" s="62" t="s">
        <v>82</v>
      </c>
      <c r="I44" s="63" t="s">
        <v>91</v>
      </c>
    </row>
    <row r="45" spans="2:9" ht="15.75" thickBot="1" x14ac:dyDescent="0.3">
      <c r="B45" s="22" t="s">
        <v>60</v>
      </c>
      <c r="C45" s="68" t="s">
        <v>70</v>
      </c>
      <c r="D45" s="50">
        <f>COUNTIF($F$40:$I$45, CHAR(42))</f>
        <v>19</v>
      </c>
      <c r="E45" s="5"/>
      <c r="F45" s="64" t="s">
        <v>87</v>
      </c>
      <c r="G45" s="65" t="s">
        <v>88</v>
      </c>
      <c r="H45" s="65" t="s">
        <v>89</v>
      </c>
      <c r="I45" s="66" t="s">
        <v>90</v>
      </c>
    </row>
    <row r="46" spans="2:9" x14ac:dyDescent="0.25">
      <c r="B46" s="22" t="s">
        <v>61</v>
      </c>
      <c r="C46" s="68" t="s">
        <v>71</v>
      </c>
      <c r="D46" s="50">
        <f>COUNTIFS($F$40:$I$45, "&gt;h", $F$40:$I$45, "&lt;s")</f>
        <v>7</v>
      </c>
      <c r="E46" s="5"/>
      <c r="F46" s="80" t="s">
        <v>77</v>
      </c>
      <c r="G46" s="80"/>
      <c r="H46" s="80"/>
      <c r="I46" s="81"/>
    </row>
    <row r="47" spans="2:9" x14ac:dyDescent="0.25">
      <c r="B47" s="22" t="s">
        <v>62</v>
      </c>
      <c r="C47" s="68" t="s">
        <v>72</v>
      </c>
      <c r="D47" s="50">
        <f>COUNTIF($F$40:$I$45, "*~?*")</f>
        <v>2</v>
      </c>
      <c r="E47" s="5"/>
      <c r="F47" s="5"/>
      <c r="G47" s="5"/>
      <c r="H47" s="5"/>
      <c r="I47" s="6"/>
    </row>
    <row r="48" spans="2:9" x14ac:dyDescent="0.25">
      <c r="B48" s="22" t="s">
        <v>63</v>
      </c>
      <c r="C48" s="68" t="s">
        <v>73</v>
      </c>
      <c r="D48" s="50">
        <f>COUNTIF($F$40:$I$45, "*In?")</f>
        <v>1</v>
      </c>
      <c r="E48" s="5"/>
      <c r="F48" s="5"/>
      <c r="G48" s="5"/>
      <c r="H48" s="5"/>
      <c r="I48" s="6"/>
    </row>
    <row r="49" spans="2:9" ht="15.75" thickBot="1" x14ac:dyDescent="0.3">
      <c r="B49" s="23" t="s">
        <v>64</v>
      </c>
      <c r="C49" s="69" t="s">
        <v>74</v>
      </c>
      <c r="D49" s="51">
        <f>COUNTIF($F$40:$I$45, "*~**")</f>
        <v>4</v>
      </c>
      <c r="E49" s="7"/>
      <c r="F49" s="7"/>
      <c r="G49" s="7"/>
      <c r="H49" s="7"/>
      <c r="I49" s="8"/>
    </row>
  </sheetData>
  <mergeCells count="8">
    <mergeCell ref="F10:I13"/>
    <mergeCell ref="F22:I22"/>
    <mergeCell ref="F30:G30"/>
    <mergeCell ref="C28:D28"/>
    <mergeCell ref="C36:D36"/>
    <mergeCell ref="F36:G36"/>
    <mergeCell ref="F38:I39"/>
    <mergeCell ref="F46:I46"/>
  </mergeCells>
  <pageMargins left="0.7" right="0.7" top="0.75" bottom="0.75" header="0.3" footer="0.3"/>
  <pageSetup scale="84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2020-09-11T22:51:21Z</cp:lastPrinted>
  <dcterms:created xsi:type="dcterms:W3CDTF">2020-09-08T19:32:38Z</dcterms:created>
  <dcterms:modified xsi:type="dcterms:W3CDTF">2020-09-11T22:54:16Z</dcterms:modified>
</cp:coreProperties>
</file>