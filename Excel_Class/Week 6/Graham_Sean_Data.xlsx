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6\"/>
    </mc:Choice>
  </mc:AlternateContent>
  <xr:revisionPtr revIDLastSave="0" documentId="8_{37B6D66B-DC8B-4A89-9D7F-6F6829ABE19B}" xr6:coauthVersionLast="45" xr6:coauthVersionMax="45" xr10:uidLastSave="{00000000-0000-0000-0000-000000000000}"/>
  <bookViews>
    <workbookView xWindow="810" yWindow="-120" windowWidth="19800" windowHeight="11760" activeTab="2" xr2:uid="{FC63A45A-CD1E-42CC-A174-2CB168F7146F}"/>
  </bookViews>
  <sheets>
    <sheet name="Data" sheetId="1" r:id="rId1"/>
    <sheet name="Data1" sheetId="2" r:id="rId2"/>
    <sheet name="Data2" sheetId="3" r:id="rId3"/>
  </sheets>
  <definedNames>
    <definedName name="_xlnm._FilterDatabase" localSheetId="0" hidden="1">Data!$A$5:$O$58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1" i="2"/>
  <c r="B12" i="2"/>
  <c r="B13" i="2"/>
  <c r="B14" i="2"/>
  <c r="B15" i="2"/>
  <c r="B11" i="3" s="1"/>
  <c r="B16" i="2"/>
  <c r="B17" i="2"/>
  <c r="B18" i="2"/>
  <c r="B19" i="2"/>
  <c r="B20" i="2"/>
  <c r="B21" i="2"/>
  <c r="B22" i="2"/>
  <c r="B18" i="3" s="1"/>
  <c r="B23" i="2"/>
  <c r="B19" i="3" s="1"/>
  <c r="B24" i="2"/>
  <c r="B25" i="2"/>
  <c r="B26" i="2"/>
  <c r="B27" i="2"/>
  <c r="B28" i="2"/>
  <c r="B29" i="2"/>
  <c r="B30" i="2"/>
  <c r="B26" i="3" s="1"/>
  <c r="B31" i="2"/>
  <c r="B27" i="3" s="1"/>
  <c r="B32" i="2"/>
  <c r="B33" i="2"/>
  <c r="B34" i="2"/>
  <c r="B35" i="2"/>
  <c r="B36" i="2"/>
  <c r="B37" i="2"/>
  <c r="B38" i="2"/>
  <c r="B39" i="2"/>
  <c r="B35" i="3" s="1"/>
  <c r="B40" i="2"/>
  <c r="B41" i="2"/>
  <c r="B42" i="2"/>
  <c r="B43" i="2"/>
  <c r="B44" i="2"/>
  <c r="B45" i="2"/>
  <c r="B46" i="2"/>
  <c r="B42" i="3" s="1"/>
  <c r="B47" i="2"/>
  <c r="B43" i="3" s="1"/>
  <c r="B48" i="2"/>
  <c r="B49" i="2"/>
  <c r="B50" i="2"/>
  <c r="B51" i="2"/>
  <c r="B52" i="2"/>
  <c r="B53" i="2"/>
  <c r="B54" i="2"/>
  <c r="B55" i="2"/>
  <c r="B51" i="3" s="1"/>
  <c r="B56" i="2"/>
  <c r="B57" i="2"/>
  <c r="B58" i="2"/>
  <c r="B54" i="3" s="1"/>
  <c r="B7" i="2"/>
  <c r="B3" i="3" s="1"/>
  <c r="B6" i="2"/>
  <c r="B2" i="3" s="1"/>
  <c r="N58" i="2"/>
  <c r="M58" i="2"/>
  <c r="O58" i="2" s="1"/>
  <c r="L58" i="2"/>
  <c r="O57" i="2"/>
  <c r="N57" i="2"/>
  <c r="M57" i="2"/>
  <c r="L57" i="2"/>
  <c r="N56" i="2"/>
  <c r="M56" i="2"/>
  <c r="O56" i="2" s="1"/>
  <c r="L56" i="2"/>
  <c r="O55" i="2"/>
  <c r="N55" i="2"/>
  <c r="M55" i="2"/>
  <c r="L55" i="2"/>
  <c r="N54" i="2"/>
  <c r="M54" i="2"/>
  <c r="O54" i="2" s="1"/>
  <c r="L54" i="2"/>
  <c r="O53" i="2"/>
  <c r="N53" i="2"/>
  <c r="M53" i="2"/>
  <c r="L53" i="2"/>
  <c r="N52" i="2"/>
  <c r="M52" i="2"/>
  <c r="O52" i="2" s="1"/>
  <c r="L52" i="2"/>
  <c r="O51" i="2"/>
  <c r="N51" i="2"/>
  <c r="M51" i="2"/>
  <c r="L51" i="2"/>
  <c r="N50" i="2"/>
  <c r="M50" i="2"/>
  <c r="O50" i="2" s="1"/>
  <c r="L50" i="2"/>
  <c r="O49" i="2"/>
  <c r="N49" i="2"/>
  <c r="M49" i="2"/>
  <c r="L49" i="2"/>
  <c r="N48" i="2"/>
  <c r="M48" i="2"/>
  <c r="O48" i="2" s="1"/>
  <c r="L48" i="2"/>
  <c r="O47" i="2"/>
  <c r="N47" i="2"/>
  <c r="M47" i="2"/>
  <c r="L47" i="2"/>
  <c r="N46" i="2"/>
  <c r="M46" i="2"/>
  <c r="O46" i="2" s="1"/>
  <c r="L46" i="2"/>
  <c r="O45" i="2"/>
  <c r="N45" i="2"/>
  <c r="M45" i="2"/>
  <c r="L45" i="2"/>
  <c r="N44" i="2"/>
  <c r="M44" i="2"/>
  <c r="O44" i="2" s="1"/>
  <c r="L44" i="2"/>
  <c r="O43" i="2"/>
  <c r="N43" i="2"/>
  <c r="M43" i="2"/>
  <c r="L43" i="2"/>
  <c r="N42" i="2"/>
  <c r="M42" i="2"/>
  <c r="O42" i="2" s="1"/>
  <c r="L42" i="2"/>
  <c r="O41" i="2"/>
  <c r="N41" i="2"/>
  <c r="M41" i="2"/>
  <c r="L41" i="2"/>
  <c r="N40" i="2"/>
  <c r="M40" i="2"/>
  <c r="O40" i="2" s="1"/>
  <c r="L40" i="2"/>
  <c r="O39" i="2"/>
  <c r="N39" i="2"/>
  <c r="M39" i="2"/>
  <c r="L39" i="2"/>
  <c r="N38" i="2"/>
  <c r="M38" i="2"/>
  <c r="O38" i="2" s="1"/>
  <c r="L38" i="2"/>
  <c r="O37" i="2"/>
  <c r="N37" i="2"/>
  <c r="M37" i="2"/>
  <c r="L37" i="2"/>
  <c r="N36" i="2"/>
  <c r="M36" i="2"/>
  <c r="O36" i="2" s="1"/>
  <c r="L36" i="2"/>
  <c r="O35" i="2"/>
  <c r="N35" i="2"/>
  <c r="M35" i="2"/>
  <c r="L35" i="2"/>
  <c r="N34" i="2"/>
  <c r="M34" i="2"/>
  <c r="O34" i="2" s="1"/>
  <c r="L34" i="2"/>
  <c r="O33" i="2"/>
  <c r="N33" i="2"/>
  <c r="M33" i="2"/>
  <c r="L33" i="2"/>
  <c r="N32" i="2"/>
  <c r="M32" i="2"/>
  <c r="O32" i="2" s="1"/>
  <c r="L32" i="2"/>
  <c r="O31" i="2"/>
  <c r="N31" i="2"/>
  <c r="M31" i="2"/>
  <c r="L31" i="2"/>
  <c r="N30" i="2"/>
  <c r="M30" i="2"/>
  <c r="O30" i="2" s="1"/>
  <c r="L30" i="2"/>
  <c r="O29" i="2"/>
  <c r="N29" i="2"/>
  <c r="M29" i="2"/>
  <c r="L29" i="2"/>
  <c r="N28" i="2"/>
  <c r="M28" i="2"/>
  <c r="O28" i="2" s="1"/>
  <c r="L28" i="2"/>
  <c r="O27" i="2"/>
  <c r="N27" i="2"/>
  <c r="M27" i="2"/>
  <c r="L27" i="2"/>
  <c r="N26" i="2"/>
  <c r="M26" i="2"/>
  <c r="O26" i="2" s="1"/>
  <c r="L26" i="2"/>
  <c r="O25" i="2"/>
  <c r="N25" i="2"/>
  <c r="M25" i="2"/>
  <c r="L25" i="2"/>
  <c r="N24" i="2"/>
  <c r="M24" i="2"/>
  <c r="O24" i="2" s="1"/>
  <c r="L24" i="2"/>
  <c r="O23" i="2"/>
  <c r="N23" i="2"/>
  <c r="M23" i="2"/>
  <c r="L23" i="2"/>
  <c r="N22" i="2"/>
  <c r="M22" i="2"/>
  <c r="O22" i="2" s="1"/>
  <c r="L22" i="2"/>
  <c r="O21" i="2"/>
  <c r="N21" i="2"/>
  <c r="M21" i="2"/>
  <c r="L21" i="2"/>
  <c r="N20" i="2"/>
  <c r="M20" i="2"/>
  <c r="O20" i="2" s="1"/>
  <c r="L20" i="2"/>
  <c r="O19" i="2"/>
  <c r="N19" i="2"/>
  <c r="M19" i="2"/>
  <c r="L19" i="2"/>
  <c r="N18" i="2"/>
  <c r="M18" i="2"/>
  <c r="O18" i="2" s="1"/>
  <c r="L18" i="2"/>
  <c r="O17" i="2"/>
  <c r="N17" i="2"/>
  <c r="M17" i="2"/>
  <c r="L17" i="2"/>
  <c r="N16" i="2"/>
  <c r="M16" i="2"/>
  <c r="O16" i="2" s="1"/>
  <c r="L16" i="2"/>
  <c r="O15" i="2"/>
  <c r="N15" i="2"/>
  <c r="M15" i="2"/>
  <c r="L15" i="2"/>
  <c r="N14" i="2"/>
  <c r="M14" i="2"/>
  <c r="O14" i="2" s="1"/>
  <c r="L14" i="2"/>
  <c r="O13" i="2"/>
  <c r="N13" i="2"/>
  <c r="M13" i="2"/>
  <c r="L13" i="2"/>
  <c r="N12" i="2"/>
  <c r="M12" i="2"/>
  <c r="O12" i="2" s="1"/>
  <c r="L12" i="2"/>
  <c r="O11" i="2"/>
  <c r="N11" i="2"/>
  <c r="M11" i="2"/>
  <c r="L11" i="2"/>
  <c r="N10" i="2"/>
  <c r="M10" i="2"/>
  <c r="O10" i="2" s="1"/>
  <c r="L10" i="2"/>
  <c r="O9" i="2"/>
  <c r="N9" i="2"/>
  <c r="M9" i="2"/>
  <c r="L9" i="2"/>
  <c r="N8" i="2"/>
  <c r="M8" i="2"/>
  <c r="O8" i="2" s="1"/>
  <c r="L8" i="2"/>
  <c r="O7" i="2"/>
  <c r="N7" i="2"/>
  <c r="M7" i="2"/>
  <c r="L7" i="2"/>
  <c r="N6" i="2"/>
  <c r="M6" i="2"/>
  <c r="O6" i="2" s="1"/>
  <c r="L6" i="2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B5" i="3"/>
  <c r="B8" i="3"/>
  <c r="B13" i="3"/>
  <c r="B16" i="3"/>
  <c r="B21" i="3"/>
  <c r="B24" i="3"/>
  <c r="B29" i="3"/>
  <c r="B32" i="3"/>
  <c r="B34" i="3"/>
  <c r="B37" i="3"/>
  <c r="B40" i="3"/>
  <c r="B45" i="3"/>
  <c r="B48" i="3"/>
  <c r="B50" i="3"/>
  <c r="B53" i="3"/>
  <c r="D2" i="3"/>
  <c r="C2" i="3"/>
  <c r="B4" i="3"/>
  <c r="B6" i="3"/>
  <c r="B7" i="3"/>
  <c r="B9" i="3"/>
  <c r="B10" i="3"/>
  <c r="B12" i="3"/>
  <c r="B14" i="3"/>
  <c r="B15" i="3"/>
  <c r="B17" i="3"/>
  <c r="B20" i="3"/>
  <c r="B22" i="3"/>
  <c r="B23" i="3"/>
  <c r="B25" i="3"/>
  <c r="B28" i="3"/>
  <c r="B30" i="3"/>
  <c r="B31" i="3"/>
  <c r="B33" i="3"/>
  <c r="B36" i="3"/>
  <c r="B38" i="3"/>
  <c r="B39" i="3"/>
  <c r="B41" i="3"/>
  <c r="B44" i="3"/>
  <c r="B46" i="3"/>
  <c r="B47" i="3"/>
  <c r="B49" i="3"/>
  <c r="B52" i="3"/>
  <c r="E3" i="3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F2" i="3"/>
  <c r="G2" i="3"/>
  <c r="E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2" i="3"/>
  <c r="N6" i="1" l="1"/>
  <c r="M6" i="1"/>
  <c r="O6" i="1" s="1"/>
  <c r="L6" i="1"/>
  <c r="N7" i="1"/>
  <c r="M7" i="1"/>
  <c r="O7" i="1" s="1"/>
  <c r="L7" i="1"/>
  <c r="N8" i="1"/>
  <c r="M8" i="1"/>
  <c r="O8" i="1" s="1"/>
  <c r="L8" i="1"/>
  <c r="N9" i="1"/>
  <c r="M9" i="1"/>
  <c r="O9" i="1" s="1"/>
  <c r="L9" i="1"/>
  <c r="N10" i="1"/>
  <c r="M10" i="1"/>
  <c r="O10" i="1" s="1"/>
  <c r="L10" i="1"/>
  <c r="N11" i="1"/>
  <c r="M11" i="1"/>
  <c r="O11" i="1" s="1"/>
  <c r="L11" i="1"/>
  <c r="N12" i="1"/>
  <c r="M12" i="1"/>
  <c r="O12" i="1" s="1"/>
  <c r="L12" i="1"/>
  <c r="N58" i="1"/>
  <c r="M58" i="1"/>
  <c r="O58" i="1" s="1"/>
  <c r="L58" i="1"/>
  <c r="N57" i="1"/>
  <c r="M57" i="1"/>
  <c r="O57" i="1" s="1"/>
  <c r="L57" i="1"/>
  <c r="N56" i="1"/>
  <c r="M56" i="1"/>
  <c r="O56" i="1" s="1"/>
  <c r="L56" i="1"/>
  <c r="N55" i="1"/>
  <c r="M55" i="1"/>
  <c r="O55" i="1" s="1"/>
  <c r="L55" i="1"/>
  <c r="N54" i="1"/>
  <c r="M54" i="1"/>
  <c r="O54" i="1" s="1"/>
  <c r="L54" i="1"/>
  <c r="N53" i="1"/>
  <c r="M53" i="1"/>
  <c r="O53" i="1" s="1"/>
  <c r="L53" i="1"/>
  <c r="N52" i="1"/>
  <c r="M52" i="1"/>
  <c r="O52" i="1" s="1"/>
  <c r="L52" i="1"/>
  <c r="N51" i="1"/>
  <c r="M51" i="1"/>
  <c r="O51" i="1" s="1"/>
  <c r="L51" i="1"/>
  <c r="N50" i="1"/>
  <c r="M50" i="1"/>
  <c r="O50" i="1" s="1"/>
  <c r="L50" i="1"/>
  <c r="N49" i="1"/>
  <c r="M49" i="1"/>
  <c r="O49" i="1" s="1"/>
  <c r="L49" i="1"/>
  <c r="N48" i="1"/>
  <c r="M48" i="1"/>
  <c r="O48" i="1" s="1"/>
  <c r="L48" i="1"/>
  <c r="N47" i="1"/>
  <c r="M47" i="1"/>
  <c r="O47" i="1" s="1"/>
  <c r="L47" i="1"/>
  <c r="N46" i="1"/>
  <c r="M46" i="1"/>
  <c r="O46" i="1" s="1"/>
  <c r="L46" i="1"/>
  <c r="N45" i="1"/>
  <c r="M45" i="1"/>
  <c r="O45" i="1" s="1"/>
  <c r="L45" i="1"/>
  <c r="N44" i="1"/>
  <c r="M44" i="1"/>
  <c r="O44" i="1" s="1"/>
  <c r="L44" i="1"/>
  <c r="N43" i="1"/>
  <c r="M43" i="1"/>
  <c r="O43" i="1" s="1"/>
  <c r="L43" i="1"/>
  <c r="N42" i="1"/>
  <c r="M42" i="1"/>
  <c r="O42" i="1" s="1"/>
  <c r="L42" i="1"/>
  <c r="N41" i="1"/>
  <c r="M41" i="1"/>
  <c r="O41" i="1" s="1"/>
  <c r="L41" i="1"/>
  <c r="N40" i="1"/>
  <c r="M40" i="1"/>
  <c r="O40" i="1" s="1"/>
  <c r="L40" i="1"/>
  <c r="N39" i="1"/>
  <c r="M39" i="1"/>
  <c r="O39" i="1" s="1"/>
  <c r="L39" i="1"/>
  <c r="N38" i="1"/>
  <c r="M38" i="1"/>
  <c r="O38" i="1" s="1"/>
  <c r="L38" i="1"/>
  <c r="N37" i="1"/>
  <c r="M37" i="1"/>
  <c r="O37" i="1" s="1"/>
  <c r="L37" i="1"/>
  <c r="N36" i="1"/>
  <c r="M36" i="1"/>
  <c r="O36" i="1" s="1"/>
  <c r="L36" i="1"/>
  <c r="N35" i="1"/>
  <c r="M35" i="1"/>
  <c r="O35" i="1" s="1"/>
  <c r="L35" i="1"/>
  <c r="N34" i="1"/>
  <c r="M34" i="1"/>
  <c r="O34" i="1" s="1"/>
  <c r="L34" i="1"/>
  <c r="N33" i="1"/>
  <c r="M33" i="1"/>
  <c r="O33" i="1" s="1"/>
  <c r="L33" i="1"/>
  <c r="N32" i="1"/>
  <c r="M32" i="1"/>
  <c r="O32" i="1" s="1"/>
  <c r="L32" i="1"/>
  <c r="N31" i="1"/>
  <c r="M31" i="1"/>
  <c r="O31" i="1" s="1"/>
  <c r="L31" i="1"/>
  <c r="N30" i="1"/>
  <c r="M30" i="1"/>
  <c r="O30" i="1" s="1"/>
  <c r="L30" i="1"/>
  <c r="N29" i="1"/>
  <c r="M29" i="1"/>
  <c r="O29" i="1" s="1"/>
  <c r="L29" i="1"/>
  <c r="N28" i="1"/>
  <c r="M28" i="1"/>
  <c r="O28" i="1" s="1"/>
  <c r="L28" i="1"/>
  <c r="N27" i="1"/>
  <c r="M27" i="1"/>
  <c r="O27" i="1" s="1"/>
  <c r="L27" i="1"/>
  <c r="N26" i="1"/>
  <c r="M26" i="1"/>
  <c r="O26" i="1" s="1"/>
  <c r="L26" i="1"/>
  <c r="N25" i="1"/>
  <c r="M25" i="1"/>
  <c r="O25" i="1" s="1"/>
  <c r="L25" i="1"/>
  <c r="N24" i="1"/>
  <c r="M24" i="1"/>
  <c r="O24" i="1" s="1"/>
  <c r="L24" i="1"/>
  <c r="N23" i="1"/>
  <c r="M23" i="1"/>
  <c r="O23" i="1" s="1"/>
  <c r="L23" i="1"/>
  <c r="N22" i="1"/>
  <c r="M22" i="1"/>
  <c r="O22" i="1" s="1"/>
  <c r="L22" i="1"/>
  <c r="N21" i="1"/>
  <c r="M21" i="1"/>
  <c r="O21" i="1" s="1"/>
  <c r="L21" i="1"/>
  <c r="N20" i="1"/>
  <c r="M20" i="1"/>
  <c r="O20" i="1" s="1"/>
  <c r="L20" i="1"/>
  <c r="N19" i="1"/>
  <c r="M19" i="1"/>
  <c r="O19" i="1" s="1"/>
  <c r="L19" i="1"/>
  <c r="N18" i="1"/>
  <c r="M18" i="1"/>
  <c r="O18" i="1" s="1"/>
  <c r="L18" i="1"/>
  <c r="N17" i="1"/>
  <c r="M17" i="1"/>
  <c r="O17" i="1" s="1"/>
  <c r="L17" i="1"/>
  <c r="N16" i="1"/>
  <c r="M16" i="1"/>
  <c r="O16" i="1" s="1"/>
  <c r="L16" i="1"/>
  <c r="N15" i="1"/>
  <c r="M15" i="1"/>
  <c r="O15" i="1" s="1"/>
  <c r="L15" i="1"/>
  <c r="N14" i="1"/>
  <c r="M14" i="1"/>
  <c r="O14" i="1" s="1"/>
  <c r="L14" i="1"/>
  <c r="N13" i="1"/>
  <c r="M13" i="1"/>
  <c r="O13" i="1" s="1"/>
  <c r="L13" i="1"/>
</calcChain>
</file>

<file path=xl/sharedStrings.xml><?xml version="1.0" encoding="utf-8"?>
<sst xmlns="http://schemas.openxmlformats.org/spreadsheetml/2006/main" count="298" uniqueCount="70">
  <si>
    <t>Employee Data Provided for the 2015 valuation</t>
  </si>
  <si>
    <t>valuation date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</si>
  <si>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</si>
  <si>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</si>
  <si>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</si>
  <si>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</si>
  <si>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</si>
  <si>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</si>
  <si>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</si>
  <si>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</si>
  <si>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</si>
  <si>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</si>
  <si>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</si>
  <si>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</si>
  <si>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</si>
  <si>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</si>
  <si>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</si>
  <si>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Lee, Gordon</t>
  </si>
  <si>
    <t>R</t>
  </si>
  <si>
    <t>Clinton, Bills</t>
  </si>
  <si>
    <t>Jordon, Hillary</t>
  </si>
  <si>
    <t>V</t>
  </si>
  <si>
    <t>Jobs, Benjamin</t>
  </si>
  <si>
    <t>A</t>
  </si>
  <si>
    <t>Larson, George</t>
  </si>
  <si>
    <t>Larson, Chris</t>
  </si>
  <si>
    <t>Wang, Eric</t>
  </si>
  <si>
    <t>Shapiro, Amanda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</si>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</sst>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mm/dd/yy;@"/>
    <numFmt numFmtId="166" formatCode="mm/dd/yyyy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2"/>
    <xf numFmtId="0" fontId="3" fillId="0" borderId="0" xfId="3"/>
    <xf numFmtId="0" fontId="4" fillId="0" borderId="0" xfId="2" applyFont="1"/>
    <xf numFmtId="164" fontId="2" fillId="0" borderId="0" xfId="2" applyNumberFormat="1"/>
    <xf numFmtId="14" fontId="3" fillId="2" borderId="0" xfId="3" applyNumberFormat="1" applyFill="1"/>
    <xf numFmtId="14" fontId="2" fillId="0" borderId="0" xfId="2" applyNumberFormat="1"/>
    <xf numFmtId="0" fontId="5" fillId="3" borderId="1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165" fontId="5" fillId="3" borderId="2" xfId="3" applyNumberFormat="1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 wrapText="1"/>
    </xf>
    <xf numFmtId="0" fontId="5" fillId="3" borderId="3" xfId="3" applyFont="1" applyFill="1" applyBorder="1" applyAlignment="1">
      <alignment horizontal="center"/>
    </xf>
    <xf numFmtId="0" fontId="3" fillId="4" borderId="4" xfId="3" applyFill="1" applyBorder="1" applyAlignment="1">
      <alignment horizontal="center"/>
    </xf>
    <xf numFmtId="0" fontId="3" fillId="4" borderId="0" xfId="3" applyFill="1"/>
    <xf numFmtId="166" fontId="3" fillId="4" borderId="4" xfId="3" applyNumberFormat="1" applyFill="1" applyBorder="1" applyAlignment="1">
      <alignment horizontal="center"/>
    </xf>
    <xf numFmtId="167" fontId="0" fillId="4" borderId="4" xfId="4" applyNumberFormat="1" applyFont="1" applyFill="1" applyBorder="1"/>
    <xf numFmtId="164" fontId="3" fillId="0" borderId="0" xfId="3" applyNumberFormat="1"/>
    <xf numFmtId="167" fontId="3" fillId="0" borderId="0" xfId="3" applyNumberFormat="1"/>
    <xf numFmtId="10" fontId="3" fillId="0" borderId="0" xfId="1" applyNumberFormat="1" applyFont="1"/>
    <xf numFmtId="0" fontId="3" fillId="2" borderId="4" xfId="3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Comma 2" xfId="4" xr:uid="{E868C869-8665-49CC-B38B-8D36BD5993E6}"/>
    <cellStyle name="Normal" xfId="0" builtinId="0"/>
    <cellStyle name="Normal 2" xfId="3" xr:uid="{D2F56D23-EACD-42DE-ADB8-A8EF3870F77F}"/>
    <cellStyle name="Normal 3" xfId="2" xr:uid="{2883905E-A86B-463C-825C-4594E2841B0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6747-9EB5-455C-9455-F036418E9742}">
  <dimension ref="A1:O58"/>
  <sheetViews>
    <sheetView workbookViewId="0">
      <selection activeCell="C15" sqref="C15"/>
    </sheetView>
  </sheetViews>
  <sheetFormatPr defaultRowHeight="15" x14ac:dyDescent="0.25"/>
  <cols>
    <col min="2" max="2" width="20" customWidth="1"/>
    <col min="3" max="4" width="11.42578125" customWidth="1"/>
    <col min="5" max="9" width="10.7109375" customWidth="1"/>
    <col min="14" max="15" width="14.285156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5.75" x14ac:dyDescent="0.25">
      <c r="A2" s="3" t="s">
        <v>0</v>
      </c>
      <c r="B2" s="1"/>
      <c r="C2" s="1"/>
      <c r="D2" s="1"/>
      <c r="E2" s="1"/>
      <c r="F2" s="1"/>
      <c r="G2" s="1"/>
      <c r="H2" s="1"/>
      <c r="I2" s="1"/>
      <c r="J2" s="4"/>
      <c r="K2" s="1"/>
      <c r="L2" s="1"/>
      <c r="M2" s="1"/>
      <c r="N2" s="1"/>
      <c r="O2" s="2"/>
    </row>
    <row r="3" spans="1:15" x14ac:dyDescent="0.25">
      <c r="A3" s="1" t="s">
        <v>1</v>
      </c>
      <c r="B3" s="1"/>
      <c r="C3" s="5">
        <v>42005</v>
      </c>
      <c r="D3" s="1"/>
      <c r="E3" s="1"/>
      <c r="F3" s="1"/>
      <c r="G3" s="1"/>
      <c r="H3" s="1"/>
      <c r="I3" s="1"/>
      <c r="J3" s="6"/>
      <c r="K3" s="6"/>
      <c r="L3" s="1"/>
      <c r="M3" s="1"/>
      <c r="N3" s="1"/>
      <c r="O3" s="2"/>
    </row>
    <row r="4" spans="1:15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1.5" customHeight="1" x14ac:dyDescent="0.25">
      <c r="A5" s="7" t="s">
        <v>2</v>
      </c>
      <c r="B5" s="8" t="s">
        <v>3</v>
      </c>
      <c r="C5" s="9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0" t="s">
        <v>9</v>
      </c>
      <c r="I5" s="10" t="s">
        <v>10</v>
      </c>
      <c r="J5" s="10" t="s">
        <v>11</v>
      </c>
      <c r="K5" s="10" t="s">
        <v>12</v>
      </c>
      <c r="L5" s="8" t="s">
        <v>13</v>
      </c>
      <c r="M5" s="8" t="s">
        <v>14</v>
      </c>
      <c r="N5" s="11" t="s">
        <v>15</v>
      </c>
      <c r="O5" s="11" t="s">
        <v>16</v>
      </c>
    </row>
    <row r="6" spans="1:15" x14ac:dyDescent="0.25">
      <c r="A6" s="19">
        <v>123451</v>
      </c>
      <c r="B6" s="13" t="s">
        <v>17</v>
      </c>
      <c r="C6" s="14">
        <v>13789</v>
      </c>
      <c r="D6" s="14">
        <v>37462</v>
      </c>
      <c r="E6" s="15"/>
      <c r="F6" s="15"/>
      <c r="G6" s="15"/>
      <c r="H6" s="14">
        <v>37530</v>
      </c>
      <c r="I6" s="15">
        <v>7800</v>
      </c>
      <c r="J6" s="12" t="s">
        <v>18</v>
      </c>
      <c r="K6" s="12" t="s">
        <v>18</v>
      </c>
      <c r="L6" s="16">
        <f>(YEAR($C$3)-YEAR(C6))+(MONTH($C$3)-MONTH(C6))/12+(DAY($C$3)-DAY(C6))/365</f>
        <v>77.25</v>
      </c>
      <c r="M6" s="16">
        <f>(YEAR($C$3)-YEAR(D6))+(MONTH($C$3)-MONTH(D6))/12+(DAY($C$3)-DAY(D6))/365</f>
        <v>12.434246575342465</v>
      </c>
      <c r="N6" s="17" t="str">
        <f>IF(AND(E6="",F6="",G6=""),"",AVERAGE(E6:G6))</f>
        <v/>
      </c>
      <c r="O6" s="18" t="str">
        <f>IF(OR(M6&lt;2,E6="",F6=""),"",E6/F6-1)</f>
        <v/>
      </c>
    </row>
    <row r="7" spans="1:15" x14ac:dyDescent="0.25">
      <c r="A7" s="19">
        <v>123465</v>
      </c>
      <c r="B7" s="13" t="s">
        <v>19</v>
      </c>
      <c r="C7" s="14">
        <v>16803</v>
      </c>
      <c r="D7" s="14">
        <v>37462</v>
      </c>
      <c r="E7" s="15"/>
      <c r="F7" s="15"/>
      <c r="G7" s="15"/>
      <c r="H7" s="14">
        <v>40544</v>
      </c>
      <c r="I7" s="15">
        <v>10349</v>
      </c>
      <c r="J7" s="12" t="s">
        <v>18</v>
      </c>
      <c r="K7" s="12" t="s">
        <v>18</v>
      </c>
      <c r="L7" s="16">
        <f>(YEAR($C$3)-YEAR(C7))+(MONTH($C$3)-MONTH(C7))/12+(DAY($C$3)-DAY(C7))/365</f>
        <v>69</v>
      </c>
      <c r="M7" s="16">
        <f>(YEAR($C$3)-YEAR(D7))+(MONTH($C$3)-MONTH(D7))/12+(DAY($C$3)-DAY(D7))/365</f>
        <v>12.434246575342465</v>
      </c>
      <c r="N7" s="17" t="str">
        <f>IF(AND(E7="",F7="",G7=""),"",AVERAGE(E7:G7))</f>
        <v/>
      </c>
      <c r="O7" s="18" t="str">
        <f>IF(OR(M7&lt;2,E7="",F7=""),"",E7/F7-1)</f>
        <v/>
      </c>
    </row>
    <row r="8" spans="1:15" x14ac:dyDescent="0.25">
      <c r="A8" s="19">
        <v>123466</v>
      </c>
      <c r="B8" s="13" t="s">
        <v>20</v>
      </c>
      <c r="C8" s="14">
        <v>22098</v>
      </c>
      <c r="D8" s="14">
        <v>37462</v>
      </c>
      <c r="E8" s="15"/>
      <c r="F8" s="15"/>
      <c r="G8" s="15"/>
      <c r="H8" s="14">
        <v>45839</v>
      </c>
      <c r="I8" s="15">
        <v>15804</v>
      </c>
      <c r="J8" s="12" t="s">
        <v>21</v>
      </c>
      <c r="K8" s="12" t="s">
        <v>21</v>
      </c>
      <c r="L8" s="16">
        <f>(YEAR($C$3)-YEAR(C8))+(MONTH($C$3)-MONTH(C8))/12+(DAY($C$3)-DAY(C8))/365</f>
        <v>54.5</v>
      </c>
      <c r="M8" s="16">
        <f>(YEAR($C$3)-YEAR(D8))+(MONTH($C$3)-MONTH(D8))/12+(DAY($C$3)-DAY(D8))/365</f>
        <v>12.434246575342465</v>
      </c>
      <c r="N8" s="17" t="str">
        <f>IF(AND(E8="",F8="",G8=""),"",AVERAGE(E8:G8))</f>
        <v/>
      </c>
      <c r="O8" s="18" t="str">
        <f>IF(OR(M8&lt;2,E8="",F8=""),"",E8/F8-1)</f>
        <v/>
      </c>
    </row>
    <row r="9" spans="1:15" x14ac:dyDescent="0.25">
      <c r="A9" s="19">
        <v>123472</v>
      </c>
      <c r="B9" s="13" t="s">
        <v>22</v>
      </c>
      <c r="C9" s="14">
        <v>19725</v>
      </c>
      <c r="D9" s="14">
        <v>37462</v>
      </c>
      <c r="E9" s="15"/>
      <c r="F9" s="15"/>
      <c r="G9" s="15"/>
      <c r="H9" s="14">
        <v>43466</v>
      </c>
      <c r="I9" s="15">
        <v>5840</v>
      </c>
      <c r="J9" s="12" t="s">
        <v>21</v>
      </c>
      <c r="K9" s="12" t="s">
        <v>23</v>
      </c>
      <c r="L9" s="16">
        <f>(YEAR($C$3)-YEAR(C9))+(MONTH($C$3)-MONTH(C9))/12+(DAY($C$3)-DAY(C9))/365</f>
        <v>61</v>
      </c>
      <c r="M9" s="16">
        <f>(YEAR($C$3)-YEAR(D9))+(MONTH($C$3)-MONTH(D9))/12+(DAY($C$3)-DAY(D9))/365</f>
        <v>12.434246575342465</v>
      </c>
      <c r="N9" s="17" t="str">
        <f>IF(AND(E9="",F9="",G9=""),"",AVERAGE(E9:G9))</f>
        <v/>
      </c>
      <c r="O9" s="18" t="str">
        <f>IF(OR(M9&lt;2,E9="",F9=""),"",E9/F9-1)</f>
        <v/>
      </c>
    </row>
    <row r="10" spans="1:15" x14ac:dyDescent="0.25">
      <c r="A10" s="19">
        <v>123484</v>
      </c>
      <c r="B10" s="13" t="s">
        <v>24</v>
      </c>
      <c r="C10" s="14">
        <v>18203</v>
      </c>
      <c r="D10" s="14">
        <v>37462</v>
      </c>
      <c r="E10" s="15"/>
      <c r="F10" s="15"/>
      <c r="G10" s="15"/>
      <c r="H10" s="14">
        <v>41944</v>
      </c>
      <c r="I10" s="15">
        <v>9625</v>
      </c>
      <c r="J10" s="12" t="s">
        <v>18</v>
      </c>
      <c r="K10" s="12" t="s">
        <v>23</v>
      </c>
      <c r="L10" s="16">
        <f>(YEAR($C$3)-YEAR(C10))+(MONTH($C$3)-MONTH(C10))/12+(DAY($C$3)-DAY(C10))/365</f>
        <v>65.166666666666671</v>
      </c>
      <c r="M10" s="16">
        <f>(YEAR($C$3)-YEAR(D10))+(MONTH($C$3)-MONTH(D10))/12+(DAY($C$3)-DAY(D10))/365</f>
        <v>12.434246575342465</v>
      </c>
      <c r="N10" s="17" t="str">
        <f>IF(AND(E10="",F10="",G10=""),"",AVERAGE(E10:G10))</f>
        <v/>
      </c>
      <c r="O10" s="18" t="str">
        <f>IF(OR(M10&lt;2,E10="",F10=""),"",E10/F10-1)</f>
        <v/>
      </c>
    </row>
    <row r="11" spans="1:15" x14ac:dyDescent="0.25">
      <c r="A11" s="19">
        <v>123485</v>
      </c>
      <c r="B11" s="13" t="s">
        <v>25</v>
      </c>
      <c r="C11" s="14">
        <v>16254</v>
      </c>
      <c r="D11" s="14">
        <v>37462</v>
      </c>
      <c r="E11" s="15"/>
      <c r="F11" s="15"/>
      <c r="G11" s="15"/>
      <c r="H11" s="14">
        <v>39995</v>
      </c>
      <c r="I11" s="15">
        <v>18047</v>
      </c>
      <c r="J11" s="12" t="s">
        <v>18</v>
      </c>
      <c r="K11" s="12" t="s">
        <v>18</v>
      </c>
      <c r="L11" s="16">
        <f>(YEAR($C$3)-YEAR(C11))+(MONTH($C$3)-MONTH(C11))/12+(DAY($C$3)-DAY(C11))/365</f>
        <v>70.5</v>
      </c>
      <c r="M11" s="16">
        <f>(YEAR($C$3)-YEAR(D11))+(MONTH($C$3)-MONTH(D11))/12+(DAY($C$3)-DAY(D11))/365</f>
        <v>12.434246575342465</v>
      </c>
      <c r="N11" s="17" t="str">
        <f>IF(AND(E11="",F11="",G11=""),"",AVERAGE(E11:G11))</f>
        <v/>
      </c>
      <c r="O11" s="18" t="str">
        <f>IF(OR(M11&lt;2,E11="",F11=""),"",E11/F11-1)</f>
        <v/>
      </c>
    </row>
    <row r="12" spans="1:15" x14ac:dyDescent="0.25">
      <c r="A12" s="19">
        <v>123486</v>
      </c>
      <c r="B12" s="13" t="s">
        <v>26</v>
      </c>
      <c r="C12" s="14">
        <v>19725</v>
      </c>
      <c r="D12" s="14">
        <v>37462</v>
      </c>
      <c r="E12" s="15"/>
      <c r="F12" s="15"/>
      <c r="G12" s="15"/>
      <c r="H12" s="14">
        <v>43466</v>
      </c>
      <c r="I12" s="15">
        <v>8990</v>
      </c>
      <c r="J12" s="12" t="s">
        <v>21</v>
      </c>
      <c r="K12" s="12" t="s">
        <v>21</v>
      </c>
      <c r="L12" s="16">
        <f>(YEAR($C$3)-YEAR(C12))+(MONTH($C$3)-MONTH(C12))/12+(DAY($C$3)-DAY(C12))/365</f>
        <v>61</v>
      </c>
      <c r="M12" s="16">
        <f>(YEAR($C$3)-YEAR(D12))+(MONTH($C$3)-MONTH(D12))/12+(DAY($C$3)-DAY(D12))/365</f>
        <v>12.434246575342465</v>
      </c>
      <c r="N12" s="17" t="str">
        <f>IF(AND(E12="",F12="",G12=""),"",AVERAGE(E12:G12))</f>
        <v/>
      </c>
      <c r="O12" s="18" t="str">
        <f>IF(OR(M12&lt;2,E12="",F12=""),"",E12/F12-1)</f>
        <v/>
      </c>
    </row>
    <row r="13" spans="1:15" x14ac:dyDescent="0.25">
      <c r="A13" s="12">
        <v>123491</v>
      </c>
      <c r="B13" s="13" t="s">
        <v>27</v>
      </c>
      <c r="C13" s="14">
        <v>24017</v>
      </c>
      <c r="D13" s="14">
        <v>34809</v>
      </c>
      <c r="E13" s="15">
        <v>250000</v>
      </c>
      <c r="F13" s="15">
        <v>230000</v>
      </c>
      <c r="G13" s="15">
        <v>210000</v>
      </c>
      <c r="H13" s="14"/>
      <c r="I13" s="15"/>
      <c r="J13" s="12" t="s">
        <v>23</v>
      </c>
      <c r="K13" s="12" t="s">
        <v>23</v>
      </c>
      <c r="L13" s="16">
        <f>(YEAR($C$3)-YEAR(C13))+(MONTH($C$3)-MONTH(C13))/12+(DAY($C$3)-DAY(C13))/365</f>
        <v>49.2472602739726</v>
      </c>
      <c r="M13" s="16">
        <f>(YEAR($C$3)-YEAR(D13))+(MONTH($C$3)-MONTH(D13))/12+(DAY($C$3)-DAY(D13))/365</f>
        <v>19.697945205479453</v>
      </c>
      <c r="N13" s="17">
        <f>IF(AND(E13="",F13="",G13=""),"",AVERAGE(E13:G13))</f>
        <v>230000</v>
      </c>
      <c r="O13" s="18">
        <f>IF(OR(M13&lt;2,E13="",F13=""),"",E13/F13-1)</f>
        <v>8.6956521739130377E-2</v>
      </c>
    </row>
    <row r="14" spans="1:15" x14ac:dyDescent="0.25">
      <c r="A14" s="12">
        <v>144983</v>
      </c>
      <c r="B14" s="13" t="s">
        <v>28</v>
      </c>
      <c r="C14" s="14">
        <v>27601</v>
      </c>
      <c r="D14" s="14">
        <v>38001</v>
      </c>
      <c r="E14" s="15">
        <v>99000</v>
      </c>
      <c r="F14" s="15">
        <v>94300</v>
      </c>
      <c r="G14" s="15">
        <v>89800</v>
      </c>
      <c r="H14" s="14"/>
      <c r="I14" s="15"/>
      <c r="J14" s="12" t="s">
        <v>23</v>
      </c>
      <c r="K14" s="12" t="s">
        <v>23</v>
      </c>
      <c r="L14" s="16">
        <f>(YEAR($C$3)-YEAR(C14))+(MONTH($C$3)-MONTH(C14))/12+(DAY($C$3)-DAY(C14))/365</f>
        <v>39.43150684931507</v>
      </c>
      <c r="M14" s="16">
        <f>(YEAR($C$3)-YEAR(D14))+(MONTH($C$3)-MONTH(D14))/12+(DAY($C$3)-DAY(D14))/365</f>
        <v>10.961643835616439</v>
      </c>
      <c r="N14" s="17">
        <f>IF(AND(E14="",F14="",G14=""),"",AVERAGE(E14:G14))</f>
        <v>94366.666666666672</v>
      </c>
      <c r="O14" s="18">
        <f>IF(OR(M14&lt;2,E14="",F14=""),"",E14/F14-1)</f>
        <v>4.9840933191940717E-2</v>
      </c>
    </row>
    <row r="15" spans="1:15" x14ac:dyDescent="0.25">
      <c r="A15" s="12">
        <v>187427</v>
      </c>
      <c r="B15" s="13" t="s">
        <v>29</v>
      </c>
      <c r="C15" s="14">
        <v>21170</v>
      </c>
      <c r="D15" s="14">
        <v>37975</v>
      </c>
      <c r="E15" s="15">
        <v>98000</v>
      </c>
      <c r="F15" s="15">
        <v>93300</v>
      </c>
      <c r="G15" s="15">
        <v>88900</v>
      </c>
      <c r="H15" s="14"/>
      <c r="I15" s="15"/>
      <c r="J15" s="12" t="s">
        <v>23</v>
      </c>
      <c r="K15" s="12" t="s">
        <v>23</v>
      </c>
      <c r="L15" s="16">
        <f>(YEAR($C$3)-YEAR(C15))+(MONTH($C$3)-MONTH(C15))/12+(DAY($C$3)-DAY(C15))/365</f>
        <v>57.042237442922378</v>
      </c>
      <c r="M15" s="16">
        <f>(YEAR($C$3)-YEAR(D15))+(MONTH($C$3)-MONTH(D15))/12+(DAY($C$3)-DAY(D15))/365</f>
        <v>11.031278538812787</v>
      </c>
      <c r="N15" s="17">
        <f>IF(AND(E15="",F15="",G15=""),"",AVERAGE(E15:G15))</f>
        <v>93400</v>
      </c>
      <c r="O15" s="18">
        <f>IF(OR(M15&lt;2,E15="",F15=""),"",E15/F15-1)</f>
        <v>5.0375133976420239E-2</v>
      </c>
    </row>
    <row r="16" spans="1:15" x14ac:dyDescent="0.25">
      <c r="A16" s="12">
        <v>189508</v>
      </c>
      <c r="B16" s="13" t="s">
        <v>30</v>
      </c>
      <c r="C16" s="14">
        <v>30229</v>
      </c>
      <c r="D16" s="14">
        <v>35020</v>
      </c>
      <c r="E16" s="15">
        <v>97000</v>
      </c>
      <c r="F16" s="15">
        <v>92400</v>
      </c>
      <c r="G16" s="15">
        <v>88000</v>
      </c>
      <c r="H16" s="14"/>
      <c r="I16" s="15"/>
      <c r="J16" s="12" t="s">
        <v>23</v>
      </c>
      <c r="K16" s="12" t="s">
        <v>23</v>
      </c>
      <c r="L16" s="16">
        <f>(YEAR($C$3)-YEAR(C16))+(MONTH($C$3)-MONTH(C16))/12+(DAY($C$3)-DAY(C16))/365</f>
        <v>32.239041095890414</v>
      </c>
      <c r="M16" s="16">
        <f>(YEAR($C$3)-YEAR(D16))+(MONTH($C$3)-MONTH(D16))/12+(DAY($C$3)-DAY(D16))/365</f>
        <v>19.12283105022831</v>
      </c>
      <c r="N16" s="17">
        <f>IF(AND(E16="",F16="",G16=""),"",AVERAGE(E16:G16))</f>
        <v>92466.666666666672</v>
      </c>
      <c r="O16" s="18">
        <f>IF(OR(M16&lt;2,E16="",F16=""),"",E16/F16-1)</f>
        <v>4.9783549783549708E-2</v>
      </c>
    </row>
    <row r="17" spans="1:15" x14ac:dyDescent="0.25">
      <c r="A17" s="12">
        <v>199741</v>
      </c>
      <c r="B17" s="13" t="s">
        <v>31</v>
      </c>
      <c r="C17" s="14">
        <v>16439</v>
      </c>
      <c r="D17" s="14">
        <v>35929</v>
      </c>
      <c r="E17" s="15">
        <v>96000</v>
      </c>
      <c r="F17" s="15">
        <v>91400</v>
      </c>
      <c r="G17" s="15">
        <v>87100</v>
      </c>
      <c r="H17" s="14"/>
      <c r="I17" s="15"/>
      <c r="J17" s="12" t="s">
        <v>23</v>
      </c>
      <c r="K17" s="12" t="s">
        <v>23</v>
      </c>
      <c r="L17" s="16">
        <f>(YEAR($C$3)-YEAR(C17))+(MONTH($C$3)-MONTH(C17))/12+(DAY($C$3)-DAY(C17))/365</f>
        <v>69.9972602739726</v>
      </c>
      <c r="M17" s="16">
        <f>(YEAR($C$3)-YEAR(D17))+(MONTH($C$3)-MONTH(D17))/12+(DAY($C$3)-DAY(D17))/365</f>
        <v>16.631050228310503</v>
      </c>
      <c r="N17" s="17">
        <f>IF(AND(E17="",F17="",G17=""),"",AVERAGE(E17:G17))</f>
        <v>91500</v>
      </c>
      <c r="O17" s="18">
        <f>IF(OR(M17&lt;2,E17="",F17=""),"",E17/F17-1)</f>
        <v>5.032822757111588E-2</v>
      </c>
    </row>
    <row r="18" spans="1:15" x14ac:dyDescent="0.25">
      <c r="A18" s="12">
        <v>205217</v>
      </c>
      <c r="B18" s="13" t="s">
        <v>32</v>
      </c>
      <c r="C18" s="14">
        <v>17620</v>
      </c>
      <c r="D18" s="14">
        <v>34867</v>
      </c>
      <c r="E18" s="15">
        <v>95000</v>
      </c>
      <c r="F18" s="15">
        <v>90500</v>
      </c>
      <c r="G18" s="15">
        <v>86200</v>
      </c>
      <c r="H18" s="14"/>
      <c r="I18" s="15"/>
      <c r="J18" s="12" t="s">
        <v>23</v>
      </c>
      <c r="K18" s="12" t="s">
        <v>23</v>
      </c>
      <c r="L18" s="16">
        <f>(YEAR($C$3)-YEAR(C18))+(MONTH($C$3)-MONTH(C18))/12+(DAY($C$3)-DAY(C18))/365</f>
        <v>66.759360730593599</v>
      </c>
      <c r="M18" s="16">
        <f>(YEAR($C$3)-YEAR(D18))+(MONTH($C$3)-MONTH(D18))/12+(DAY($C$3)-DAY(D18))/365</f>
        <v>19.539497716894974</v>
      </c>
      <c r="N18" s="17">
        <f>IF(AND(E18="",F18="",G18=""),"",AVERAGE(E18:G18))</f>
        <v>90566.666666666672</v>
      </c>
      <c r="O18" s="18">
        <f>IF(OR(M18&lt;2,E18="",F18=""),"",E18/F18-1)</f>
        <v>4.9723756906077332E-2</v>
      </c>
    </row>
    <row r="19" spans="1:15" x14ac:dyDescent="0.25">
      <c r="A19" s="19">
        <v>206418</v>
      </c>
      <c r="B19" s="13" t="s">
        <v>33</v>
      </c>
      <c r="C19" s="14">
        <v>20874</v>
      </c>
      <c r="D19" s="14">
        <v>40497</v>
      </c>
      <c r="E19" s="15">
        <v>320000</v>
      </c>
      <c r="F19" s="15">
        <v>32000</v>
      </c>
      <c r="G19" s="15"/>
      <c r="H19" s="14"/>
      <c r="I19" s="15"/>
      <c r="J19" s="12" t="s">
        <v>23</v>
      </c>
      <c r="K19" s="12" t="s">
        <v>23</v>
      </c>
      <c r="L19" s="16">
        <f>(YEAR($C$3)-YEAR(C19))+(MONTH($C$3)-MONTH(C19))/12+(DAY($C$3)-DAY(C19))/365</f>
        <v>57.856392694063928</v>
      </c>
      <c r="M19" s="16">
        <f>(YEAR($C$3)-YEAR(D19))+(MONTH($C$3)-MONTH(D19))/12+(DAY($C$3)-DAY(D19))/365</f>
        <v>4.1283105022831057</v>
      </c>
      <c r="N19" s="17">
        <f>IF(AND(E19="",F19="",G19=""),"",AVERAGE(E19:G19))</f>
        <v>176000</v>
      </c>
      <c r="O19" s="18">
        <f>IF(OR(M19&lt;2,E19="",F19=""),"",E19/F19-1)</f>
        <v>9</v>
      </c>
    </row>
    <row r="20" spans="1:15" x14ac:dyDescent="0.25">
      <c r="A20" s="19">
        <v>218201</v>
      </c>
      <c r="B20" s="13" t="s">
        <v>34</v>
      </c>
      <c r="C20" s="14">
        <v>15818</v>
      </c>
      <c r="D20" s="14">
        <v>35362</v>
      </c>
      <c r="E20" s="15">
        <v>93000</v>
      </c>
      <c r="F20" s="15">
        <v>88600</v>
      </c>
      <c r="G20" s="15">
        <v>84400</v>
      </c>
      <c r="H20" s="14"/>
      <c r="I20" s="15"/>
      <c r="J20" s="12" t="s">
        <v>23</v>
      </c>
      <c r="K20" s="12" t="s">
        <v>23</v>
      </c>
      <c r="L20" s="16">
        <f>(YEAR($C$3)-YEAR(C20))+(MONTH($C$3)-MONTH(C20))/12+(DAY($C$3)-DAY(C20))/365</f>
        <v>71.692465753424656</v>
      </c>
      <c r="M20" s="16">
        <f>(YEAR($C$3)-YEAR(D20))+(MONTH($C$3)-MONTH(D20))/12+(DAY($C$3)-DAY(D20))/365</f>
        <v>18.186986301369863</v>
      </c>
      <c r="N20" s="17">
        <f>IF(AND(E20="",F20="",G20=""),"",AVERAGE(E20:G20))</f>
        <v>88666.666666666672</v>
      </c>
      <c r="O20" s="18">
        <f>IF(OR(M20&lt;2,E20="",F20=""),"",E20/F20-1)</f>
        <v>4.9661399548532659E-2</v>
      </c>
    </row>
    <row r="21" spans="1:15" x14ac:dyDescent="0.25">
      <c r="A21" s="19">
        <v>225139</v>
      </c>
      <c r="B21" s="13" t="s">
        <v>35</v>
      </c>
      <c r="C21" s="14">
        <v>33987</v>
      </c>
      <c r="D21" s="14">
        <v>41074</v>
      </c>
      <c r="E21" s="15">
        <v>92000</v>
      </c>
      <c r="F21" s="15">
        <v>40000</v>
      </c>
      <c r="G21" s="15"/>
      <c r="H21" s="14"/>
      <c r="I21" s="15"/>
      <c r="J21" s="12" t="s">
        <v>23</v>
      </c>
      <c r="K21" s="12" t="s">
        <v>23</v>
      </c>
      <c r="L21" s="16">
        <f>(YEAR($C$3)-YEAR(C21))+(MONTH($C$3)-MONTH(C21))/12+(DAY($C$3)-DAY(C21))/365</f>
        <v>21.953424657534246</v>
      </c>
      <c r="M21" s="16">
        <f>(YEAR($C$3)-YEAR(D21))+(MONTH($C$3)-MONTH(D21))/12+(DAY($C$3)-DAY(D21))/365</f>
        <v>2.5477168949771691</v>
      </c>
      <c r="N21" s="17">
        <f>IF(AND(E21="",F21="",G21=""),"",AVERAGE(E21:G21))</f>
        <v>66000</v>
      </c>
      <c r="O21" s="18">
        <f>IF(OR(M21&lt;2,E21="",F21=""),"",E21/F21-1)</f>
        <v>1.2999999999999998</v>
      </c>
    </row>
    <row r="22" spans="1:15" x14ac:dyDescent="0.25">
      <c r="A22" s="19">
        <v>232072</v>
      </c>
      <c r="B22" s="13" t="s">
        <v>36</v>
      </c>
      <c r="C22" s="14">
        <v>24290</v>
      </c>
      <c r="D22" s="14">
        <v>39634</v>
      </c>
      <c r="E22" s="15">
        <v>91000</v>
      </c>
      <c r="F22" s="15">
        <v>86700</v>
      </c>
      <c r="G22" s="15">
        <v>82500</v>
      </c>
      <c r="H22" s="14"/>
      <c r="I22" s="15"/>
      <c r="J22" s="12" t="s">
        <v>23</v>
      </c>
      <c r="K22" s="12" t="s">
        <v>23</v>
      </c>
      <c r="L22" s="16">
        <f>(YEAR($C$3)-YEAR(C22))+(MONTH($C$3)-MONTH(C22))/12+(DAY($C$3)-DAY(C22))/365</f>
        <v>48.4972602739726</v>
      </c>
      <c r="M22" s="16">
        <f>(YEAR($C$3)-YEAR(D22))+(MONTH($C$3)-MONTH(D22))/12+(DAY($C$3)-DAY(D22))/365</f>
        <v>6.4890410958904106</v>
      </c>
      <c r="N22" s="17">
        <f>IF(AND(E22="",F22="",G22=""),"",AVERAGE(E22:G22))</f>
        <v>86733.333333333328</v>
      </c>
      <c r="O22" s="18">
        <f>IF(OR(M22&lt;2,E22="",F22=""),"",E22/F22-1)</f>
        <v>4.9596309111880066E-2</v>
      </c>
    </row>
    <row r="23" spans="1:15" x14ac:dyDescent="0.25">
      <c r="A23" s="19">
        <v>250067</v>
      </c>
      <c r="B23" s="13" t="s">
        <v>37</v>
      </c>
      <c r="C23" s="14">
        <v>21975</v>
      </c>
      <c r="D23" s="14">
        <v>40073</v>
      </c>
      <c r="E23" s="15">
        <v>90000</v>
      </c>
      <c r="F23" s="15">
        <v>85700</v>
      </c>
      <c r="G23" s="15">
        <v>81600</v>
      </c>
      <c r="H23" s="14"/>
      <c r="I23" s="15"/>
      <c r="J23" s="12" t="s">
        <v>23</v>
      </c>
      <c r="K23" s="12" t="s">
        <v>23</v>
      </c>
      <c r="L23" s="16">
        <f>(YEAR($C$3)-YEAR(C23))+(MONTH($C$3)-MONTH(C23))/12+(DAY($C$3)-DAY(C23))/365</f>
        <v>54.839954337899542</v>
      </c>
      <c r="M23" s="16">
        <f>(YEAR($C$3)-YEAR(D23))+(MONTH($C$3)-MONTH(D23))/12+(DAY($C$3)-DAY(D23))/365</f>
        <v>5.2894977168949771</v>
      </c>
      <c r="N23" s="17">
        <f>IF(AND(E23="",F23="",G23=""),"",AVERAGE(E23:G23))</f>
        <v>85766.666666666672</v>
      </c>
      <c r="O23" s="18">
        <f>IF(OR(M23&lt;2,E23="",F23=""),"",E23/F23-1)</f>
        <v>5.0175029171528607E-2</v>
      </c>
    </row>
    <row r="24" spans="1:15" x14ac:dyDescent="0.25">
      <c r="A24" s="19">
        <v>253862</v>
      </c>
      <c r="B24" s="13" t="s">
        <v>38</v>
      </c>
      <c r="C24" s="14">
        <v>23332</v>
      </c>
      <c r="D24" s="14">
        <v>40339</v>
      </c>
      <c r="E24" s="15">
        <v>89000</v>
      </c>
      <c r="F24" s="15">
        <v>84800</v>
      </c>
      <c r="G24" s="15">
        <v>80700</v>
      </c>
      <c r="H24" s="14"/>
      <c r="I24" s="15"/>
      <c r="J24" s="12" t="s">
        <v>23</v>
      </c>
      <c r="K24" s="12" t="s">
        <v>23</v>
      </c>
      <c r="L24" s="16">
        <f>(YEAR($C$3)-YEAR(C24))+(MONTH($C$3)-MONTH(C24))/12+(DAY($C$3)-DAY(C24))/365</f>
        <v>51.122831050228307</v>
      </c>
      <c r="M24" s="16">
        <f>(YEAR($C$3)-YEAR(D24))+(MONTH($C$3)-MONTH(D24))/12+(DAY($C$3)-DAY(D24))/365</f>
        <v>4.5586757990867577</v>
      </c>
      <c r="N24" s="17">
        <f>IF(AND(E24="",F24="",G24=""),"",AVERAGE(E24:G24))</f>
        <v>84833.333333333328</v>
      </c>
      <c r="O24" s="18">
        <f>IF(OR(M24&lt;2,E24="",F24=""),"",E24/F24-1)</f>
        <v>4.952830188679247E-2</v>
      </c>
    </row>
    <row r="25" spans="1:15" x14ac:dyDescent="0.25">
      <c r="A25" s="19">
        <v>255179</v>
      </c>
      <c r="B25" s="13" t="s">
        <v>39</v>
      </c>
      <c r="C25" s="14">
        <v>22281</v>
      </c>
      <c r="D25" s="14">
        <v>40774</v>
      </c>
      <c r="E25" s="15">
        <v>88000</v>
      </c>
      <c r="F25" s="15">
        <v>83800</v>
      </c>
      <c r="G25" s="15">
        <v>40000</v>
      </c>
      <c r="H25" s="14"/>
      <c r="I25" s="15"/>
      <c r="J25" s="12" t="s">
        <v>23</v>
      </c>
      <c r="K25" s="12" t="s">
        <v>23</v>
      </c>
      <c r="L25" s="16">
        <f>(YEAR($C$3)-YEAR(C25))+(MONTH($C$3)-MONTH(C25))/12+(DAY($C$3)-DAY(C25))/365</f>
        <v>54.00114155251142</v>
      </c>
      <c r="M25" s="16">
        <f>(YEAR($C$3)-YEAR(D25))+(MONTH($C$3)-MONTH(D25))/12+(DAY($C$3)-DAY(D25))/365</f>
        <v>3.3673515981735158</v>
      </c>
      <c r="N25" s="17">
        <f>IF(AND(E25="",F25="",G25=""),"",AVERAGE(E25:G25))</f>
        <v>70600</v>
      </c>
      <c r="O25" s="18">
        <f>IF(OR(M25&lt;2,E25="",F25=""),"",E25/F25-1)</f>
        <v>5.0119331742243478E-2</v>
      </c>
    </row>
    <row r="26" spans="1:15" x14ac:dyDescent="0.25">
      <c r="A26" s="19">
        <v>258130</v>
      </c>
      <c r="B26" s="13" t="s">
        <v>40</v>
      </c>
      <c r="C26" s="14">
        <v>29124</v>
      </c>
      <c r="D26" s="14">
        <v>37462</v>
      </c>
      <c r="E26" s="15">
        <v>87000</v>
      </c>
      <c r="F26" s="15">
        <v>82900</v>
      </c>
      <c r="G26" s="15">
        <v>78900</v>
      </c>
      <c r="H26" s="14"/>
      <c r="I26" s="15"/>
      <c r="J26" s="12" t="s">
        <v>23</v>
      </c>
      <c r="K26" s="12" t="s">
        <v>23</v>
      </c>
      <c r="L26" s="16">
        <f>(YEAR($C$3)-YEAR(C26))+(MONTH($C$3)-MONTH(C26))/12+(DAY($C$3)-DAY(C26))/365</f>
        <v>35.264840182648406</v>
      </c>
      <c r="M26" s="16">
        <f>(YEAR($C$3)-YEAR(D26))+(MONTH($C$3)-MONTH(D26))/12+(DAY($C$3)-DAY(D26))/365</f>
        <v>12.434246575342465</v>
      </c>
      <c r="N26" s="17">
        <f>IF(AND(E26="",F26="",G26=""),"",AVERAGE(E26:G26))</f>
        <v>82933.333333333328</v>
      </c>
      <c r="O26" s="18">
        <f>IF(OR(M26&lt;2,E26="",F26=""),"",E26/F26-1)</f>
        <v>4.9457177322074886E-2</v>
      </c>
    </row>
    <row r="27" spans="1:15" x14ac:dyDescent="0.25">
      <c r="A27" s="19">
        <v>286491</v>
      </c>
      <c r="B27" s="13" t="s">
        <v>41</v>
      </c>
      <c r="C27" s="14">
        <v>16018</v>
      </c>
      <c r="D27" s="14">
        <v>31071</v>
      </c>
      <c r="E27" s="15">
        <v>86000</v>
      </c>
      <c r="F27" s="15">
        <v>81900</v>
      </c>
      <c r="G27" s="15">
        <v>78000</v>
      </c>
      <c r="H27" s="14"/>
      <c r="I27" s="15"/>
      <c r="J27" s="12" t="s">
        <v>23</v>
      </c>
      <c r="K27" s="12" t="s">
        <v>23</v>
      </c>
      <c r="L27" s="16">
        <f>(YEAR($C$3)-YEAR(C27))+(MONTH($C$3)-MONTH(C27))/12+(DAY($C$3)-DAY(C27))/365</f>
        <v>71.147488584474885</v>
      </c>
      <c r="M27" s="16">
        <f>(YEAR($C$3)-YEAR(D27))+(MONTH($C$3)-MONTH(D27))/12+(DAY($C$3)-DAY(D27))/365</f>
        <v>29.936986301369863</v>
      </c>
      <c r="N27" s="17">
        <f>IF(AND(E27="",F27="",G27=""),"",AVERAGE(E27:G27))</f>
        <v>81966.666666666672</v>
      </c>
      <c r="O27" s="18">
        <f>IF(OR(M27&lt;2,E27="",F27=""),"",E27/F27-1)</f>
        <v>5.0061050061050105E-2</v>
      </c>
    </row>
    <row r="28" spans="1:15" x14ac:dyDescent="0.25">
      <c r="A28" s="19">
        <v>290999</v>
      </c>
      <c r="B28" s="13" t="s">
        <v>42</v>
      </c>
      <c r="C28" s="14">
        <v>25991</v>
      </c>
      <c r="D28" s="14">
        <v>41600</v>
      </c>
      <c r="E28" s="15">
        <v>85000</v>
      </c>
      <c r="F28" s="15">
        <v>2000</v>
      </c>
      <c r="G28" s="15"/>
      <c r="H28" s="14"/>
      <c r="I28" s="15"/>
      <c r="J28" s="12" t="s">
        <v>23</v>
      </c>
      <c r="K28" s="12"/>
      <c r="L28" s="16">
        <f>(YEAR($C$3)-YEAR(C28))+(MONTH($C$3)-MONTH(C28))/12+(DAY($C$3)-DAY(C28))/365</f>
        <v>43.845433789954335</v>
      </c>
      <c r="M28" s="16">
        <f>(YEAR($C$3)-YEAR(D28))+(MONTH($C$3)-MONTH(D28))/12+(DAY($C$3)-DAY(D28))/365</f>
        <v>1.109132420091324</v>
      </c>
      <c r="N28" s="17">
        <f>IF(AND(E28="",F28="",G28=""),"",AVERAGE(E28:G28))</f>
        <v>43500</v>
      </c>
      <c r="O28" s="18" t="str">
        <f>IF(OR(M28&lt;2,E28="",F28=""),"",E28/F28-1)</f>
        <v/>
      </c>
    </row>
    <row r="29" spans="1:15" x14ac:dyDescent="0.25">
      <c r="A29" s="19">
        <v>300843</v>
      </c>
      <c r="B29" s="13" t="s">
        <v>43</v>
      </c>
      <c r="C29" s="14">
        <v>17659</v>
      </c>
      <c r="D29" s="14">
        <v>31876</v>
      </c>
      <c r="E29" s="15">
        <v>84000</v>
      </c>
      <c r="F29" s="15">
        <v>80000</v>
      </c>
      <c r="G29" s="15">
        <v>76200</v>
      </c>
      <c r="H29" s="14"/>
      <c r="I29" s="15"/>
      <c r="J29" s="12" t="s">
        <v>23</v>
      </c>
      <c r="K29" s="12" t="s">
        <v>23</v>
      </c>
      <c r="L29" s="16">
        <f>(YEAR($C$3)-YEAR(C29))+(MONTH($C$3)-MONTH(C29))/12+(DAY($C$3)-DAY(C29))/365</f>
        <v>66.652968036529685</v>
      </c>
      <c r="M29" s="16">
        <f>(YEAR($C$3)-YEAR(D29))+(MONTH($C$3)-MONTH(D29))/12+(DAY($C$3)-DAY(D29))/365</f>
        <v>27.728082191780821</v>
      </c>
      <c r="N29" s="17">
        <f>IF(AND(E29="",F29="",G29=""),"",AVERAGE(E29:G29))</f>
        <v>80066.666666666672</v>
      </c>
      <c r="O29" s="18">
        <f>IF(OR(M29&lt;2,E29="",F29=""),"",E29/F29-1)</f>
        <v>5.0000000000000044E-2</v>
      </c>
    </row>
    <row r="30" spans="1:15" x14ac:dyDescent="0.25">
      <c r="A30" s="19">
        <v>302798</v>
      </c>
      <c r="B30" s="13" t="s">
        <v>44</v>
      </c>
      <c r="C30" s="14">
        <v>28924</v>
      </c>
      <c r="D30" s="14">
        <v>35009</v>
      </c>
      <c r="E30" s="15">
        <v>300000</v>
      </c>
      <c r="F30" s="15">
        <v>276000</v>
      </c>
      <c r="G30" s="15">
        <v>252000</v>
      </c>
      <c r="H30" s="14"/>
      <c r="I30" s="15"/>
      <c r="J30" s="12" t="s">
        <v>23</v>
      </c>
      <c r="K30" s="12" t="s">
        <v>23</v>
      </c>
      <c r="L30" s="16">
        <f>(YEAR($C$3)-YEAR(C30))+(MONTH($C$3)-MONTH(C30))/12+(DAY($C$3)-DAY(C30))/365</f>
        <v>35.808675799086764</v>
      </c>
      <c r="M30" s="16">
        <f>(YEAR($C$3)-YEAR(D30))+(MONTH($C$3)-MONTH(D30))/12+(DAY($C$3)-DAY(D30))/365</f>
        <v>19.152968036529682</v>
      </c>
      <c r="N30" s="17">
        <f>IF(AND(E30="",F30="",G30=""),"",AVERAGE(E30:G30))</f>
        <v>276000</v>
      </c>
      <c r="O30" s="18">
        <f>IF(OR(M30&lt;2,E30="",F30=""),"",E30/F30-1)</f>
        <v>8.6956521739130377E-2</v>
      </c>
    </row>
    <row r="31" spans="1:15" x14ac:dyDescent="0.25">
      <c r="A31" s="19">
        <v>310267</v>
      </c>
      <c r="B31" s="13" t="s">
        <v>45</v>
      </c>
      <c r="C31" s="14">
        <v>23532</v>
      </c>
      <c r="D31" s="14">
        <v>38201</v>
      </c>
      <c r="E31" s="15">
        <v>118800</v>
      </c>
      <c r="F31" s="15">
        <v>113100</v>
      </c>
      <c r="G31" s="15">
        <v>107800</v>
      </c>
      <c r="H31" s="14"/>
      <c r="I31" s="15"/>
      <c r="J31" s="12" t="s">
        <v>23</v>
      </c>
      <c r="K31" s="12" t="s">
        <v>23</v>
      </c>
      <c r="L31" s="16">
        <f>(YEAR($C$3)-YEAR(C31))+(MONTH($C$3)-MONTH(C31))/12+(DAY($C$3)-DAY(C31))/365</f>
        <v>50.575114155251143</v>
      </c>
      <c r="M31" s="16">
        <f>(YEAR($C$3)-YEAR(D31))+(MONTH($C$3)-MONTH(D31))/12+(DAY($C$3)-DAY(D31))/365</f>
        <v>10.41392694063927</v>
      </c>
      <c r="N31" s="17">
        <f>IF(AND(E31="",F31="",G31=""),"",AVERAGE(E31:G31))</f>
        <v>113233.33333333333</v>
      </c>
      <c r="O31" s="18">
        <f>IF(OR(M31&lt;2,E31="",F31=""),"",E31/F31-1)</f>
        <v>5.0397877984084793E-2</v>
      </c>
    </row>
    <row r="32" spans="1:15" x14ac:dyDescent="0.25">
      <c r="A32" s="19">
        <v>313615</v>
      </c>
      <c r="B32" s="13" t="s">
        <v>46</v>
      </c>
      <c r="C32" s="14">
        <v>34187</v>
      </c>
      <c r="D32" s="14">
        <v>38175</v>
      </c>
      <c r="E32" s="15">
        <v>117600</v>
      </c>
      <c r="F32" s="15">
        <v>112000</v>
      </c>
      <c r="G32" s="15">
        <v>106700</v>
      </c>
      <c r="H32" s="14"/>
      <c r="I32" s="15"/>
      <c r="J32" s="12" t="s">
        <v>23</v>
      </c>
      <c r="K32" s="12" t="s">
        <v>23</v>
      </c>
      <c r="L32" s="16">
        <f>(YEAR($C$3)-YEAR(C32))+(MONTH($C$3)-MONTH(C32))/12+(DAY($C$3)-DAY(C32))/365</f>
        <v>21.402968036529682</v>
      </c>
      <c r="M32" s="16">
        <f>(YEAR($C$3)-YEAR(D32))+(MONTH($C$3)-MONTH(D32))/12+(DAY($C$3)-DAY(D32))/365</f>
        <v>10.483561643835616</v>
      </c>
      <c r="N32" s="17">
        <f>IF(AND(E32="",F32="",G32=""),"",AVERAGE(E32:G32))</f>
        <v>112100</v>
      </c>
      <c r="O32" s="18">
        <f>IF(OR(M32&lt;2,E32="",F32=""),"",E32/F32-1)</f>
        <v>5.0000000000000044E-2</v>
      </c>
    </row>
    <row r="33" spans="1:15" x14ac:dyDescent="0.25">
      <c r="A33" s="19">
        <v>320387</v>
      </c>
      <c r="B33" s="13" t="s">
        <v>47</v>
      </c>
      <c r="C33" s="14">
        <v>25791</v>
      </c>
      <c r="D33" s="14">
        <v>35220</v>
      </c>
      <c r="E33" s="15">
        <v>116400</v>
      </c>
      <c r="F33" s="15">
        <v>110900</v>
      </c>
      <c r="G33" s="15">
        <v>105600</v>
      </c>
      <c r="H33" s="14"/>
      <c r="I33" s="15"/>
      <c r="J33" s="12" t="s">
        <v>23</v>
      </c>
      <c r="K33" s="12" t="s">
        <v>23</v>
      </c>
      <c r="L33" s="16">
        <f>(YEAR($C$3)-YEAR(C33))+(MONTH($C$3)-MONTH(C33))/12+(DAY($C$3)-DAY(C33))/365</f>
        <v>44.389269406392692</v>
      </c>
      <c r="M33" s="16">
        <f>(YEAR($C$3)-YEAR(D33))+(MONTH($C$3)-MONTH(D33))/12+(DAY($C$3)-DAY(D33))/365</f>
        <v>18.575114155251139</v>
      </c>
      <c r="N33" s="17">
        <f>IF(AND(E33="",F33="",G33=""),"",AVERAGE(E33:G33))</f>
        <v>110966.66666666667</v>
      </c>
      <c r="O33" s="18">
        <f>IF(OR(M33&lt;2,E33="",F33=""),"",E33/F33-1)</f>
        <v>4.9594229035166748E-2</v>
      </c>
    </row>
    <row r="34" spans="1:15" x14ac:dyDescent="0.25">
      <c r="A34" s="19">
        <v>340436</v>
      </c>
      <c r="B34" s="13" t="s">
        <v>48</v>
      </c>
      <c r="C34" s="14">
        <v>27791</v>
      </c>
      <c r="D34" s="14">
        <v>36129</v>
      </c>
      <c r="E34" s="15">
        <v>115200</v>
      </c>
      <c r="F34" s="15">
        <v>109700</v>
      </c>
      <c r="G34" s="15">
        <v>104500</v>
      </c>
      <c r="H34" s="14"/>
      <c r="I34" s="15"/>
      <c r="J34" s="12" t="s">
        <v>23</v>
      </c>
      <c r="K34" s="12" t="s">
        <v>23</v>
      </c>
      <c r="L34" s="16">
        <f>(YEAR($C$3)-YEAR(C34))+(MONTH($C$3)-MONTH(C34))/12+(DAY($C$3)-DAY(C34))/365</f>
        <v>38.916666666666664</v>
      </c>
      <c r="M34" s="16">
        <f>(YEAR($C$3)-YEAR(D34))+(MONTH($C$3)-MONTH(D34))/12+(DAY($C$3)-DAY(D34))/365</f>
        <v>16.087214611872149</v>
      </c>
      <c r="N34" s="17">
        <f>IF(AND(E34="",F34="",G34=""),"",AVERAGE(E34:G34))</f>
        <v>109800</v>
      </c>
      <c r="O34" s="18">
        <f>IF(OR(M34&lt;2,E34="",F34=""),"",E34/F34-1)</f>
        <v>5.0136736554238892E-2</v>
      </c>
    </row>
    <row r="35" spans="1:15" x14ac:dyDescent="0.25">
      <c r="A35" s="19">
        <v>345767</v>
      </c>
      <c r="B35" s="13" t="s">
        <v>49</v>
      </c>
      <c r="C35" s="14">
        <v>24217</v>
      </c>
      <c r="D35" s="14">
        <v>35067</v>
      </c>
      <c r="E35" s="15">
        <v>114000</v>
      </c>
      <c r="F35" s="15">
        <v>108600</v>
      </c>
      <c r="G35" s="15">
        <v>103400</v>
      </c>
      <c r="H35" s="14"/>
      <c r="I35" s="15"/>
      <c r="J35" s="12" t="s">
        <v>23</v>
      </c>
      <c r="K35" s="12" t="s">
        <v>23</v>
      </c>
      <c r="L35" s="16">
        <f>(YEAR($C$3)-YEAR(C35))+(MONTH($C$3)-MONTH(C35))/12+(DAY($C$3)-DAY(C35))/365</f>
        <v>48.697945205479449</v>
      </c>
      <c r="M35" s="16">
        <f>(YEAR($C$3)-YEAR(D35))+(MONTH($C$3)-MONTH(D35))/12+(DAY($C$3)-DAY(D35))/365</f>
        <v>18.994520547945207</v>
      </c>
      <c r="N35" s="17">
        <f>IF(AND(E35="",F35="",G35=""),"",AVERAGE(E35:G35))</f>
        <v>108666.66666666667</v>
      </c>
      <c r="O35" s="18">
        <f>IF(OR(M35&lt;2,E35="",F35=""),"",E35/F35-1)</f>
        <v>4.9723756906077332E-2</v>
      </c>
    </row>
    <row r="36" spans="1:15" x14ac:dyDescent="0.25">
      <c r="A36" s="19">
        <v>352244</v>
      </c>
      <c r="B36" s="13" t="s">
        <v>50</v>
      </c>
      <c r="C36" s="14">
        <v>21370</v>
      </c>
      <c r="D36" s="14">
        <v>41429</v>
      </c>
      <c r="E36" s="15">
        <v>384000</v>
      </c>
      <c r="F36" s="15">
        <v>38400</v>
      </c>
      <c r="G36" s="15"/>
      <c r="H36" s="14"/>
      <c r="I36" s="15"/>
      <c r="J36" s="12" t="s">
        <v>23</v>
      </c>
      <c r="K36" s="12"/>
      <c r="L36" s="16">
        <f>(YEAR($C$3)-YEAR(C36))+(MONTH($C$3)-MONTH(C36))/12+(DAY($C$3)-DAY(C36))/365</f>
        <v>56.491780821917807</v>
      </c>
      <c r="M36" s="16">
        <f>(YEAR($C$3)-YEAR(D36))+(MONTH($C$3)-MONTH(D36))/12+(DAY($C$3)-DAY(D36))/365</f>
        <v>1.5751141552511414</v>
      </c>
      <c r="N36" s="17">
        <f>IF(AND(E36="",F36="",G36=""),"",AVERAGE(E36:G36))</f>
        <v>211200</v>
      </c>
      <c r="O36" s="18" t="str">
        <f>IF(OR(M36&lt;2,E36="",F36=""),"",E36/F36-1)</f>
        <v/>
      </c>
    </row>
    <row r="37" spans="1:15" x14ac:dyDescent="0.25">
      <c r="A37" s="19">
        <v>357982</v>
      </c>
      <c r="B37" s="13" t="s">
        <v>51</v>
      </c>
      <c r="C37" s="14">
        <v>17820</v>
      </c>
      <c r="D37" s="14">
        <v>35562</v>
      </c>
      <c r="E37" s="15">
        <v>111600</v>
      </c>
      <c r="F37" s="15">
        <v>106300</v>
      </c>
      <c r="G37" s="15">
        <v>101200</v>
      </c>
      <c r="H37" s="14"/>
      <c r="I37" s="15"/>
      <c r="J37" s="12" t="s">
        <v>23</v>
      </c>
      <c r="K37" s="12" t="s">
        <v>23</v>
      </c>
      <c r="L37" s="16">
        <f>(YEAR($C$3)-YEAR(C37))+(MONTH($C$3)-MONTH(C37))/12+(DAY($C$3)-DAY(C37))/365</f>
        <v>66.214383561643842</v>
      </c>
      <c r="M37" s="16">
        <f>(YEAR($C$3)-YEAR(D37))+(MONTH($C$3)-MONTH(D37))/12+(DAY($C$3)-DAY(D37))/365</f>
        <v>17.6365296803653</v>
      </c>
      <c r="N37" s="17">
        <f>IF(AND(E37="",F37="",G37=""),"",AVERAGE(E37:G37))</f>
        <v>106366.66666666667</v>
      </c>
      <c r="O37" s="18">
        <f>IF(OR(M37&lt;2,E37="",F37=""),"",E37/F37-1)</f>
        <v>4.9858889934148554E-2</v>
      </c>
    </row>
    <row r="38" spans="1:15" x14ac:dyDescent="0.25">
      <c r="A38" s="19">
        <v>369257</v>
      </c>
      <c r="B38" s="13" t="s">
        <v>52</v>
      </c>
      <c r="C38" s="14">
        <v>3651</v>
      </c>
      <c r="D38" s="14">
        <v>41274</v>
      </c>
      <c r="E38" s="15">
        <v>110400</v>
      </c>
      <c r="F38" s="15">
        <v>48000</v>
      </c>
      <c r="G38" s="15"/>
      <c r="H38" s="14"/>
      <c r="I38" s="15"/>
      <c r="J38" s="12" t="s">
        <v>23</v>
      </c>
      <c r="K38" s="12" t="s">
        <v>23</v>
      </c>
      <c r="L38" s="16">
        <f>(YEAR($C$3)-YEAR(C38))+(MONTH($C$3)-MONTH(C38))/12+(DAY($C$3)-DAY(C38))/365</f>
        <v>105.0066210045662</v>
      </c>
      <c r="M38" s="16">
        <f>(YEAR($C$3)-YEAR(D38))+(MONTH($C$3)-MONTH(D38))/12+(DAY($C$3)-DAY(D38))/365</f>
        <v>2.0011415525114158</v>
      </c>
      <c r="N38" s="17">
        <f>IF(AND(E38="",F38="",G38=""),"",AVERAGE(E38:G38))</f>
        <v>79200</v>
      </c>
      <c r="O38" s="18">
        <f>IF(OR(M38&lt;2,E38="",F38=""),"",E38/F38-1)</f>
        <v>1.2999999999999998</v>
      </c>
    </row>
    <row r="39" spans="1:15" x14ac:dyDescent="0.25">
      <c r="A39" s="19">
        <v>375122</v>
      </c>
      <c r="B39" s="13" t="s">
        <v>53</v>
      </c>
      <c r="C39" s="14">
        <v>17859</v>
      </c>
      <c r="D39" s="14">
        <v>39834</v>
      </c>
      <c r="E39" s="15">
        <v>109200</v>
      </c>
      <c r="F39" s="15">
        <v>104000</v>
      </c>
      <c r="G39" s="15">
        <v>99000</v>
      </c>
      <c r="H39" s="14"/>
      <c r="I39" s="15"/>
      <c r="J39" s="12" t="s">
        <v>23</v>
      </c>
      <c r="K39" s="12" t="s">
        <v>23</v>
      </c>
      <c r="L39" s="16">
        <f>(YEAR($C$3)-YEAR(C39))+(MONTH($C$3)-MONTH(C39))/12+(DAY($C$3)-DAY(C39))/365</f>
        <v>66.109132420091328</v>
      </c>
      <c r="M39" s="16">
        <f>(YEAR($C$3)-YEAR(D39))+(MONTH($C$3)-MONTH(D39))/12+(DAY($C$3)-DAY(D39))/365</f>
        <v>5.9452054794520546</v>
      </c>
      <c r="N39" s="17">
        <f>IF(AND(E39="",F39="",G39=""),"",AVERAGE(E39:G39))</f>
        <v>104066.66666666667</v>
      </c>
      <c r="O39" s="18">
        <f>IF(OR(M39&lt;2,E39="",F39=""),"",E39/F39-1)</f>
        <v>5.0000000000000044E-2</v>
      </c>
    </row>
    <row r="40" spans="1:15" x14ac:dyDescent="0.25">
      <c r="A40" s="19">
        <v>406300</v>
      </c>
      <c r="B40" s="13" t="s">
        <v>54</v>
      </c>
      <c r="C40" s="14">
        <v>1</v>
      </c>
      <c r="D40" s="14">
        <v>40273</v>
      </c>
      <c r="E40" s="15">
        <v>108000</v>
      </c>
      <c r="F40" s="15">
        <v>102900</v>
      </c>
      <c r="G40" s="15">
        <v>98000</v>
      </c>
      <c r="H40" s="14"/>
      <c r="I40" s="15"/>
      <c r="J40" s="12" t="s">
        <v>23</v>
      </c>
      <c r="K40" s="12" t="s">
        <v>23</v>
      </c>
      <c r="L40" s="16">
        <f>(YEAR($C$3)-YEAR(C40))+(MONTH($C$3)-MONTH(C40))/12+(DAY($C$3)-DAY(C40))/365</f>
        <v>115</v>
      </c>
      <c r="M40" s="16">
        <f>(YEAR($C$3)-YEAR(D40))+(MONTH($C$3)-MONTH(D40))/12+(DAY($C$3)-DAY(D40))/365</f>
        <v>4.7390410958904106</v>
      </c>
      <c r="N40" s="17">
        <f>IF(AND(E40="",F40="",G40=""),"",AVERAGE(E40:G40))</f>
        <v>102966.66666666667</v>
      </c>
      <c r="O40" s="18">
        <f>IF(OR(M40&lt;2,E40="",F40=""),"",E40/F40-1)</f>
        <v>4.9562682215743337E-2</v>
      </c>
    </row>
    <row r="41" spans="1:15" x14ac:dyDescent="0.25">
      <c r="A41" s="19">
        <v>422365</v>
      </c>
      <c r="B41" s="13" t="s">
        <v>55</v>
      </c>
      <c r="C41" s="14">
        <v>21074</v>
      </c>
      <c r="D41" s="14">
        <v>40539</v>
      </c>
      <c r="E41" s="15">
        <v>106800</v>
      </c>
      <c r="F41" s="15">
        <v>101700</v>
      </c>
      <c r="G41" s="15">
        <v>96900</v>
      </c>
      <c r="H41" s="14"/>
      <c r="I41" s="15"/>
      <c r="J41" s="12" t="s">
        <v>23</v>
      </c>
      <c r="K41" s="12" t="s">
        <v>23</v>
      </c>
      <c r="L41" s="16">
        <f>(YEAR($C$3)-YEAR(C41))+(MONTH($C$3)-MONTH(C41))/12+(DAY($C$3)-DAY(C41))/365</f>
        <v>57.305936073059364</v>
      </c>
      <c r="M41" s="16">
        <f>(YEAR($C$3)-YEAR(D41))+(MONTH($C$3)-MONTH(D41))/12+(DAY($C$3)-DAY(D41))/365</f>
        <v>4.0121004566210043</v>
      </c>
      <c r="N41" s="17">
        <f>IF(AND(E41="",F41="",G41=""),"",AVERAGE(E41:G41))</f>
        <v>101800</v>
      </c>
      <c r="O41" s="18">
        <f>IF(OR(M41&lt;2,E41="",F41=""),"",E41/F41-1)</f>
        <v>5.0147492625368661E-2</v>
      </c>
    </row>
    <row r="42" spans="1:15" x14ac:dyDescent="0.25">
      <c r="A42" s="19">
        <v>423109</v>
      </c>
      <c r="B42" s="13" t="s">
        <v>56</v>
      </c>
      <c r="C42" s="14">
        <v>16218</v>
      </c>
      <c r="D42" s="14">
        <v>40974</v>
      </c>
      <c r="E42" s="15">
        <v>105600</v>
      </c>
      <c r="F42" s="15">
        <v>100600</v>
      </c>
      <c r="G42" s="15">
        <v>48000</v>
      </c>
      <c r="H42" s="14"/>
      <c r="I42" s="15"/>
      <c r="J42" s="12" t="s">
        <v>23</v>
      </c>
      <c r="K42" s="12" t="s">
        <v>23</v>
      </c>
      <c r="L42" s="16">
        <f>(YEAR($C$3)-YEAR(C42))+(MONTH($C$3)-MONTH(C42))/12+(DAY($C$3)-DAY(C42))/365</f>
        <v>70.598173515981742</v>
      </c>
      <c r="M42" s="16">
        <f>(YEAR($C$3)-YEAR(D42))+(MONTH($C$3)-MONTH(D42))/12+(DAY($C$3)-DAY(D42))/365</f>
        <v>2.8196347031963471</v>
      </c>
      <c r="N42" s="17">
        <f>IF(AND(E42="",F42="",G42=""),"",AVERAGE(E42:G42))</f>
        <v>84733.333333333328</v>
      </c>
      <c r="O42" s="18">
        <f>IF(OR(M42&lt;2,E42="",F42=""),"",E42/F42-1)</f>
        <v>4.9701789264413598E-2</v>
      </c>
    </row>
    <row r="43" spans="1:15" x14ac:dyDescent="0.25">
      <c r="A43" s="19">
        <v>426223</v>
      </c>
      <c r="B43" s="13" t="s">
        <v>57</v>
      </c>
      <c r="C43" s="14">
        <v>26191</v>
      </c>
      <c r="D43" s="14">
        <v>27116</v>
      </c>
      <c r="E43" s="15">
        <v>104400</v>
      </c>
      <c r="F43" s="15">
        <v>99400</v>
      </c>
      <c r="G43" s="15">
        <v>94700</v>
      </c>
      <c r="H43" s="14"/>
      <c r="I43" s="15"/>
      <c r="J43" s="12" t="s">
        <v>23</v>
      </c>
      <c r="K43" s="12" t="s">
        <v>23</v>
      </c>
      <c r="L43" s="16">
        <f>(YEAR($C$3)-YEAR(C43))+(MONTH($C$3)-MONTH(C43))/12+(DAY($C$3)-DAY(C43))/365</f>
        <v>43.294977168949771</v>
      </c>
      <c r="M43" s="16">
        <f>(YEAR($C$3)-YEAR(D43))+(MONTH($C$3)-MONTH(D43))/12+(DAY($C$3)-DAY(D43))/365</f>
        <v>40.759360730593613</v>
      </c>
      <c r="N43" s="17">
        <f>IF(AND(E43="",F43="",G43=""),"",AVERAGE(E43:G43))</f>
        <v>99500</v>
      </c>
      <c r="O43" s="18">
        <f>IF(OR(M43&lt;2,E43="",F43=""),"",E43/F43-1)</f>
        <v>5.0301810865191143E-2</v>
      </c>
    </row>
    <row r="44" spans="1:15" x14ac:dyDescent="0.25">
      <c r="A44" s="19">
        <v>430276</v>
      </c>
      <c r="B44" s="13" t="s">
        <v>58</v>
      </c>
      <c r="C44" s="14">
        <v>29324</v>
      </c>
      <c r="D44" s="14">
        <v>31271</v>
      </c>
      <c r="E44" s="15">
        <v>103200</v>
      </c>
      <c r="F44" s="15">
        <v>98300</v>
      </c>
      <c r="G44" s="15">
        <v>93600</v>
      </c>
      <c r="H44" s="14"/>
      <c r="I44" s="15"/>
      <c r="J44" s="12" t="s">
        <v>23</v>
      </c>
      <c r="K44" s="12" t="s">
        <v>23</v>
      </c>
      <c r="L44" s="16">
        <f>(YEAR($C$3)-YEAR(C44))+(MONTH($C$3)-MONTH(C44))/12+(DAY($C$3)-DAY(C44))/365</f>
        <v>34.717123287671235</v>
      </c>
      <c r="M44" s="16">
        <f>(YEAR($C$3)-YEAR(D44))+(MONTH($C$3)-MONTH(D44))/12+(DAY($C$3)-DAY(D44))/365</f>
        <v>29.3865296803653</v>
      </c>
      <c r="N44" s="17">
        <f>IF(AND(E44="",F44="",G44=""),"",AVERAGE(E44:G44))</f>
        <v>98366.666666666672</v>
      </c>
      <c r="O44" s="18">
        <f>IF(OR(M44&lt;2,E44="",F44=""),"",E44/F44-1)</f>
        <v>4.984740590030512E-2</v>
      </c>
    </row>
    <row r="45" spans="1:15" x14ac:dyDescent="0.25">
      <c r="A45" s="19">
        <v>430534</v>
      </c>
      <c r="B45" s="13" t="s">
        <v>59</v>
      </c>
      <c r="C45" s="14">
        <v>16018</v>
      </c>
      <c r="D45" s="14">
        <v>37462</v>
      </c>
      <c r="E45" s="15">
        <v>102000</v>
      </c>
      <c r="F45" s="15">
        <v>2400</v>
      </c>
      <c r="G45" s="15"/>
      <c r="H45" s="14"/>
      <c r="I45" s="15"/>
      <c r="J45" s="12" t="s">
        <v>23</v>
      </c>
      <c r="K45" s="12" t="s">
        <v>23</v>
      </c>
      <c r="L45" s="16">
        <f>(YEAR($C$3)-YEAR(C45))+(MONTH($C$3)-MONTH(C45))/12+(DAY($C$3)-DAY(C45))/365</f>
        <v>71.147488584474885</v>
      </c>
      <c r="M45" s="16">
        <f>(YEAR($C$3)-YEAR(D45))+(MONTH($C$3)-MONTH(D45))/12+(DAY($C$3)-DAY(D45))/365</f>
        <v>12.434246575342465</v>
      </c>
      <c r="N45" s="17">
        <f>IF(AND(E45="",F45="",G45=""),"",AVERAGE(E45:G45))</f>
        <v>52200</v>
      </c>
      <c r="O45" s="18">
        <f>IF(OR(M45&lt;2,E45="",F45=""),"",E45/F45-1)</f>
        <v>41.5</v>
      </c>
    </row>
    <row r="46" spans="1:15" x14ac:dyDescent="0.25">
      <c r="A46" s="19">
        <v>443913</v>
      </c>
      <c r="B46" s="13" t="s">
        <v>60</v>
      </c>
      <c r="C46" s="14">
        <v>16639</v>
      </c>
      <c r="D46" s="14">
        <v>32076</v>
      </c>
      <c r="E46" s="15">
        <v>100800</v>
      </c>
      <c r="F46" s="15">
        <v>96000</v>
      </c>
      <c r="G46" s="15">
        <v>91400</v>
      </c>
      <c r="H46" s="14"/>
      <c r="I46" s="15"/>
      <c r="J46" s="12" t="s">
        <v>23</v>
      </c>
      <c r="K46" s="12" t="s">
        <v>23</v>
      </c>
      <c r="L46" s="16">
        <f>(YEAR($C$3)-YEAR(C46))+(MONTH($C$3)-MONTH(C46))/12+(DAY($C$3)-DAY(C46))/365</f>
        <v>69.445205479452056</v>
      </c>
      <c r="M46" s="16">
        <f>(YEAR($C$3)-YEAR(D46))+(MONTH($C$3)-MONTH(D46))/12+(DAY($C$3)-DAY(D46))/365</f>
        <v>27.181506849315067</v>
      </c>
      <c r="N46" s="17">
        <f>IF(AND(E46="",F46="",G46=""),"",AVERAGE(E46:G46))</f>
        <v>96066.666666666672</v>
      </c>
      <c r="O46" s="18">
        <f>IF(OR(M46&lt;2,E46="",F46=""),"",E46/F46-1)</f>
        <v>5.0000000000000044E-2</v>
      </c>
    </row>
    <row r="47" spans="1:15" x14ac:dyDescent="0.25">
      <c r="A47" s="19">
        <v>446641</v>
      </c>
      <c r="B47" s="13" t="s">
        <v>27</v>
      </c>
      <c r="C47" s="14">
        <v>23652</v>
      </c>
      <c r="D47" s="14">
        <v>35209</v>
      </c>
      <c r="E47" s="15">
        <v>360000</v>
      </c>
      <c r="F47" s="15">
        <v>331200</v>
      </c>
      <c r="G47" s="15">
        <v>302400</v>
      </c>
      <c r="H47" s="14"/>
      <c r="I47" s="15"/>
      <c r="J47" s="12" t="s">
        <v>23</v>
      </c>
      <c r="K47" s="12" t="s">
        <v>23</v>
      </c>
      <c r="L47" s="16">
        <f>(YEAR($C$3)-YEAR(C47))+(MONTH($C$3)-MONTH(C47))/12+(DAY($C$3)-DAY(C47))/365</f>
        <v>50.2472602739726</v>
      </c>
      <c r="M47" s="16">
        <f>(YEAR($C$3)-YEAR(D47))+(MONTH($C$3)-MONTH(D47))/12+(DAY($C$3)-DAY(D47))/365</f>
        <v>18.603652968036531</v>
      </c>
      <c r="N47" s="17">
        <f>IF(AND(E47="",F47="",G47=""),"",AVERAGE(E47:G47))</f>
        <v>331200</v>
      </c>
      <c r="O47" s="18">
        <f>IF(OR(M47&lt;2,E47="",F47=""),"",E47/F47-1)</f>
        <v>8.6956521739130377E-2</v>
      </c>
    </row>
    <row r="48" spans="1:15" x14ac:dyDescent="0.25">
      <c r="A48" s="19">
        <v>462488</v>
      </c>
      <c r="B48" s="13" t="s">
        <v>61</v>
      </c>
      <c r="C48" s="14">
        <v>22481</v>
      </c>
      <c r="D48" s="14">
        <v>38401</v>
      </c>
      <c r="E48" s="15">
        <v>142600</v>
      </c>
      <c r="F48" s="15">
        <v>135700</v>
      </c>
      <c r="G48" s="15">
        <v>129400</v>
      </c>
      <c r="H48" s="14"/>
      <c r="I48" s="15"/>
      <c r="J48" s="12" t="s">
        <v>23</v>
      </c>
      <c r="K48" s="12" t="s">
        <v>23</v>
      </c>
      <c r="L48" s="16">
        <f>(YEAR($C$3)-YEAR(C48))+(MONTH($C$3)-MONTH(C48))/12+(DAY($C$3)-DAY(C48))/365</f>
        <v>53.450684931506849</v>
      </c>
      <c r="M48" s="16">
        <f>(YEAR($C$3)-YEAR(D48))+(MONTH($C$3)-MONTH(D48))/12+(DAY($C$3)-DAY(D48))/365</f>
        <v>9.8700913242009118</v>
      </c>
      <c r="N48" s="17">
        <f>IF(AND(E48="",F48="",G48=""),"",AVERAGE(E48:G48))</f>
        <v>135900</v>
      </c>
      <c r="O48" s="18">
        <f>IF(OR(M48&lt;2,E48="",F48=""),"",E48/F48-1)</f>
        <v>5.0847457627118731E-2</v>
      </c>
    </row>
    <row r="49" spans="1:15" x14ac:dyDescent="0.25">
      <c r="A49" s="19">
        <v>472297</v>
      </c>
      <c r="B49" s="13" t="s">
        <v>35</v>
      </c>
      <c r="C49" s="14">
        <v>33987</v>
      </c>
      <c r="D49" s="14">
        <v>38375</v>
      </c>
      <c r="E49" s="15">
        <v>141100</v>
      </c>
      <c r="F49" s="15">
        <v>134400</v>
      </c>
      <c r="G49" s="15">
        <v>128000</v>
      </c>
      <c r="H49" s="14"/>
      <c r="I49" s="15"/>
      <c r="J49" s="12" t="s">
        <v>23</v>
      </c>
      <c r="K49" s="12" t="s">
        <v>23</v>
      </c>
      <c r="L49" s="16">
        <f>(YEAR($C$3)-YEAR(C49))+(MONTH($C$3)-MONTH(C49))/12+(DAY($C$3)-DAY(C49))/365</f>
        <v>21.953424657534246</v>
      </c>
      <c r="M49" s="16">
        <f>(YEAR($C$3)-YEAR(D49))+(MONTH($C$3)-MONTH(D49))/12+(DAY($C$3)-DAY(D49))/365</f>
        <v>9.9397260273972599</v>
      </c>
      <c r="N49" s="17">
        <f>IF(AND(E49="",F49="",G49=""),"",AVERAGE(E49:G49))</f>
        <v>134500</v>
      </c>
      <c r="O49" s="18">
        <f>IF(OR(M49&lt;2,E49="",F49=""),"",E49/F49-1)</f>
        <v>4.9851190476190466E-2</v>
      </c>
    </row>
    <row r="50" spans="1:15" x14ac:dyDescent="0.25">
      <c r="A50" s="19">
        <v>489909</v>
      </c>
      <c r="B50" s="13" t="s">
        <v>62</v>
      </c>
      <c r="C50" s="14">
        <v>24490</v>
      </c>
      <c r="D50" s="14">
        <v>37462</v>
      </c>
      <c r="E50" s="15">
        <v>139700</v>
      </c>
      <c r="F50" s="15">
        <v>133100</v>
      </c>
      <c r="G50" s="15">
        <v>126700</v>
      </c>
      <c r="H50" s="14"/>
      <c r="I50" s="15"/>
      <c r="J50" s="12" t="s">
        <v>23</v>
      </c>
      <c r="K50" s="12" t="s">
        <v>23</v>
      </c>
      <c r="L50" s="16">
        <f>(YEAR($C$3)-YEAR(C50))+(MONTH($C$3)-MONTH(C50))/12+(DAY($C$3)-DAY(C50))/365</f>
        <v>47.953424657534249</v>
      </c>
      <c r="M50" s="16">
        <f>(YEAR($C$3)-YEAR(D50))+(MONTH($C$3)-MONTH(D50))/12+(DAY($C$3)-DAY(D50))/365</f>
        <v>12.434246575342465</v>
      </c>
      <c r="N50" s="17">
        <f>IF(AND(E50="",F50="",G50=""),"",AVERAGE(E50:G50))</f>
        <v>133166.66666666666</v>
      </c>
      <c r="O50" s="18">
        <f>IF(OR(M50&lt;2,E50="",F50=""),"",E50/F50-1)</f>
        <v>4.9586776859504189E-2</v>
      </c>
    </row>
    <row r="51" spans="1:15" x14ac:dyDescent="0.25">
      <c r="A51" s="19">
        <v>489933</v>
      </c>
      <c r="B51" s="13" t="s">
        <v>63</v>
      </c>
      <c r="C51" s="14">
        <v>22158</v>
      </c>
      <c r="D51" s="14">
        <v>36329</v>
      </c>
      <c r="E51" s="15">
        <v>138200</v>
      </c>
      <c r="F51" s="15">
        <v>131600</v>
      </c>
      <c r="G51" s="15">
        <v>125400</v>
      </c>
      <c r="H51" s="14"/>
      <c r="I51" s="15"/>
      <c r="J51" s="12" t="s">
        <v>23</v>
      </c>
      <c r="K51" s="12" t="s">
        <v>23</v>
      </c>
      <c r="L51" s="16">
        <f>(YEAR($C$3)-YEAR(C51))+(MONTH($C$3)-MONTH(C51))/12+(DAY($C$3)-DAY(C51))/365</f>
        <v>54.337214611872142</v>
      </c>
      <c r="M51" s="16">
        <f>(YEAR($C$3)-YEAR(D51))+(MONTH($C$3)-MONTH(D51))/12+(DAY($C$3)-DAY(D51))/365</f>
        <v>15.53675799086758</v>
      </c>
      <c r="N51" s="17">
        <f>IF(AND(E51="",F51="",G51=""),"",AVERAGE(E51:G51))</f>
        <v>131733.33333333334</v>
      </c>
      <c r="O51" s="18">
        <f>IF(OR(M51&lt;2,E51="",F51=""),"",E51/F51-1)</f>
        <v>5.0151975683890626E-2</v>
      </c>
    </row>
    <row r="52" spans="1:15" x14ac:dyDescent="0.25">
      <c r="A52" s="19">
        <v>537613</v>
      </c>
      <c r="B52" s="13" t="s">
        <v>30</v>
      </c>
      <c r="C52" s="14">
        <v>30229</v>
      </c>
      <c r="D52" s="14">
        <v>35267</v>
      </c>
      <c r="E52" s="15">
        <v>136800</v>
      </c>
      <c r="F52" s="15">
        <v>130300</v>
      </c>
      <c r="G52" s="15">
        <v>124100</v>
      </c>
      <c r="H52" s="14"/>
      <c r="I52" s="15"/>
      <c r="J52" s="12" t="s">
        <v>23</v>
      </c>
      <c r="K52" s="12" t="s">
        <v>23</v>
      </c>
      <c r="L52" s="16">
        <f>(YEAR($C$3)-YEAR(C52))+(MONTH($C$3)-MONTH(C52))/12+(DAY($C$3)-DAY(C52))/365</f>
        <v>32.239041095890414</v>
      </c>
      <c r="M52" s="16">
        <f>(YEAR($C$3)-YEAR(D52))+(MONTH($C$3)-MONTH(D52))/12+(DAY($C$3)-DAY(D52))/365</f>
        <v>18.445205479452056</v>
      </c>
      <c r="N52" s="17">
        <f>IF(AND(E52="",F52="",G52=""),"",AVERAGE(E52:G52))</f>
        <v>130400</v>
      </c>
      <c r="O52" s="18">
        <f>IF(OR(M52&lt;2,E52="",F52=""),"",E52/F52-1)</f>
        <v>4.9884881043745111E-2</v>
      </c>
    </row>
    <row r="53" spans="1:15" x14ac:dyDescent="0.25">
      <c r="A53" s="19">
        <v>538228</v>
      </c>
      <c r="B53" s="13" t="s">
        <v>64</v>
      </c>
      <c r="C53" s="14">
        <v>15818</v>
      </c>
      <c r="D53" s="14">
        <v>41629</v>
      </c>
      <c r="E53" s="15">
        <v>460800</v>
      </c>
      <c r="F53" s="15">
        <v>46100</v>
      </c>
      <c r="G53" s="15"/>
      <c r="H53" s="14"/>
      <c r="I53" s="15"/>
      <c r="J53" s="12" t="s">
        <v>23</v>
      </c>
      <c r="K53" s="12"/>
      <c r="L53" s="16">
        <f>(YEAR($C$3)-YEAR(C53))+(MONTH($C$3)-MONTH(C53))/12+(DAY($C$3)-DAY(C53))/365</f>
        <v>71.692465753424656</v>
      </c>
      <c r="M53" s="16">
        <f>(YEAR($C$3)-YEAR(D53))+(MONTH($C$3)-MONTH(D53))/12+(DAY($C$3)-DAY(D53))/365</f>
        <v>1.0285388127853883</v>
      </c>
      <c r="N53" s="17">
        <f>IF(AND(E53="",F53="",G53=""),"",AVERAGE(E53:G53))</f>
        <v>253450</v>
      </c>
      <c r="O53" s="18" t="str">
        <f>IF(OR(M53&lt;2,E53="",F53=""),"",E53/F53-1)</f>
        <v/>
      </c>
    </row>
    <row r="54" spans="1:15" x14ac:dyDescent="0.25">
      <c r="A54" s="19">
        <v>545776</v>
      </c>
      <c r="B54" s="13" t="s">
        <v>65</v>
      </c>
      <c r="C54" s="14">
        <v>24090</v>
      </c>
      <c r="D54" s="14">
        <v>35762</v>
      </c>
      <c r="E54" s="15">
        <v>133900</v>
      </c>
      <c r="F54" s="15">
        <v>127600</v>
      </c>
      <c r="G54" s="15">
        <v>121400</v>
      </c>
      <c r="H54" s="14"/>
      <c r="I54" s="15"/>
      <c r="J54" s="12" t="s">
        <v>23</v>
      </c>
      <c r="K54" s="12" t="s">
        <v>23</v>
      </c>
      <c r="L54" s="16">
        <f>(YEAR($C$3)-YEAR(C54))+(MONTH($C$3)-MONTH(C54))/12+(DAY($C$3)-DAY(C54))/365</f>
        <v>49.047716894977171</v>
      </c>
      <c r="M54" s="16">
        <f>(YEAR($C$3)-YEAR(D54))+(MONTH($C$3)-MONTH(D54))/12+(DAY($C$3)-DAY(D54))/365</f>
        <v>17.092694063926942</v>
      </c>
      <c r="N54" s="17">
        <f>IF(AND(E54="",F54="",G54=""),"",AVERAGE(E54:G54))</f>
        <v>127633.33333333333</v>
      </c>
      <c r="O54" s="18">
        <f>IF(OR(M54&lt;2,E54="",F54=""),"",E54/F54-1)</f>
        <v>4.9373040752351161E-2</v>
      </c>
    </row>
    <row r="55" spans="1:15" x14ac:dyDescent="0.25">
      <c r="A55" s="19">
        <v>565414</v>
      </c>
      <c r="B55" s="13" t="s">
        <v>66</v>
      </c>
      <c r="C55" s="14">
        <v>21758</v>
      </c>
      <c r="D55" s="14">
        <v>41474</v>
      </c>
      <c r="E55" s="15">
        <v>132500</v>
      </c>
      <c r="F55" s="15">
        <v>57600</v>
      </c>
      <c r="G55" s="15"/>
      <c r="H55" s="14"/>
      <c r="I55" s="15"/>
      <c r="J55" s="12" t="s">
        <v>23</v>
      </c>
      <c r="K55" s="12"/>
      <c r="L55" s="16">
        <f>(YEAR($C$3)-YEAR(C55))+(MONTH($C$3)-MONTH(C55))/12+(DAY($C$3)-DAY(C55))/365</f>
        <v>55.42876712328767</v>
      </c>
      <c r="M55" s="16">
        <f>(YEAR($C$3)-YEAR(D55))+(MONTH($C$3)-MONTH(D55))/12+(DAY($C$3)-DAY(D55))/365</f>
        <v>1.4506849315068493</v>
      </c>
      <c r="N55" s="17">
        <f>IF(AND(E55="",F55="",G55=""),"",AVERAGE(E55:G55))</f>
        <v>95050</v>
      </c>
      <c r="O55" s="18" t="str">
        <f>IF(OR(M55&lt;2,E55="",F55=""),"",E55/F55-1)</f>
        <v/>
      </c>
    </row>
    <row r="56" spans="1:15" x14ac:dyDescent="0.25">
      <c r="A56" s="19">
        <v>570202</v>
      </c>
      <c r="B56" s="13" t="s">
        <v>67</v>
      </c>
      <c r="C56" s="14">
        <v>16239</v>
      </c>
      <c r="D56" s="14">
        <v>40073</v>
      </c>
      <c r="E56" s="15">
        <v>90000</v>
      </c>
      <c r="F56" s="15">
        <v>85700</v>
      </c>
      <c r="G56" s="15">
        <v>81600</v>
      </c>
      <c r="H56" s="14"/>
      <c r="I56" s="15"/>
      <c r="J56" s="12" t="s">
        <v>23</v>
      </c>
      <c r="K56" s="12" t="s">
        <v>23</v>
      </c>
      <c r="L56" s="16">
        <f>(YEAR($C$3)-YEAR(C56))+(MONTH($C$3)-MONTH(C56))/12+(DAY($C$3)-DAY(C56))/365</f>
        <v>70.542237442922371</v>
      </c>
      <c r="M56" s="16">
        <f>(YEAR($C$3)-YEAR(D56))+(MONTH($C$3)-MONTH(D56))/12+(DAY($C$3)-DAY(D56))/365</f>
        <v>5.2894977168949771</v>
      </c>
      <c r="N56" s="17">
        <f>IF(AND(E56="",F56="",G56=""),"",AVERAGE(E56:G56))</f>
        <v>85766.666666666672</v>
      </c>
      <c r="O56" s="18">
        <f>IF(OR(M56&lt;2,E56="",F56=""),"",E56/F56-1)</f>
        <v>5.0175029171528607E-2</v>
      </c>
    </row>
    <row r="57" spans="1:15" x14ac:dyDescent="0.25">
      <c r="A57" s="19">
        <v>578408</v>
      </c>
      <c r="B57" s="13" t="s">
        <v>68</v>
      </c>
      <c r="C57" s="14">
        <v>17459</v>
      </c>
      <c r="D57" s="14">
        <v>40339</v>
      </c>
      <c r="E57" s="15">
        <v>89000</v>
      </c>
      <c r="F57" s="15">
        <v>84800</v>
      </c>
      <c r="G57" s="15">
        <v>80700</v>
      </c>
      <c r="H57" s="14"/>
      <c r="I57" s="15"/>
      <c r="J57" s="12" t="s">
        <v>23</v>
      </c>
      <c r="K57" s="12" t="s">
        <v>23</v>
      </c>
      <c r="L57" s="16">
        <f>(YEAR($C$3)-YEAR(C57))+(MONTH($C$3)-MONTH(C57))/12+(DAY($C$3)-DAY(C57))/365</f>
        <v>67.200684931506856</v>
      </c>
      <c r="M57" s="16">
        <f>(YEAR($C$3)-YEAR(D57))+(MONTH($C$3)-MONTH(D57))/12+(DAY($C$3)-DAY(D57))/365</f>
        <v>4.5586757990867577</v>
      </c>
      <c r="N57" s="17">
        <f>IF(AND(E57="",F57="",G57=""),"",AVERAGE(E57:G57))</f>
        <v>84833.333333333328</v>
      </c>
      <c r="O57" s="18">
        <f>IF(OR(M57&lt;2,E57="",F57=""),"",E57/F57-1)</f>
        <v>4.952830188679247E-2</v>
      </c>
    </row>
    <row r="58" spans="1:15" x14ac:dyDescent="0.25">
      <c r="A58" s="19">
        <v>579268</v>
      </c>
      <c r="B58" s="13" t="s">
        <v>69</v>
      </c>
      <c r="C58" s="14">
        <v>22081</v>
      </c>
      <c r="D58" s="14">
        <v>40774</v>
      </c>
      <c r="E58" s="15">
        <v>88000</v>
      </c>
      <c r="F58" s="15">
        <v>83800</v>
      </c>
      <c r="G58" s="15">
        <v>40000</v>
      </c>
      <c r="H58" s="14"/>
      <c r="I58" s="15"/>
      <c r="J58" s="12" t="s">
        <v>23</v>
      </c>
      <c r="K58" s="12" t="s">
        <v>23</v>
      </c>
      <c r="L58" s="16">
        <f>(YEAR($C$3)-YEAR(C58))+(MONTH($C$3)-MONTH(C58))/12+(DAY($C$3)-DAY(C58))/365</f>
        <v>54.547716894977171</v>
      </c>
      <c r="M58" s="16">
        <f>(YEAR($C$3)-YEAR(D58))+(MONTH($C$3)-MONTH(D58))/12+(DAY($C$3)-DAY(D58))/365</f>
        <v>3.3673515981735158</v>
      </c>
      <c r="N58" s="17">
        <f>IF(AND(E58="",F58="",G58=""),"",AVERAGE(E58:G58))</f>
        <v>70600</v>
      </c>
      <c r="O58" s="18">
        <f>IF(OR(M58&lt;2,E58="",F58=""),"",E58/F58-1)</f>
        <v>5.0119331742243478E-2</v>
      </c>
    </row>
  </sheetData>
  <autoFilter ref="A5:O58" xr:uid="{15603AFF-9D75-4425-9621-75A619237311}">
    <sortState xmlns:xlrd2="http://schemas.microsoft.com/office/spreadsheetml/2017/richdata2" ref="A6:O58">
      <sortCondition ref="A5:A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0184-1874-422B-B55B-0920A56A99B2}">
  <dimension ref="A1:O58"/>
  <sheetViews>
    <sheetView workbookViewId="0"/>
  </sheetViews>
  <sheetFormatPr defaultRowHeight="15" x14ac:dyDescent="0.25"/>
  <cols>
    <col min="2" max="2" width="20" customWidth="1"/>
    <col min="3" max="4" width="11.42578125" customWidth="1"/>
    <col min="5" max="9" width="10.7109375" customWidth="1"/>
    <col min="14" max="15" width="14.285156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5.75" x14ac:dyDescent="0.25">
      <c r="A2" s="3" t="s">
        <v>0</v>
      </c>
      <c r="B2" s="1"/>
      <c r="C2" s="1"/>
      <c r="D2" s="1"/>
      <c r="E2" s="1"/>
      <c r="F2" s="1"/>
      <c r="G2" s="1"/>
      <c r="H2" s="1"/>
      <c r="I2" s="1"/>
      <c r="J2" s="4"/>
      <c r="K2" s="1"/>
      <c r="L2" s="1"/>
      <c r="M2" s="1"/>
      <c r="N2" s="1"/>
      <c r="O2" s="2"/>
    </row>
    <row r="3" spans="1:15" x14ac:dyDescent="0.25">
      <c r="A3" s="1" t="s">
        <v>1</v>
      </c>
      <c r="B3" s="1"/>
      <c r="C3" s="5">
        <v>42005</v>
      </c>
      <c r="D3" s="1"/>
      <c r="E3" s="1"/>
      <c r="F3" s="1"/>
      <c r="G3" s="1"/>
      <c r="H3" s="1"/>
      <c r="I3" s="1"/>
      <c r="J3" s="6"/>
      <c r="K3" s="6"/>
      <c r="L3" s="1"/>
      <c r="M3" s="1"/>
      <c r="N3" s="1"/>
      <c r="O3" s="2"/>
    </row>
    <row r="4" spans="1:15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1.5" customHeight="1" x14ac:dyDescent="0.25">
      <c r="A5" s="7" t="s">
        <v>2</v>
      </c>
      <c r="B5" s="8" t="s">
        <v>3</v>
      </c>
      <c r="C5" s="9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0" t="s">
        <v>9</v>
      </c>
      <c r="I5" s="10" t="s">
        <v>10</v>
      </c>
      <c r="J5" s="10" t="s">
        <v>11</v>
      </c>
      <c r="K5" s="10" t="s">
        <v>12</v>
      </c>
      <c r="L5" s="8" t="s">
        <v>13</v>
      </c>
      <c r="M5" s="8" t="s">
        <v>14</v>
      </c>
      <c r="N5" s="11" t="s">
        <v>15</v>
      </c>
      <c r="O5" s="11" t="s">
        <v>16</v>
      </c>
    </row>
    <row r="6" spans="1:15" x14ac:dyDescent="0.25">
      <c r="A6" s="19">
        <v>123451</v>
      </c>
      <c r="B6" s="13" t="str">
        <f>TRIM(RIGHT(Data!B6,LEN(Data!B6)-SEARCH(",",Data!B6))&amp;" "&amp;LEFT(Data!B6,SEARCH(",",Data!B6)-1))</f>
        <v>Gordon Lee</v>
      </c>
      <c r="C6" s="14">
        <v>13789</v>
      </c>
      <c r="D6" s="14">
        <v>37462</v>
      </c>
      <c r="E6" s="15"/>
      <c r="F6" s="15"/>
      <c r="G6" s="15"/>
      <c r="H6" s="14">
        <v>37530</v>
      </c>
      <c r="I6" s="15">
        <v>7800</v>
      </c>
      <c r="J6" s="12" t="s">
        <v>18</v>
      </c>
      <c r="K6" s="12" t="s">
        <v>18</v>
      </c>
      <c r="L6" s="16">
        <f>(YEAR($C$3)-YEAR(C6))+(MONTH($C$3)-MONTH(C6))/12+(DAY($C$3)-DAY(C6))/365</f>
        <v>77.25</v>
      </c>
      <c r="M6" s="16">
        <f>(YEAR($C$3)-YEAR(D6))+(MONTH($C$3)-MONTH(D6))/12+(DAY($C$3)-DAY(D6))/365</f>
        <v>12.434246575342465</v>
      </c>
      <c r="N6" s="17" t="str">
        <f>IF(AND(E6="",F6="",G6=""),"",AVERAGE(E6:G6))</f>
        <v/>
      </c>
      <c r="O6" s="18" t="str">
        <f>IF(OR(M6&lt;2,E6="",F6=""),"",E6/F6-1)</f>
        <v/>
      </c>
    </row>
    <row r="7" spans="1:15" x14ac:dyDescent="0.25">
      <c r="A7" s="19">
        <v>123465</v>
      </c>
      <c r="B7" s="13" t="str">
        <f>TRIM(RIGHT(Data!B7,LEN(Data!B7)-SEARCH(",",Data!B7))&amp;" "&amp;LEFT(Data!B7,SEARCH(",",Data!B7)-1))</f>
        <v>Bills Clinton</v>
      </c>
      <c r="C7" s="14">
        <v>16803</v>
      </c>
      <c r="D7" s="14">
        <v>37462</v>
      </c>
      <c r="E7" s="15"/>
      <c r="F7" s="15"/>
      <c r="G7" s="15"/>
      <c r="H7" s="14">
        <v>40544</v>
      </c>
      <c r="I7" s="15">
        <v>10349</v>
      </c>
      <c r="J7" s="12" t="s">
        <v>18</v>
      </c>
      <c r="K7" s="12" t="s">
        <v>18</v>
      </c>
      <c r="L7" s="16">
        <f>(YEAR($C$3)-YEAR(C7))+(MONTH($C$3)-MONTH(C7))/12+(DAY($C$3)-DAY(C7))/365</f>
        <v>69</v>
      </c>
      <c r="M7" s="16">
        <f>(YEAR($C$3)-YEAR(D7))+(MONTH($C$3)-MONTH(D7))/12+(DAY($C$3)-DAY(D7))/365</f>
        <v>12.434246575342465</v>
      </c>
      <c r="N7" s="17" t="str">
        <f>IF(AND(E7="",F7="",G7=""),"",AVERAGE(E7:G7))</f>
        <v/>
      </c>
      <c r="O7" s="18" t="str">
        <f>IF(OR(M7&lt;2,E7="",F7=""),"",E7/F7-1)</f>
        <v/>
      </c>
    </row>
    <row r="8" spans="1:15" x14ac:dyDescent="0.25">
      <c r="A8" s="19">
        <v>123466</v>
      </c>
      <c r="B8" s="13" t="str">
        <f>TRIM(RIGHT(Data!B8,LEN(Data!B8)-SEARCH(",",Data!B8))&amp;" "&amp;LEFT(Data!B8,SEARCH(",",Data!B8)-1))</f>
        <v>Hillary Jordon</v>
      </c>
      <c r="C8" s="14">
        <v>22098</v>
      </c>
      <c r="D8" s="14">
        <v>37462</v>
      </c>
      <c r="E8" s="15"/>
      <c r="F8" s="15"/>
      <c r="G8" s="15"/>
      <c r="H8" s="14">
        <v>45839</v>
      </c>
      <c r="I8" s="15">
        <v>15804</v>
      </c>
      <c r="J8" s="12" t="s">
        <v>21</v>
      </c>
      <c r="K8" s="12" t="s">
        <v>21</v>
      </c>
      <c r="L8" s="16">
        <f>(YEAR($C$3)-YEAR(C8))+(MONTH($C$3)-MONTH(C8))/12+(DAY($C$3)-DAY(C8))/365</f>
        <v>54.5</v>
      </c>
      <c r="M8" s="16">
        <f>(YEAR($C$3)-YEAR(D8))+(MONTH($C$3)-MONTH(D8))/12+(DAY($C$3)-DAY(D8))/365</f>
        <v>12.434246575342465</v>
      </c>
      <c r="N8" s="17" t="str">
        <f>IF(AND(E8="",F8="",G8=""),"",AVERAGE(E8:G8))</f>
        <v/>
      </c>
      <c r="O8" s="18" t="str">
        <f>IF(OR(M8&lt;2,E8="",F8=""),"",E8/F8-1)</f>
        <v/>
      </c>
    </row>
    <row r="9" spans="1:15" x14ac:dyDescent="0.25">
      <c r="A9" s="19">
        <v>123472</v>
      </c>
      <c r="B9" s="13" t="str">
        <f>TRIM(RIGHT(Data!B9,LEN(Data!B9)-SEARCH(",",Data!B9))&amp;" "&amp;LEFT(Data!B9,SEARCH(",",Data!B9)-1))</f>
        <v>Benjamin Jobs</v>
      </c>
      <c r="C9" s="14">
        <v>19725</v>
      </c>
      <c r="D9" s="14">
        <v>37462</v>
      </c>
      <c r="E9" s="15"/>
      <c r="F9" s="15"/>
      <c r="G9" s="15"/>
      <c r="H9" s="14">
        <v>43466</v>
      </c>
      <c r="I9" s="15">
        <v>5840</v>
      </c>
      <c r="J9" s="12" t="s">
        <v>21</v>
      </c>
      <c r="K9" s="12" t="s">
        <v>23</v>
      </c>
      <c r="L9" s="16">
        <f>(YEAR($C$3)-YEAR(C9))+(MONTH($C$3)-MONTH(C9))/12+(DAY($C$3)-DAY(C9))/365</f>
        <v>61</v>
      </c>
      <c r="M9" s="16">
        <f>(YEAR($C$3)-YEAR(D9))+(MONTH($C$3)-MONTH(D9))/12+(DAY($C$3)-DAY(D9))/365</f>
        <v>12.434246575342465</v>
      </c>
      <c r="N9" s="17" t="str">
        <f>IF(AND(E9="",F9="",G9=""),"",AVERAGE(E9:G9))</f>
        <v/>
      </c>
      <c r="O9" s="18" t="str">
        <f>IF(OR(M9&lt;2,E9="",F9=""),"",E9/F9-1)</f>
        <v/>
      </c>
    </row>
    <row r="10" spans="1:15" x14ac:dyDescent="0.25">
      <c r="A10" s="19">
        <v>123484</v>
      </c>
      <c r="B10" s="13" t="str">
        <f>TRIM(RIGHT(Data!B10,LEN(Data!B10)-SEARCH(",",Data!B10))&amp;" "&amp;LEFT(Data!B10,SEARCH(",",Data!B10)-1))</f>
        <v>George Larson</v>
      </c>
      <c r="C10" s="14">
        <v>18203</v>
      </c>
      <c r="D10" s="14">
        <v>37462</v>
      </c>
      <c r="E10" s="15"/>
      <c r="F10" s="15"/>
      <c r="G10" s="15"/>
      <c r="H10" s="14">
        <v>41944</v>
      </c>
      <c r="I10" s="15">
        <v>9625</v>
      </c>
      <c r="J10" s="12" t="s">
        <v>18</v>
      </c>
      <c r="K10" s="12" t="s">
        <v>23</v>
      </c>
      <c r="L10" s="16">
        <f>(YEAR($C$3)-YEAR(C10))+(MONTH($C$3)-MONTH(C10))/12+(DAY($C$3)-DAY(C10))/365</f>
        <v>65.166666666666671</v>
      </c>
      <c r="M10" s="16">
        <f>(YEAR($C$3)-YEAR(D10))+(MONTH($C$3)-MONTH(D10))/12+(DAY($C$3)-DAY(D10))/365</f>
        <v>12.434246575342465</v>
      </c>
      <c r="N10" s="17" t="str">
        <f>IF(AND(E10="",F10="",G10=""),"",AVERAGE(E10:G10))</f>
        <v/>
      </c>
      <c r="O10" s="18" t="str">
        <f>IF(OR(M10&lt;2,E10="",F10=""),"",E10/F10-1)</f>
        <v/>
      </c>
    </row>
    <row r="11" spans="1:15" x14ac:dyDescent="0.25">
      <c r="A11" s="19">
        <v>123485</v>
      </c>
      <c r="B11" s="13" t="str">
        <f>TRIM(RIGHT(Data!B11,LEN(Data!B11)-SEARCH(",",Data!B11))&amp;" "&amp;LEFT(Data!B11,SEARCH(",",Data!B11)-1))</f>
        <v>Chris Larson</v>
      </c>
      <c r="C11" s="14">
        <v>16254</v>
      </c>
      <c r="D11" s="14">
        <v>37462</v>
      </c>
      <c r="E11" s="15"/>
      <c r="F11" s="15"/>
      <c r="G11" s="15"/>
      <c r="H11" s="14">
        <v>39995</v>
      </c>
      <c r="I11" s="15">
        <v>18047</v>
      </c>
      <c r="J11" s="12" t="s">
        <v>18</v>
      </c>
      <c r="K11" s="12" t="s">
        <v>18</v>
      </c>
      <c r="L11" s="16">
        <f>(YEAR($C$3)-YEAR(C11))+(MONTH($C$3)-MONTH(C11))/12+(DAY($C$3)-DAY(C11))/365</f>
        <v>70.5</v>
      </c>
      <c r="M11" s="16">
        <f>(YEAR($C$3)-YEAR(D11))+(MONTH($C$3)-MONTH(D11))/12+(DAY($C$3)-DAY(D11))/365</f>
        <v>12.434246575342465</v>
      </c>
      <c r="N11" s="17" t="str">
        <f>IF(AND(E11="",F11="",G11=""),"",AVERAGE(E11:G11))</f>
        <v/>
      </c>
      <c r="O11" s="18" t="str">
        <f>IF(OR(M11&lt;2,E11="",F11=""),"",E11/F11-1)</f>
        <v/>
      </c>
    </row>
    <row r="12" spans="1:15" x14ac:dyDescent="0.25">
      <c r="A12" s="19">
        <v>123486</v>
      </c>
      <c r="B12" s="13" t="str">
        <f>TRIM(RIGHT(Data!B12,LEN(Data!B12)-SEARCH(",",Data!B12))&amp;" "&amp;LEFT(Data!B12,SEARCH(",",Data!B12)-1))</f>
        <v>Eric Wang</v>
      </c>
      <c r="C12" s="14">
        <v>19725</v>
      </c>
      <c r="D12" s="14">
        <v>37462</v>
      </c>
      <c r="E12" s="15"/>
      <c r="F12" s="15"/>
      <c r="G12" s="15"/>
      <c r="H12" s="14">
        <v>43466</v>
      </c>
      <c r="I12" s="15">
        <v>8990</v>
      </c>
      <c r="J12" s="12" t="s">
        <v>21</v>
      </c>
      <c r="K12" s="12" t="s">
        <v>21</v>
      </c>
      <c r="L12" s="16">
        <f>(YEAR($C$3)-YEAR(C12))+(MONTH($C$3)-MONTH(C12))/12+(DAY($C$3)-DAY(C12))/365</f>
        <v>61</v>
      </c>
      <c r="M12" s="16">
        <f>(YEAR($C$3)-YEAR(D12))+(MONTH($C$3)-MONTH(D12))/12+(DAY($C$3)-DAY(D12))/365</f>
        <v>12.434246575342465</v>
      </c>
      <c r="N12" s="17" t="str">
        <f>IF(AND(E12="",F12="",G12=""),"",AVERAGE(E12:G12))</f>
        <v/>
      </c>
      <c r="O12" s="18" t="str">
        <f>IF(OR(M12&lt;2,E12="",F12=""),"",E12/F12-1)</f>
        <v/>
      </c>
    </row>
    <row r="13" spans="1:15" x14ac:dyDescent="0.25">
      <c r="A13" s="12">
        <v>123491</v>
      </c>
      <c r="B13" s="13" t="str">
        <f>TRIM(RIGHT(Data!B13,LEN(Data!B13)-SEARCH(",",Data!B13))&amp;" "&amp;LEFT(Data!B13,SEARCH(",",Data!B13)-1))</f>
        <v>Amanda Shapiro</v>
      </c>
      <c r="C13" s="14">
        <v>24017</v>
      </c>
      <c r="D13" s="14">
        <v>34809</v>
      </c>
      <c r="E13" s="15">
        <v>250000</v>
      </c>
      <c r="F13" s="15">
        <v>230000</v>
      </c>
      <c r="G13" s="15">
        <v>210000</v>
      </c>
      <c r="H13" s="14"/>
      <c r="I13" s="15"/>
      <c r="J13" s="12" t="s">
        <v>23</v>
      </c>
      <c r="K13" s="12" t="s">
        <v>23</v>
      </c>
      <c r="L13" s="16">
        <f>(YEAR($C$3)-YEAR(C13))+(MONTH($C$3)-MONTH(C13))/12+(DAY($C$3)-DAY(C13))/365</f>
        <v>49.2472602739726</v>
      </c>
      <c r="M13" s="16">
        <f>(YEAR($C$3)-YEAR(D13))+(MONTH($C$3)-MONTH(D13))/12+(DAY($C$3)-DAY(D13))/365</f>
        <v>19.697945205479453</v>
      </c>
      <c r="N13" s="17">
        <f>IF(AND(E13="",F13="",G13=""),"",AVERAGE(E13:G13))</f>
        <v>230000</v>
      </c>
      <c r="O13" s="18">
        <f>IF(OR(M13&lt;2,E13="",F13=""),"",E13/F13-1)</f>
        <v>8.6956521739130377E-2</v>
      </c>
    </row>
    <row r="14" spans="1:15" x14ac:dyDescent="0.25">
      <c r="A14" s="12">
        <v>144983</v>
      </c>
      <c r="B14" s="13" t="str">
        <f>TRIM(RIGHT(Data!B14,LEN(Data!B14)-SEARCH(",",Data!B14))&amp;" "&amp;LEFT(Data!B14,SEARCH(",",Data!B14)-1))</f>
        <v>Adrienne Donovan</v>
      </c>
      <c r="C14" s="14">
        <v>27601</v>
      </c>
      <c r="D14" s="14">
        <v>38001</v>
      </c>
      <c r="E14" s="15">
        <v>99000</v>
      </c>
      <c r="F14" s="15">
        <v>94300</v>
      </c>
      <c r="G14" s="15">
        <v>89800</v>
      </c>
      <c r="H14" s="14"/>
      <c r="I14" s="15"/>
      <c r="J14" s="12" t="s">
        <v>23</v>
      </c>
      <c r="K14" s="12" t="s">
        <v>23</v>
      </c>
      <c r="L14" s="16">
        <f>(YEAR($C$3)-YEAR(C14))+(MONTH($C$3)-MONTH(C14))/12+(DAY($C$3)-DAY(C14))/365</f>
        <v>39.43150684931507</v>
      </c>
      <c r="M14" s="16">
        <f>(YEAR($C$3)-YEAR(D14))+(MONTH($C$3)-MONTH(D14))/12+(DAY($C$3)-DAY(D14))/365</f>
        <v>10.961643835616439</v>
      </c>
      <c r="N14" s="17">
        <f>IF(AND(E14="",F14="",G14=""),"",AVERAGE(E14:G14))</f>
        <v>94366.666666666672</v>
      </c>
      <c r="O14" s="18">
        <f>IF(OR(M14&lt;2,E14="",F14=""),"",E14/F14-1)</f>
        <v>4.9840933191940717E-2</v>
      </c>
    </row>
    <row r="15" spans="1:15" x14ac:dyDescent="0.25">
      <c r="A15" s="12">
        <v>187427</v>
      </c>
      <c r="B15" s="13" t="str">
        <f>TRIM(RIGHT(Data!B15,LEN(Data!B15)-SEARCH(",",Data!B15))&amp;" "&amp;LEFT(Data!B15,SEARCH(",",Data!B15)-1))</f>
        <v>Bret Tiedens</v>
      </c>
      <c r="C15" s="14">
        <v>21170</v>
      </c>
      <c r="D15" s="14">
        <v>37975</v>
      </c>
      <c r="E15" s="15">
        <v>98000</v>
      </c>
      <c r="F15" s="15">
        <v>93300</v>
      </c>
      <c r="G15" s="15">
        <v>88900</v>
      </c>
      <c r="H15" s="14"/>
      <c r="I15" s="15"/>
      <c r="J15" s="12" t="s">
        <v>23</v>
      </c>
      <c r="K15" s="12" t="s">
        <v>23</v>
      </c>
      <c r="L15" s="16">
        <f>(YEAR($C$3)-YEAR(C15))+(MONTH($C$3)-MONTH(C15))/12+(DAY($C$3)-DAY(C15))/365</f>
        <v>57.042237442922378</v>
      </c>
      <c r="M15" s="16">
        <f>(YEAR($C$3)-YEAR(D15))+(MONTH($C$3)-MONTH(D15))/12+(DAY($C$3)-DAY(D15))/365</f>
        <v>11.031278538812787</v>
      </c>
      <c r="N15" s="17">
        <f>IF(AND(E15="",F15="",G15=""),"",AVERAGE(E15:G15))</f>
        <v>93400</v>
      </c>
      <c r="O15" s="18">
        <f>IF(OR(M15&lt;2,E15="",F15=""),"",E15/F15-1)</f>
        <v>5.0375133976420239E-2</v>
      </c>
    </row>
    <row r="16" spans="1:15" x14ac:dyDescent="0.25">
      <c r="A16" s="12">
        <v>189508</v>
      </c>
      <c r="B16" s="13" t="str">
        <f>TRIM(RIGHT(Data!B16,LEN(Data!B16)-SEARCH(",",Data!B16))&amp;" "&amp;LEFT(Data!B16,SEARCH(",",Data!B16)-1))</f>
        <v>Celina Souers</v>
      </c>
      <c r="C16" s="14">
        <v>30229</v>
      </c>
      <c r="D16" s="14">
        <v>35020</v>
      </c>
      <c r="E16" s="15">
        <v>97000</v>
      </c>
      <c r="F16" s="15">
        <v>92400</v>
      </c>
      <c r="G16" s="15">
        <v>88000</v>
      </c>
      <c r="H16" s="14"/>
      <c r="I16" s="15"/>
      <c r="J16" s="12" t="s">
        <v>23</v>
      </c>
      <c r="K16" s="12" t="s">
        <v>23</v>
      </c>
      <c r="L16" s="16">
        <f>(YEAR($C$3)-YEAR(C16))+(MONTH($C$3)-MONTH(C16))/12+(DAY($C$3)-DAY(C16))/365</f>
        <v>32.239041095890414</v>
      </c>
      <c r="M16" s="16">
        <f>(YEAR($C$3)-YEAR(D16))+(MONTH($C$3)-MONTH(D16))/12+(DAY($C$3)-DAY(D16))/365</f>
        <v>19.12283105022831</v>
      </c>
      <c r="N16" s="17">
        <f>IF(AND(E16="",F16="",G16=""),"",AVERAGE(E16:G16))</f>
        <v>92466.666666666672</v>
      </c>
      <c r="O16" s="18">
        <f>IF(OR(M16&lt;2,E16="",F16=""),"",E16/F16-1)</f>
        <v>4.9783549783549708E-2</v>
      </c>
    </row>
    <row r="17" spans="1:15" x14ac:dyDescent="0.25">
      <c r="A17" s="12">
        <v>199741</v>
      </c>
      <c r="B17" s="13" t="str">
        <f>TRIM(RIGHT(Data!B17,LEN(Data!B17)-SEARCH(",",Data!B17))&amp;" "&amp;LEFT(Data!B17,SEARCH(",",Data!B17)-1))</f>
        <v>Steve Al Jaloud</v>
      </c>
      <c r="C17" s="14">
        <v>16439</v>
      </c>
      <c r="D17" s="14">
        <v>35929</v>
      </c>
      <c r="E17" s="15">
        <v>96000</v>
      </c>
      <c r="F17" s="15">
        <v>91400</v>
      </c>
      <c r="G17" s="15">
        <v>87100</v>
      </c>
      <c r="H17" s="14"/>
      <c r="I17" s="15"/>
      <c r="J17" s="12" t="s">
        <v>23</v>
      </c>
      <c r="K17" s="12" t="s">
        <v>23</v>
      </c>
      <c r="L17" s="16">
        <f>(YEAR($C$3)-YEAR(C17))+(MONTH($C$3)-MONTH(C17))/12+(DAY($C$3)-DAY(C17))/365</f>
        <v>69.9972602739726</v>
      </c>
      <c r="M17" s="16">
        <f>(YEAR($C$3)-YEAR(D17))+(MONTH($C$3)-MONTH(D17))/12+(DAY($C$3)-DAY(D17))/365</f>
        <v>16.631050228310503</v>
      </c>
      <c r="N17" s="17">
        <f>IF(AND(E17="",F17="",G17=""),"",AVERAGE(E17:G17))</f>
        <v>91500</v>
      </c>
      <c r="O17" s="18">
        <f>IF(OR(M17&lt;2,E17="",F17=""),"",E17/F17-1)</f>
        <v>5.032822757111588E-2</v>
      </c>
    </row>
    <row r="18" spans="1:15" x14ac:dyDescent="0.25">
      <c r="A18" s="12">
        <v>205217</v>
      </c>
      <c r="B18" s="13" t="str">
        <f>TRIM(RIGHT(Data!B18,LEN(Data!B18)-SEARCH(",",Data!B18))&amp;" "&amp;LEFT(Data!B18,SEARCH(",",Data!B18)-1))</f>
        <v>Natalie Butina</v>
      </c>
      <c r="C18" s="14">
        <v>17620</v>
      </c>
      <c r="D18" s="14">
        <v>34867</v>
      </c>
      <c r="E18" s="15">
        <v>95000</v>
      </c>
      <c r="F18" s="15">
        <v>90500</v>
      </c>
      <c r="G18" s="15">
        <v>86200</v>
      </c>
      <c r="H18" s="14"/>
      <c r="I18" s="15"/>
      <c r="J18" s="12" t="s">
        <v>23</v>
      </c>
      <c r="K18" s="12" t="s">
        <v>23</v>
      </c>
      <c r="L18" s="16">
        <f>(YEAR($C$3)-YEAR(C18))+(MONTH($C$3)-MONTH(C18))/12+(DAY($C$3)-DAY(C18))/365</f>
        <v>66.759360730593599</v>
      </c>
      <c r="M18" s="16">
        <f>(YEAR($C$3)-YEAR(D18))+(MONTH($C$3)-MONTH(D18))/12+(DAY($C$3)-DAY(D18))/365</f>
        <v>19.539497716894974</v>
      </c>
      <c r="N18" s="17">
        <f>IF(AND(E18="",F18="",G18=""),"",AVERAGE(E18:G18))</f>
        <v>90566.666666666672</v>
      </c>
      <c r="O18" s="18">
        <f>IF(OR(M18&lt;2,E18="",F18=""),"",E18/F18-1)</f>
        <v>4.9723756906077332E-2</v>
      </c>
    </row>
    <row r="19" spans="1:15" x14ac:dyDescent="0.25">
      <c r="A19" s="19">
        <v>206418</v>
      </c>
      <c r="B19" s="13" t="str">
        <f>TRIM(RIGHT(Data!B19,LEN(Data!B19)-SEARCH(",",Data!B19))&amp;" "&amp;LEFT(Data!B19,SEARCH(",",Data!B19)-1))</f>
        <v>Nicholas Olson</v>
      </c>
      <c r="C19" s="14">
        <v>20874</v>
      </c>
      <c r="D19" s="14">
        <v>40497</v>
      </c>
      <c r="E19" s="15">
        <v>320000</v>
      </c>
      <c r="F19" s="15">
        <v>32000</v>
      </c>
      <c r="G19" s="15"/>
      <c r="H19" s="14"/>
      <c r="I19" s="15"/>
      <c r="J19" s="12" t="s">
        <v>23</v>
      </c>
      <c r="K19" s="12" t="s">
        <v>23</v>
      </c>
      <c r="L19" s="16">
        <f>(YEAR($C$3)-YEAR(C19))+(MONTH($C$3)-MONTH(C19))/12+(DAY($C$3)-DAY(C19))/365</f>
        <v>57.856392694063928</v>
      </c>
      <c r="M19" s="16">
        <f>(YEAR($C$3)-YEAR(D19))+(MONTH($C$3)-MONTH(D19))/12+(DAY($C$3)-DAY(D19))/365</f>
        <v>4.1283105022831057</v>
      </c>
      <c r="N19" s="17">
        <f>IF(AND(E19="",F19="",G19=""),"",AVERAGE(E19:G19))</f>
        <v>176000</v>
      </c>
      <c r="O19" s="18">
        <f>IF(OR(M19&lt;2,E19="",F19=""),"",E19/F19-1)</f>
        <v>9</v>
      </c>
    </row>
    <row r="20" spans="1:15" x14ac:dyDescent="0.25">
      <c r="A20" s="19">
        <v>218201</v>
      </c>
      <c r="B20" s="13" t="str">
        <f>TRIM(RIGHT(Data!B20,LEN(Data!B20)-SEARCH(",",Data!B20))&amp;" "&amp;LEFT(Data!B20,SEARCH(",",Data!B20)-1))</f>
        <v>Michelle Richman</v>
      </c>
      <c r="C20" s="14">
        <v>15818</v>
      </c>
      <c r="D20" s="14">
        <v>35362</v>
      </c>
      <c r="E20" s="15">
        <v>93000</v>
      </c>
      <c r="F20" s="15">
        <v>88600</v>
      </c>
      <c r="G20" s="15">
        <v>84400</v>
      </c>
      <c r="H20" s="14"/>
      <c r="I20" s="15"/>
      <c r="J20" s="12" t="s">
        <v>23</v>
      </c>
      <c r="K20" s="12" t="s">
        <v>23</v>
      </c>
      <c r="L20" s="16">
        <f>(YEAR($C$3)-YEAR(C20))+(MONTH($C$3)-MONTH(C20))/12+(DAY($C$3)-DAY(C20))/365</f>
        <v>71.692465753424656</v>
      </c>
      <c r="M20" s="16">
        <f>(YEAR($C$3)-YEAR(D20))+(MONTH($C$3)-MONTH(D20))/12+(DAY($C$3)-DAY(D20))/365</f>
        <v>18.186986301369863</v>
      </c>
      <c r="N20" s="17">
        <f>IF(AND(E20="",F20="",G20=""),"",AVERAGE(E20:G20))</f>
        <v>88666.666666666672</v>
      </c>
      <c r="O20" s="18">
        <f>IF(OR(M20&lt;2,E20="",F20=""),"",E20/F20-1)</f>
        <v>4.9661399548532659E-2</v>
      </c>
    </row>
    <row r="21" spans="1:15" x14ac:dyDescent="0.25">
      <c r="A21" s="19">
        <v>225139</v>
      </c>
      <c r="B21" s="13" t="str">
        <f>TRIM(RIGHT(Data!B21,LEN(Data!B21)-SEARCH(",",Data!B21))&amp;" "&amp;LEFT(Data!B21,SEARCH(",",Data!B21)-1))</f>
        <v>Aaron Johnson</v>
      </c>
      <c r="C21" s="14">
        <v>33987</v>
      </c>
      <c r="D21" s="14">
        <v>41074</v>
      </c>
      <c r="E21" s="15">
        <v>92000</v>
      </c>
      <c r="F21" s="15">
        <v>40000</v>
      </c>
      <c r="G21" s="15"/>
      <c r="H21" s="14"/>
      <c r="I21" s="15"/>
      <c r="J21" s="12" t="s">
        <v>23</v>
      </c>
      <c r="K21" s="12" t="s">
        <v>23</v>
      </c>
      <c r="L21" s="16">
        <f>(YEAR($C$3)-YEAR(C21))+(MONTH($C$3)-MONTH(C21))/12+(DAY($C$3)-DAY(C21))/365</f>
        <v>21.953424657534246</v>
      </c>
      <c r="M21" s="16">
        <f>(YEAR($C$3)-YEAR(D21))+(MONTH($C$3)-MONTH(D21))/12+(DAY($C$3)-DAY(D21))/365</f>
        <v>2.5477168949771691</v>
      </c>
      <c r="N21" s="17">
        <f>IF(AND(E21="",F21="",G21=""),"",AVERAGE(E21:G21))</f>
        <v>66000</v>
      </c>
      <c r="O21" s="18">
        <f>IF(OR(M21&lt;2,E21="",F21=""),"",E21/F21-1)</f>
        <v>1.2999999999999998</v>
      </c>
    </row>
    <row r="22" spans="1:15" x14ac:dyDescent="0.25">
      <c r="A22" s="19">
        <v>232072</v>
      </c>
      <c r="B22" s="13" t="str">
        <f>TRIM(RIGHT(Data!B22,LEN(Data!B22)-SEARCH(",",Data!B22))&amp;" "&amp;LEFT(Data!B22,SEARCH(",",Data!B22)-1))</f>
        <v>Jeanne M Brinkley</v>
      </c>
      <c r="C22" s="14">
        <v>24290</v>
      </c>
      <c r="D22" s="14">
        <v>39634</v>
      </c>
      <c r="E22" s="15">
        <v>91000</v>
      </c>
      <c r="F22" s="15">
        <v>86700</v>
      </c>
      <c r="G22" s="15">
        <v>82500</v>
      </c>
      <c r="H22" s="14"/>
      <c r="I22" s="15"/>
      <c r="J22" s="12" t="s">
        <v>23</v>
      </c>
      <c r="K22" s="12" t="s">
        <v>23</v>
      </c>
      <c r="L22" s="16">
        <f>(YEAR($C$3)-YEAR(C22))+(MONTH($C$3)-MONTH(C22))/12+(DAY($C$3)-DAY(C22))/365</f>
        <v>48.4972602739726</v>
      </c>
      <c r="M22" s="16">
        <f>(YEAR($C$3)-YEAR(D22))+(MONTH($C$3)-MONTH(D22))/12+(DAY($C$3)-DAY(D22))/365</f>
        <v>6.4890410958904106</v>
      </c>
      <c r="N22" s="17">
        <f>IF(AND(E22="",F22="",G22=""),"",AVERAGE(E22:G22))</f>
        <v>86733.333333333328</v>
      </c>
      <c r="O22" s="18">
        <f>IF(OR(M22&lt;2,E22="",F22=""),"",E22/F22-1)</f>
        <v>4.9596309111880066E-2</v>
      </c>
    </row>
    <row r="23" spans="1:15" x14ac:dyDescent="0.25">
      <c r="A23" s="19">
        <v>250067</v>
      </c>
      <c r="B23" s="13" t="str">
        <f>TRIM(RIGHT(Data!B23,LEN(Data!B23)-SEARCH(",",Data!B23))&amp;" "&amp;LEFT(Data!B23,SEARCH(",",Data!B23)-1))</f>
        <v>Roxanne L Brinkley</v>
      </c>
      <c r="C23" s="14">
        <v>21975</v>
      </c>
      <c r="D23" s="14">
        <v>40073</v>
      </c>
      <c r="E23" s="15">
        <v>90000</v>
      </c>
      <c r="F23" s="15">
        <v>85700</v>
      </c>
      <c r="G23" s="15">
        <v>81600</v>
      </c>
      <c r="H23" s="14"/>
      <c r="I23" s="15"/>
      <c r="J23" s="12" t="s">
        <v>23</v>
      </c>
      <c r="K23" s="12" t="s">
        <v>23</v>
      </c>
      <c r="L23" s="16">
        <f>(YEAR($C$3)-YEAR(C23))+(MONTH($C$3)-MONTH(C23))/12+(DAY($C$3)-DAY(C23))/365</f>
        <v>54.839954337899542</v>
      </c>
      <c r="M23" s="16">
        <f>(YEAR($C$3)-YEAR(D23))+(MONTH($C$3)-MONTH(D23))/12+(DAY($C$3)-DAY(D23))/365</f>
        <v>5.2894977168949771</v>
      </c>
      <c r="N23" s="17">
        <f>IF(AND(E23="",F23="",G23=""),"",AVERAGE(E23:G23))</f>
        <v>85766.666666666672</v>
      </c>
      <c r="O23" s="18">
        <f>IF(OR(M23&lt;2,E23="",F23=""),"",E23/F23-1)</f>
        <v>5.0175029171528607E-2</v>
      </c>
    </row>
    <row r="24" spans="1:15" x14ac:dyDescent="0.25">
      <c r="A24" s="19">
        <v>253862</v>
      </c>
      <c r="B24" s="13" t="str">
        <f>TRIM(RIGHT(Data!B24,LEN(Data!B24)-SEARCH(",",Data!B24))&amp;" "&amp;LEFT(Data!B24,SEARCH(",",Data!B24)-1))</f>
        <v>Yuyang Nelson</v>
      </c>
      <c r="C24" s="14">
        <v>23332</v>
      </c>
      <c r="D24" s="14">
        <v>40339</v>
      </c>
      <c r="E24" s="15">
        <v>89000</v>
      </c>
      <c r="F24" s="15">
        <v>84800</v>
      </c>
      <c r="G24" s="15">
        <v>80700</v>
      </c>
      <c r="H24" s="14"/>
      <c r="I24" s="15"/>
      <c r="J24" s="12" t="s">
        <v>23</v>
      </c>
      <c r="K24" s="12" t="s">
        <v>23</v>
      </c>
      <c r="L24" s="16">
        <f>(YEAR($C$3)-YEAR(C24))+(MONTH($C$3)-MONTH(C24))/12+(DAY($C$3)-DAY(C24))/365</f>
        <v>51.122831050228307</v>
      </c>
      <c r="M24" s="16">
        <f>(YEAR($C$3)-YEAR(D24))+(MONTH($C$3)-MONTH(D24))/12+(DAY($C$3)-DAY(D24))/365</f>
        <v>4.5586757990867577</v>
      </c>
      <c r="N24" s="17">
        <f>IF(AND(E24="",F24="",G24=""),"",AVERAGE(E24:G24))</f>
        <v>84833.333333333328</v>
      </c>
      <c r="O24" s="18">
        <f>IF(OR(M24&lt;2,E24="",F24=""),"",E24/F24-1)</f>
        <v>4.952830188679247E-2</v>
      </c>
    </row>
    <row r="25" spans="1:15" x14ac:dyDescent="0.25">
      <c r="A25" s="19">
        <v>255179</v>
      </c>
      <c r="B25" s="13" t="str">
        <f>TRIM(RIGHT(Data!B25,LEN(Data!B25)-SEARCH(",",Data!B25))&amp;" "&amp;LEFT(Data!B25,SEARCH(",",Data!B25)-1))</f>
        <v>Bill Bossler</v>
      </c>
      <c r="C25" s="14">
        <v>22281</v>
      </c>
      <c r="D25" s="14">
        <v>40774</v>
      </c>
      <c r="E25" s="15">
        <v>88000</v>
      </c>
      <c r="F25" s="15">
        <v>83800</v>
      </c>
      <c r="G25" s="15">
        <v>40000</v>
      </c>
      <c r="H25" s="14"/>
      <c r="I25" s="15"/>
      <c r="J25" s="12" t="s">
        <v>23</v>
      </c>
      <c r="K25" s="12" t="s">
        <v>23</v>
      </c>
      <c r="L25" s="16">
        <f>(YEAR($C$3)-YEAR(C25))+(MONTH($C$3)-MONTH(C25))/12+(DAY($C$3)-DAY(C25))/365</f>
        <v>54.00114155251142</v>
      </c>
      <c r="M25" s="16">
        <f>(YEAR($C$3)-YEAR(D25))+(MONTH($C$3)-MONTH(D25))/12+(DAY($C$3)-DAY(D25))/365</f>
        <v>3.3673515981735158</v>
      </c>
      <c r="N25" s="17">
        <f>IF(AND(E25="",F25="",G25=""),"",AVERAGE(E25:G25))</f>
        <v>70600</v>
      </c>
      <c r="O25" s="18">
        <f>IF(OR(M25&lt;2,E25="",F25=""),"",E25/F25-1)</f>
        <v>5.0119331742243478E-2</v>
      </c>
    </row>
    <row r="26" spans="1:15" x14ac:dyDescent="0.25">
      <c r="A26" s="19">
        <v>258130</v>
      </c>
      <c r="B26" s="13" t="str">
        <f>TRIM(RIGHT(Data!B26,LEN(Data!B26)-SEARCH(",",Data!B26))&amp;" "&amp;LEFT(Data!B26,SEARCH(",",Data!B26)-1))</f>
        <v>Scott G Cress</v>
      </c>
      <c r="C26" s="14">
        <v>29124</v>
      </c>
      <c r="D26" s="14">
        <v>37462</v>
      </c>
      <c r="E26" s="15">
        <v>87000</v>
      </c>
      <c r="F26" s="15">
        <v>82900</v>
      </c>
      <c r="G26" s="15">
        <v>78900</v>
      </c>
      <c r="H26" s="14"/>
      <c r="I26" s="15"/>
      <c r="J26" s="12" t="s">
        <v>23</v>
      </c>
      <c r="K26" s="12" t="s">
        <v>23</v>
      </c>
      <c r="L26" s="16">
        <f>(YEAR($C$3)-YEAR(C26))+(MONTH($C$3)-MONTH(C26))/12+(DAY($C$3)-DAY(C26))/365</f>
        <v>35.264840182648406</v>
      </c>
      <c r="M26" s="16">
        <f>(YEAR($C$3)-YEAR(D26))+(MONTH($C$3)-MONTH(D26))/12+(DAY($C$3)-DAY(D26))/365</f>
        <v>12.434246575342465</v>
      </c>
      <c r="N26" s="17">
        <f>IF(AND(E26="",F26="",G26=""),"",AVERAGE(E26:G26))</f>
        <v>82933.333333333328</v>
      </c>
      <c r="O26" s="18">
        <f>IF(OR(M26&lt;2,E26="",F26=""),"",E26/F26-1)</f>
        <v>4.9457177322074886E-2</v>
      </c>
    </row>
    <row r="27" spans="1:15" x14ac:dyDescent="0.25">
      <c r="A27" s="19">
        <v>286491</v>
      </c>
      <c r="B27" s="13" t="str">
        <f>TRIM(RIGHT(Data!B27,LEN(Data!B27)-SEARCH(",",Data!B27))&amp;" "&amp;LEFT(Data!B27,SEARCH(",",Data!B27)-1))</f>
        <v>Patric Aljebreen</v>
      </c>
      <c r="C27" s="14">
        <v>16018</v>
      </c>
      <c r="D27" s="14">
        <v>31071</v>
      </c>
      <c r="E27" s="15">
        <v>86000</v>
      </c>
      <c r="F27" s="15">
        <v>81900</v>
      </c>
      <c r="G27" s="15">
        <v>78000</v>
      </c>
      <c r="H27" s="14"/>
      <c r="I27" s="15"/>
      <c r="J27" s="12" t="s">
        <v>23</v>
      </c>
      <c r="K27" s="12" t="s">
        <v>23</v>
      </c>
      <c r="L27" s="16">
        <f>(YEAR($C$3)-YEAR(C27))+(MONTH($C$3)-MONTH(C27))/12+(DAY($C$3)-DAY(C27))/365</f>
        <v>71.147488584474885</v>
      </c>
      <c r="M27" s="16">
        <f>(YEAR($C$3)-YEAR(D27))+(MONTH($C$3)-MONTH(D27))/12+(DAY($C$3)-DAY(D27))/365</f>
        <v>29.936986301369863</v>
      </c>
      <c r="N27" s="17">
        <f>IF(AND(E27="",F27="",G27=""),"",AVERAGE(E27:G27))</f>
        <v>81966.666666666672</v>
      </c>
      <c r="O27" s="18">
        <f>IF(OR(M27&lt;2,E27="",F27=""),"",E27/F27-1)</f>
        <v>5.0061050061050105E-2</v>
      </c>
    </row>
    <row r="28" spans="1:15" x14ac:dyDescent="0.25">
      <c r="A28" s="19">
        <v>290999</v>
      </c>
      <c r="B28" s="13" t="str">
        <f>TRIM(RIGHT(Data!B28,LEN(Data!B28)-SEARCH(",",Data!B28))&amp;" "&amp;LEFT(Data!B28,SEARCH(",",Data!B28)-1))</f>
        <v>Diane M Dehn</v>
      </c>
      <c r="C28" s="14">
        <v>25991</v>
      </c>
      <c r="D28" s="14">
        <v>41600</v>
      </c>
      <c r="E28" s="15">
        <v>85000</v>
      </c>
      <c r="F28" s="15">
        <v>2000</v>
      </c>
      <c r="G28" s="15"/>
      <c r="H28" s="14"/>
      <c r="I28" s="15"/>
      <c r="J28" s="12" t="s">
        <v>23</v>
      </c>
      <c r="K28" s="12"/>
      <c r="L28" s="16">
        <f>(YEAR($C$3)-YEAR(C28))+(MONTH($C$3)-MONTH(C28))/12+(DAY($C$3)-DAY(C28))/365</f>
        <v>43.845433789954335</v>
      </c>
      <c r="M28" s="16">
        <f>(YEAR($C$3)-YEAR(D28))+(MONTH($C$3)-MONTH(D28))/12+(DAY($C$3)-DAY(D28))/365</f>
        <v>1.109132420091324</v>
      </c>
      <c r="N28" s="17">
        <f>IF(AND(E28="",F28="",G28=""),"",AVERAGE(E28:G28))</f>
        <v>43500</v>
      </c>
      <c r="O28" s="18" t="str">
        <f>IF(OR(M28&lt;2,E28="",F28=""),"",E28/F28-1)</f>
        <v/>
      </c>
    </row>
    <row r="29" spans="1:15" x14ac:dyDescent="0.25">
      <c r="A29" s="19">
        <v>300843</v>
      </c>
      <c r="B29" s="13" t="str">
        <f>TRIM(RIGHT(Data!B29,LEN(Data!B29)-SEARCH(",",Data!B29))&amp;" "&amp;LEFT(Data!B29,SEARCH(",",Data!B29)-1))</f>
        <v>Eric Baker</v>
      </c>
      <c r="C29" s="14">
        <v>17659</v>
      </c>
      <c r="D29" s="14">
        <v>31876</v>
      </c>
      <c r="E29" s="15">
        <v>84000</v>
      </c>
      <c r="F29" s="15">
        <v>80000</v>
      </c>
      <c r="G29" s="15">
        <v>76200</v>
      </c>
      <c r="H29" s="14"/>
      <c r="I29" s="15"/>
      <c r="J29" s="12" t="s">
        <v>23</v>
      </c>
      <c r="K29" s="12" t="s">
        <v>23</v>
      </c>
      <c r="L29" s="16">
        <f>(YEAR($C$3)-YEAR(C29))+(MONTH($C$3)-MONTH(C29))/12+(DAY($C$3)-DAY(C29))/365</f>
        <v>66.652968036529685</v>
      </c>
      <c r="M29" s="16">
        <f>(YEAR($C$3)-YEAR(D29))+(MONTH($C$3)-MONTH(D29))/12+(DAY($C$3)-DAY(D29))/365</f>
        <v>27.728082191780821</v>
      </c>
      <c r="N29" s="17">
        <f>IF(AND(E29="",F29="",G29=""),"",AVERAGE(E29:G29))</f>
        <v>80066.666666666672</v>
      </c>
      <c r="O29" s="18">
        <f>IF(OR(M29&lt;2,E29="",F29=""),"",E29/F29-1)</f>
        <v>5.0000000000000044E-2</v>
      </c>
    </row>
    <row r="30" spans="1:15" x14ac:dyDescent="0.25">
      <c r="A30" s="19">
        <v>302798</v>
      </c>
      <c r="B30" s="13" t="str">
        <f>TRIM(RIGHT(Data!B30,LEN(Data!B30)-SEARCH(",",Data!B30))&amp;" "&amp;LEFT(Data!B30,SEARCH(",",Data!B30)-1))</f>
        <v>Ryan Asche</v>
      </c>
      <c r="C30" s="14">
        <v>28924</v>
      </c>
      <c r="D30" s="14">
        <v>35009</v>
      </c>
      <c r="E30" s="15">
        <v>300000</v>
      </c>
      <c r="F30" s="15">
        <v>276000</v>
      </c>
      <c r="G30" s="15">
        <v>252000</v>
      </c>
      <c r="H30" s="14"/>
      <c r="I30" s="15"/>
      <c r="J30" s="12" t="s">
        <v>23</v>
      </c>
      <c r="K30" s="12" t="s">
        <v>23</v>
      </c>
      <c r="L30" s="16">
        <f>(YEAR($C$3)-YEAR(C30))+(MONTH($C$3)-MONTH(C30))/12+(DAY($C$3)-DAY(C30))/365</f>
        <v>35.808675799086764</v>
      </c>
      <c r="M30" s="16">
        <f>(YEAR($C$3)-YEAR(D30))+(MONTH($C$3)-MONTH(D30))/12+(DAY($C$3)-DAY(D30))/365</f>
        <v>19.152968036529682</v>
      </c>
      <c r="N30" s="17">
        <f>IF(AND(E30="",F30="",G30=""),"",AVERAGE(E30:G30))</f>
        <v>276000</v>
      </c>
      <c r="O30" s="18">
        <f>IF(OR(M30&lt;2,E30="",F30=""),"",E30/F30-1)</f>
        <v>8.6956521739130377E-2</v>
      </c>
    </row>
    <row r="31" spans="1:15" x14ac:dyDescent="0.25">
      <c r="A31" s="19">
        <v>310267</v>
      </c>
      <c r="B31" s="13" t="str">
        <f>TRIM(RIGHT(Data!B31,LEN(Data!B31)-SEARCH(",",Data!B31))&amp;" "&amp;LEFT(Data!B31,SEARCH(",",Data!B31)-1))</f>
        <v>Jerome F Chen</v>
      </c>
      <c r="C31" s="14">
        <v>23532</v>
      </c>
      <c r="D31" s="14">
        <v>38201</v>
      </c>
      <c r="E31" s="15">
        <v>118800</v>
      </c>
      <c r="F31" s="15">
        <v>113100</v>
      </c>
      <c r="G31" s="15">
        <v>107800</v>
      </c>
      <c r="H31" s="14"/>
      <c r="I31" s="15"/>
      <c r="J31" s="12" t="s">
        <v>23</v>
      </c>
      <c r="K31" s="12" t="s">
        <v>23</v>
      </c>
      <c r="L31" s="16">
        <f>(YEAR($C$3)-YEAR(C31))+(MONTH($C$3)-MONTH(C31))/12+(DAY($C$3)-DAY(C31))/365</f>
        <v>50.575114155251143</v>
      </c>
      <c r="M31" s="16">
        <f>(YEAR($C$3)-YEAR(D31))+(MONTH($C$3)-MONTH(D31))/12+(DAY($C$3)-DAY(D31))/365</f>
        <v>10.41392694063927</v>
      </c>
      <c r="N31" s="17">
        <f>IF(AND(E31="",F31="",G31=""),"",AVERAGE(E31:G31))</f>
        <v>113233.33333333333</v>
      </c>
      <c r="O31" s="18">
        <f>IF(OR(M31&lt;2,E31="",F31=""),"",E31/F31-1)</f>
        <v>5.0397877984084793E-2</v>
      </c>
    </row>
    <row r="32" spans="1:15" x14ac:dyDescent="0.25">
      <c r="A32" s="19">
        <v>313615</v>
      </c>
      <c r="B32" s="13" t="str">
        <f>TRIM(RIGHT(Data!B32,LEN(Data!B32)-SEARCH(",",Data!B32))&amp;" "&amp;LEFT(Data!B32,SEARCH(",",Data!B32)-1))</f>
        <v>Tracy A Gist</v>
      </c>
      <c r="C32" s="14">
        <v>34187</v>
      </c>
      <c r="D32" s="14">
        <v>38175</v>
      </c>
      <c r="E32" s="15">
        <v>117600</v>
      </c>
      <c r="F32" s="15">
        <v>112000</v>
      </c>
      <c r="G32" s="15">
        <v>106700</v>
      </c>
      <c r="H32" s="14"/>
      <c r="I32" s="15"/>
      <c r="J32" s="12" t="s">
        <v>23</v>
      </c>
      <c r="K32" s="12" t="s">
        <v>23</v>
      </c>
      <c r="L32" s="16">
        <f>(YEAR($C$3)-YEAR(C32))+(MONTH($C$3)-MONTH(C32))/12+(DAY($C$3)-DAY(C32))/365</f>
        <v>21.402968036529682</v>
      </c>
      <c r="M32" s="16">
        <f>(YEAR($C$3)-YEAR(D32))+(MONTH($C$3)-MONTH(D32))/12+(DAY($C$3)-DAY(D32))/365</f>
        <v>10.483561643835616</v>
      </c>
      <c r="N32" s="17">
        <f>IF(AND(E32="",F32="",G32=""),"",AVERAGE(E32:G32))</f>
        <v>112100</v>
      </c>
      <c r="O32" s="18">
        <f>IF(OR(M32&lt;2,E32="",F32=""),"",E32/F32-1)</f>
        <v>5.0000000000000044E-2</v>
      </c>
    </row>
    <row r="33" spans="1:15" x14ac:dyDescent="0.25">
      <c r="A33" s="19">
        <v>320387</v>
      </c>
      <c r="B33" s="13" t="str">
        <f>TRIM(RIGHT(Data!B33,LEN(Data!B33)-SEARCH(",",Data!B33))&amp;" "&amp;LEFT(Data!B33,SEARCH(",",Data!B33)-1))</f>
        <v>Jeremy Carlson</v>
      </c>
      <c r="C33" s="14">
        <v>25791</v>
      </c>
      <c r="D33" s="14">
        <v>35220</v>
      </c>
      <c r="E33" s="15">
        <v>116400</v>
      </c>
      <c r="F33" s="15">
        <v>110900</v>
      </c>
      <c r="G33" s="15">
        <v>105600</v>
      </c>
      <c r="H33" s="14"/>
      <c r="I33" s="15"/>
      <c r="J33" s="12" t="s">
        <v>23</v>
      </c>
      <c r="K33" s="12" t="s">
        <v>23</v>
      </c>
      <c r="L33" s="16">
        <f>(YEAR($C$3)-YEAR(C33))+(MONTH($C$3)-MONTH(C33))/12+(DAY($C$3)-DAY(C33))/365</f>
        <v>44.389269406392692</v>
      </c>
      <c r="M33" s="16">
        <f>(YEAR($C$3)-YEAR(D33))+(MONTH($C$3)-MONTH(D33))/12+(DAY($C$3)-DAY(D33))/365</f>
        <v>18.575114155251139</v>
      </c>
      <c r="N33" s="17">
        <f>IF(AND(E33="",F33="",G33=""),"",AVERAGE(E33:G33))</f>
        <v>110966.66666666667</v>
      </c>
      <c r="O33" s="18">
        <f>IF(OR(M33&lt;2,E33="",F33=""),"",E33/F33-1)</f>
        <v>4.9594229035166748E-2</v>
      </c>
    </row>
    <row r="34" spans="1:15" x14ac:dyDescent="0.25">
      <c r="A34" s="19">
        <v>340436</v>
      </c>
      <c r="B34" s="13" t="str">
        <f>TRIM(RIGHT(Data!B34,LEN(Data!B34)-SEARCH(",",Data!B34))&amp;" "&amp;LEFT(Data!B34,SEARCH(",",Data!B34)-1))</f>
        <v>DeeAnn S Duvall</v>
      </c>
      <c r="C34" s="14">
        <v>27791</v>
      </c>
      <c r="D34" s="14">
        <v>36129</v>
      </c>
      <c r="E34" s="15">
        <v>115200</v>
      </c>
      <c r="F34" s="15">
        <v>109700</v>
      </c>
      <c r="G34" s="15">
        <v>104500</v>
      </c>
      <c r="H34" s="14"/>
      <c r="I34" s="15"/>
      <c r="J34" s="12" t="s">
        <v>23</v>
      </c>
      <c r="K34" s="12" t="s">
        <v>23</v>
      </c>
      <c r="L34" s="16">
        <f>(YEAR($C$3)-YEAR(C34))+(MONTH($C$3)-MONTH(C34))/12+(DAY($C$3)-DAY(C34))/365</f>
        <v>38.916666666666664</v>
      </c>
      <c r="M34" s="16">
        <f>(YEAR($C$3)-YEAR(D34))+(MONTH($C$3)-MONTH(D34))/12+(DAY($C$3)-DAY(D34))/365</f>
        <v>16.087214611872149</v>
      </c>
      <c r="N34" s="17">
        <f>IF(AND(E34="",F34="",G34=""),"",AVERAGE(E34:G34))</f>
        <v>109800</v>
      </c>
      <c r="O34" s="18">
        <f>IF(OR(M34&lt;2,E34="",F34=""),"",E34/F34-1)</f>
        <v>5.0136736554238892E-2</v>
      </c>
    </row>
    <row r="35" spans="1:15" x14ac:dyDescent="0.25">
      <c r="A35" s="19">
        <v>345767</v>
      </c>
      <c r="B35" s="13" t="str">
        <f>TRIM(RIGHT(Data!B35,LEN(Data!B35)-SEARCH(",",Data!B35))&amp;" "&amp;LEFT(Data!B35,SEARCH(",",Data!B35)-1))</f>
        <v>Susann K Gall</v>
      </c>
      <c r="C35" s="14">
        <v>24217</v>
      </c>
      <c r="D35" s="14">
        <v>35067</v>
      </c>
      <c r="E35" s="15">
        <v>114000</v>
      </c>
      <c r="F35" s="15">
        <v>108600</v>
      </c>
      <c r="G35" s="15">
        <v>103400</v>
      </c>
      <c r="H35" s="14"/>
      <c r="I35" s="15"/>
      <c r="J35" s="12" t="s">
        <v>23</v>
      </c>
      <c r="K35" s="12" t="s">
        <v>23</v>
      </c>
      <c r="L35" s="16">
        <f>(YEAR($C$3)-YEAR(C35))+(MONTH($C$3)-MONTH(C35))/12+(DAY($C$3)-DAY(C35))/365</f>
        <v>48.697945205479449</v>
      </c>
      <c r="M35" s="16">
        <f>(YEAR($C$3)-YEAR(D35))+(MONTH($C$3)-MONTH(D35))/12+(DAY($C$3)-DAY(D35))/365</f>
        <v>18.994520547945207</v>
      </c>
      <c r="N35" s="17">
        <f>IF(AND(E35="",F35="",G35=""),"",AVERAGE(E35:G35))</f>
        <v>108666.66666666667</v>
      </c>
      <c r="O35" s="18">
        <f>IF(OR(M35&lt;2,E35="",F35=""),"",E35/F35-1)</f>
        <v>4.9723756906077332E-2</v>
      </c>
    </row>
    <row r="36" spans="1:15" x14ac:dyDescent="0.25">
      <c r="A36" s="19">
        <v>352244</v>
      </c>
      <c r="B36" s="13" t="str">
        <f>TRIM(RIGHT(Data!B36,LEN(Data!B36)-SEARCH(",",Data!B36))&amp;" "&amp;LEFT(Data!B36,SEARCH(",",Data!B36)-1))</f>
        <v>Susan R Harvestine</v>
      </c>
      <c r="C36" s="14">
        <v>21370</v>
      </c>
      <c r="D36" s="14">
        <v>41429</v>
      </c>
      <c r="E36" s="15">
        <v>384000</v>
      </c>
      <c r="F36" s="15">
        <v>38400</v>
      </c>
      <c r="G36" s="15"/>
      <c r="H36" s="14"/>
      <c r="I36" s="15"/>
      <c r="J36" s="12" t="s">
        <v>23</v>
      </c>
      <c r="K36" s="12"/>
      <c r="L36" s="16">
        <f>(YEAR($C$3)-YEAR(C36))+(MONTH($C$3)-MONTH(C36))/12+(DAY($C$3)-DAY(C36))/365</f>
        <v>56.491780821917807</v>
      </c>
      <c r="M36" s="16">
        <f>(YEAR($C$3)-YEAR(D36))+(MONTH($C$3)-MONTH(D36))/12+(DAY($C$3)-DAY(D36))/365</f>
        <v>1.5751141552511414</v>
      </c>
      <c r="N36" s="17">
        <f>IF(AND(E36="",F36="",G36=""),"",AVERAGE(E36:G36))</f>
        <v>211200</v>
      </c>
      <c r="O36" s="18" t="str">
        <f>IF(OR(M36&lt;2,E36="",F36=""),"",E36/F36-1)</f>
        <v/>
      </c>
    </row>
    <row r="37" spans="1:15" x14ac:dyDescent="0.25">
      <c r="A37" s="19">
        <v>357982</v>
      </c>
      <c r="B37" s="13" t="str">
        <f>TRIM(RIGHT(Data!B37,LEN(Data!B37)-SEARCH(",",Data!B37))&amp;" "&amp;LEFT(Data!B37,SEARCH(",",Data!B37)-1))</f>
        <v>Richard G Harada</v>
      </c>
      <c r="C37" s="14">
        <v>17820</v>
      </c>
      <c r="D37" s="14">
        <v>35562</v>
      </c>
      <c r="E37" s="15">
        <v>111600</v>
      </c>
      <c r="F37" s="15">
        <v>106300</v>
      </c>
      <c r="G37" s="15">
        <v>101200</v>
      </c>
      <c r="H37" s="14"/>
      <c r="I37" s="15"/>
      <c r="J37" s="12" t="s">
        <v>23</v>
      </c>
      <c r="K37" s="12" t="s">
        <v>23</v>
      </c>
      <c r="L37" s="16">
        <f>(YEAR($C$3)-YEAR(C37))+(MONTH($C$3)-MONTH(C37))/12+(DAY($C$3)-DAY(C37))/365</f>
        <v>66.214383561643842</v>
      </c>
      <c r="M37" s="16">
        <f>(YEAR($C$3)-YEAR(D37))+(MONTH($C$3)-MONTH(D37))/12+(DAY($C$3)-DAY(D37))/365</f>
        <v>17.6365296803653</v>
      </c>
      <c r="N37" s="17">
        <f>IF(AND(E37="",F37="",G37=""),"",AVERAGE(E37:G37))</f>
        <v>106366.66666666667</v>
      </c>
      <c r="O37" s="18">
        <f>IF(OR(M37&lt;2,E37="",F37=""),"",E37/F37-1)</f>
        <v>4.9858889934148554E-2</v>
      </c>
    </row>
    <row r="38" spans="1:15" x14ac:dyDescent="0.25">
      <c r="A38" s="19">
        <v>369257</v>
      </c>
      <c r="B38" s="13" t="str">
        <f>TRIM(RIGHT(Data!B38,LEN(Data!B38)-SEARCH(",",Data!B38))&amp;" "&amp;LEFT(Data!B38,SEARCH(",",Data!B38)-1))</f>
        <v>Robert L Guy</v>
      </c>
      <c r="C38" s="14">
        <v>3651</v>
      </c>
      <c r="D38" s="14">
        <v>41274</v>
      </c>
      <c r="E38" s="15">
        <v>110400</v>
      </c>
      <c r="F38" s="15">
        <v>48000</v>
      </c>
      <c r="G38" s="15"/>
      <c r="H38" s="14"/>
      <c r="I38" s="15"/>
      <c r="J38" s="12" t="s">
        <v>23</v>
      </c>
      <c r="K38" s="12" t="s">
        <v>23</v>
      </c>
      <c r="L38" s="16">
        <f>(YEAR($C$3)-YEAR(C38))+(MONTH($C$3)-MONTH(C38))/12+(DAY($C$3)-DAY(C38))/365</f>
        <v>105.0066210045662</v>
      </c>
      <c r="M38" s="16">
        <f>(YEAR($C$3)-YEAR(D38))+(MONTH($C$3)-MONTH(D38))/12+(DAY($C$3)-DAY(D38))/365</f>
        <v>2.0011415525114158</v>
      </c>
      <c r="N38" s="17">
        <f>IF(AND(E38="",F38="",G38=""),"",AVERAGE(E38:G38))</f>
        <v>79200</v>
      </c>
      <c r="O38" s="18">
        <f>IF(OR(M38&lt;2,E38="",F38=""),"",E38/F38-1)</f>
        <v>1.2999999999999998</v>
      </c>
    </row>
    <row r="39" spans="1:15" x14ac:dyDescent="0.25">
      <c r="A39" s="19">
        <v>375122</v>
      </c>
      <c r="B39" s="13" t="str">
        <f>TRIM(RIGHT(Data!B39,LEN(Data!B39)-SEARCH(",",Data!B39))&amp;" "&amp;LEFT(Data!B39,SEARCH(",",Data!B39)-1))</f>
        <v>Rebecca M Kampwerth</v>
      </c>
      <c r="C39" s="14">
        <v>17859</v>
      </c>
      <c r="D39" s="14">
        <v>39834</v>
      </c>
      <c r="E39" s="15">
        <v>109200</v>
      </c>
      <c r="F39" s="15">
        <v>104000</v>
      </c>
      <c r="G39" s="15">
        <v>99000</v>
      </c>
      <c r="H39" s="14"/>
      <c r="I39" s="15"/>
      <c r="J39" s="12" t="s">
        <v>23</v>
      </c>
      <c r="K39" s="12" t="s">
        <v>23</v>
      </c>
      <c r="L39" s="16">
        <f>(YEAR($C$3)-YEAR(C39))+(MONTH($C$3)-MONTH(C39))/12+(DAY($C$3)-DAY(C39))/365</f>
        <v>66.109132420091328</v>
      </c>
      <c r="M39" s="16">
        <f>(YEAR($C$3)-YEAR(D39))+(MONTH($C$3)-MONTH(D39))/12+(DAY($C$3)-DAY(D39))/365</f>
        <v>5.9452054794520546</v>
      </c>
      <c r="N39" s="17">
        <f>IF(AND(E39="",F39="",G39=""),"",AVERAGE(E39:G39))</f>
        <v>104066.66666666667</v>
      </c>
      <c r="O39" s="18">
        <f>IF(OR(M39&lt;2,E39="",F39=""),"",E39/F39-1)</f>
        <v>5.0000000000000044E-2</v>
      </c>
    </row>
    <row r="40" spans="1:15" x14ac:dyDescent="0.25">
      <c r="A40" s="19">
        <v>406300</v>
      </c>
      <c r="B40" s="13" t="str">
        <f>TRIM(RIGHT(Data!B40,LEN(Data!B40)-SEARCH(",",Data!B40))&amp;" "&amp;LEFT(Data!B40,SEARCH(",",Data!B40)-1))</f>
        <v>Alexis Asche</v>
      </c>
      <c r="C40" s="14">
        <v>1</v>
      </c>
      <c r="D40" s="14">
        <v>40273</v>
      </c>
      <c r="E40" s="15">
        <v>108000</v>
      </c>
      <c r="F40" s="15">
        <v>102900</v>
      </c>
      <c r="G40" s="15">
        <v>98000</v>
      </c>
      <c r="H40" s="14"/>
      <c r="I40" s="15"/>
      <c r="J40" s="12" t="s">
        <v>23</v>
      </c>
      <c r="K40" s="12" t="s">
        <v>23</v>
      </c>
      <c r="L40" s="16">
        <f>(YEAR($C$3)-YEAR(C40))+(MONTH($C$3)-MONTH(C40))/12+(DAY($C$3)-DAY(C40))/365</f>
        <v>115</v>
      </c>
      <c r="M40" s="16">
        <f>(YEAR($C$3)-YEAR(D40))+(MONTH($C$3)-MONTH(D40))/12+(DAY($C$3)-DAY(D40))/365</f>
        <v>4.7390410958904106</v>
      </c>
      <c r="N40" s="17">
        <f>IF(AND(E40="",F40="",G40=""),"",AVERAGE(E40:G40))</f>
        <v>102966.66666666667</v>
      </c>
      <c r="O40" s="18">
        <f>IF(OR(M40&lt;2,E40="",F40=""),"",E40/F40-1)</f>
        <v>4.9562682215743337E-2</v>
      </c>
    </row>
    <row r="41" spans="1:15" x14ac:dyDescent="0.25">
      <c r="A41" s="19">
        <v>422365</v>
      </c>
      <c r="B41" s="13" t="str">
        <f>TRIM(RIGHT(Data!B41,LEN(Data!B41)-SEARCH(",",Data!B41))&amp;" "&amp;LEFT(Data!B41,SEARCH(",",Data!B41)-1))</f>
        <v>Bruce D Hitpas</v>
      </c>
      <c r="C41" s="14">
        <v>21074</v>
      </c>
      <c r="D41" s="14">
        <v>40539</v>
      </c>
      <c r="E41" s="15">
        <v>106800</v>
      </c>
      <c r="F41" s="15">
        <v>101700</v>
      </c>
      <c r="G41" s="15">
        <v>96900</v>
      </c>
      <c r="H41" s="14"/>
      <c r="I41" s="15"/>
      <c r="J41" s="12" t="s">
        <v>23</v>
      </c>
      <c r="K41" s="12" t="s">
        <v>23</v>
      </c>
      <c r="L41" s="16">
        <f>(YEAR($C$3)-YEAR(C41))+(MONTH($C$3)-MONTH(C41))/12+(DAY($C$3)-DAY(C41))/365</f>
        <v>57.305936073059364</v>
      </c>
      <c r="M41" s="16">
        <f>(YEAR($C$3)-YEAR(D41))+(MONTH($C$3)-MONTH(D41))/12+(DAY($C$3)-DAY(D41))/365</f>
        <v>4.0121004566210043</v>
      </c>
      <c r="N41" s="17">
        <f>IF(AND(E41="",F41="",G41=""),"",AVERAGE(E41:G41))</f>
        <v>101800</v>
      </c>
      <c r="O41" s="18">
        <f>IF(OR(M41&lt;2,E41="",F41=""),"",E41/F41-1)</f>
        <v>5.0147492625368661E-2</v>
      </c>
    </row>
    <row r="42" spans="1:15" x14ac:dyDescent="0.25">
      <c r="A42" s="19">
        <v>423109</v>
      </c>
      <c r="B42" s="13" t="str">
        <f>TRIM(RIGHT(Data!B42,LEN(Data!B42)-SEARCH(",",Data!B42))&amp;" "&amp;LEFT(Data!B42,SEARCH(",",Data!B42)-1))</f>
        <v>Casey A Jumaan</v>
      </c>
      <c r="C42" s="14">
        <v>16218</v>
      </c>
      <c r="D42" s="14">
        <v>40974</v>
      </c>
      <c r="E42" s="15">
        <v>105600</v>
      </c>
      <c r="F42" s="15">
        <v>100600</v>
      </c>
      <c r="G42" s="15">
        <v>48000</v>
      </c>
      <c r="H42" s="14"/>
      <c r="I42" s="15"/>
      <c r="J42" s="12" t="s">
        <v>23</v>
      </c>
      <c r="K42" s="12" t="s">
        <v>23</v>
      </c>
      <c r="L42" s="16">
        <f>(YEAR($C$3)-YEAR(C42))+(MONTH($C$3)-MONTH(C42))/12+(DAY($C$3)-DAY(C42))/365</f>
        <v>70.598173515981742</v>
      </c>
      <c r="M42" s="16">
        <f>(YEAR($C$3)-YEAR(D42))+(MONTH($C$3)-MONTH(D42))/12+(DAY($C$3)-DAY(D42))/365</f>
        <v>2.8196347031963471</v>
      </c>
      <c r="N42" s="17">
        <f>IF(AND(E42="",F42="",G42=""),"",AVERAGE(E42:G42))</f>
        <v>84733.333333333328</v>
      </c>
      <c r="O42" s="18">
        <f>IF(OR(M42&lt;2,E42="",F42=""),"",E42/F42-1)</f>
        <v>4.9701789264413598E-2</v>
      </c>
    </row>
    <row r="43" spans="1:15" x14ac:dyDescent="0.25">
      <c r="A43" s="19">
        <v>426223</v>
      </c>
      <c r="B43" s="13" t="str">
        <f>TRIM(RIGHT(Data!B43,LEN(Data!B43)-SEARCH(",",Data!B43))&amp;" "&amp;LEFT(Data!B43,SEARCH(",",Data!B43)-1))</f>
        <v>Alina Donovan</v>
      </c>
      <c r="C43" s="14">
        <v>26191</v>
      </c>
      <c r="D43" s="14">
        <v>27116</v>
      </c>
      <c r="E43" s="15">
        <v>104400</v>
      </c>
      <c r="F43" s="15">
        <v>99400</v>
      </c>
      <c r="G43" s="15">
        <v>94700</v>
      </c>
      <c r="H43" s="14"/>
      <c r="I43" s="15"/>
      <c r="J43" s="12" t="s">
        <v>23</v>
      </c>
      <c r="K43" s="12" t="s">
        <v>23</v>
      </c>
      <c r="L43" s="16">
        <f>(YEAR($C$3)-YEAR(C43))+(MONTH($C$3)-MONTH(C43))/12+(DAY($C$3)-DAY(C43))/365</f>
        <v>43.294977168949771</v>
      </c>
      <c r="M43" s="16">
        <f>(YEAR($C$3)-YEAR(D43))+(MONTH($C$3)-MONTH(D43))/12+(DAY($C$3)-DAY(D43))/365</f>
        <v>40.759360730593613</v>
      </c>
      <c r="N43" s="17">
        <f>IF(AND(E43="",F43="",G43=""),"",AVERAGE(E43:G43))</f>
        <v>99500</v>
      </c>
      <c r="O43" s="18">
        <f>IF(OR(M43&lt;2,E43="",F43=""),"",E43/F43-1)</f>
        <v>5.0301810865191143E-2</v>
      </c>
    </row>
    <row r="44" spans="1:15" x14ac:dyDescent="0.25">
      <c r="A44" s="19">
        <v>430276</v>
      </c>
      <c r="B44" s="13" t="str">
        <f>TRIM(RIGHT(Data!B44,LEN(Data!B44)-SEARCH(",",Data!B44))&amp;" "&amp;LEFT(Data!B44,SEARCH(",",Data!B44)-1))</f>
        <v>Austin Carlson</v>
      </c>
      <c r="C44" s="14">
        <v>29324</v>
      </c>
      <c r="D44" s="14">
        <v>31271</v>
      </c>
      <c r="E44" s="15">
        <v>103200</v>
      </c>
      <c r="F44" s="15">
        <v>98300</v>
      </c>
      <c r="G44" s="15">
        <v>93600</v>
      </c>
      <c r="H44" s="14"/>
      <c r="I44" s="15"/>
      <c r="J44" s="12" t="s">
        <v>23</v>
      </c>
      <c r="K44" s="12" t="s">
        <v>23</v>
      </c>
      <c r="L44" s="16">
        <f>(YEAR($C$3)-YEAR(C44))+(MONTH($C$3)-MONTH(C44))/12+(DAY($C$3)-DAY(C44))/365</f>
        <v>34.717123287671235</v>
      </c>
      <c r="M44" s="16">
        <f>(YEAR($C$3)-YEAR(D44))+(MONTH($C$3)-MONTH(D44))/12+(DAY($C$3)-DAY(D44))/365</f>
        <v>29.3865296803653</v>
      </c>
      <c r="N44" s="17">
        <f>IF(AND(E44="",F44="",G44=""),"",AVERAGE(E44:G44))</f>
        <v>98366.666666666672</v>
      </c>
      <c r="O44" s="18">
        <f>IF(OR(M44&lt;2,E44="",F44=""),"",E44/F44-1)</f>
        <v>4.984740590030512E-2</v>
      </c>
    </row>
    <row r="45" spans="1:15" x14ac:dyDescent="0.25">
      <c r="A45" s="19">
        <v>430534</v>
      </c>
      <c r="B45" s="13" t="str">
        <f>TRIM(RIGHT(Data!B45,LEN(Data!B45)-SEARCH(",",Data!B45))&amp;" "&amp;LEFT(Data!B45,SEARCH(",",Data!B45)-1))</f>
        <v>David L Hohl</v>
      </c>
      <c r="C45" s="14">
        <v>16018</v>
      </c>
      <c r="D45" s="14">
        <v>37462</v>
      </c>
      <c r="E45" s="15">
        <v>102000</v>
      </c>
      <c r="F45" s="15">
        <v>2400</v>
      </c>
      <c r="G45" s="15"/>
      <c r="H45" s="14"/>
      <c r="I45" s="15"/>
      <c r="J45" s="12" t="s">
        <v>23</v>
      </c>
      <c r="K45" s="12" t="s">
        <v>23</v>
      </c>
      <c r="L45" s="16">
        <f>(YEAR($C$3)-YEAR(C45))+(MONTH($C$3)-MONTH(C45))/12+(DAY($C$3)-DAY(C45))/365</f>
        <v>71.147488584474885</v>
      </c>
      <c r="M45" s="16">
        <f>(YEAR($C$3)-YEAR(D45))+(MONTH($C$3)-MONTH(D45))/12+(DAY($C$3)-DAY(D45))/365</f>
        <v>12.434246575342465</v>
      </c>
      <c r="N45" s="17">
        <f>IF(AND(E45="",F45="",G45=""),"",AVERAGE(E45:G45))</f>
        <v>52200</v>
      </c>
      <c r="O45" s="18">
        <f>IF(OR(M45&lt;2,E45="",F45=""),"",E45/F45-1)</f>
        <v>41.5</v>
      </c>
    </row>
    <row r="46" spans="1:15" x14ac:dyDescent="0.25">
      <c r="A46" s="19">
        <v>443913</v>
      </c>
      <c r="B46" s="13" t="str">
        <f>TRIM(RIGHT(Data!B46,LEN(Data!B46)-SEARCH(",",Data!B46))&amp;" "&amp;LEFT(Data!B46,SEARCH(",",Data!B46)-1))</f>
        <v>Dawn E Jackson</v>
      </c>
      <c r="C46" s="14">
        <v>16639</v>
      </c>
      <c r="D46" s="14">
        <v>32076</v>
      </c>
      <c r="E46" s="15">
        <v>100800</v>
      </c>
      <c r="F46" s="15">
        <v>96000</v>
      </c>
      <c r="G46" s="15">
        <v>91400</v>
      </c>
      <c r="H46" s="14"/>
      <c r="I46" s="15"/>
      <c r="J46" s="12" t="s">
        <v>23</v>
      </c>
      <c r="K46" s="12" t="s">
        <v>23</v>
      </c>
      <c r="L46" s="16">
        <f>(YEAR($C$3)-YEAR(C46))+(MONTH($C$3)-MONTH(C46))/12+(DAY($C$3)-DAY(C46))/365</f>
        <v>69.445205479452056</v>
      </c>
      <c r="M46" s="16">
        <f>(YEAR($C$3)-YEAR(D46))+(MONTH($C$3)-MONTH(D46))/12+(DAY($C$3)-DAY(D46))/365</f>
        <v>27.181506849315067</v>
      </c>
      <c r="N46" s="17">
        <f>IF(AND(E46="",F46="",G46=""),"",AVERAGE(E46:G46))</f>
        <v>96066.666666666672</v>
      </c>
      <c r="O46" s="18">
        <f>IF(OR(M46&lt;2,E46="",F46=""),"",E46/F46-1)</f>
        <v>5.0000000000000044E-2</v>
      </c>
    </row>
    <row r="47" spans="1:15" x14ac:dyDescent="0.25">
      <c r="A47" s="19">
        <v>446641</v>
      </c>
      <c r="B47" s="13" t="str">
        <f>TRIM(RIGHT(Data!B47,LEN(Data!B47)-SEARCH(",",Data!B47))&amp;" "&amp;LEFT(Data!B47,SEARCH(",",Data!B47)-1))</f>
        <v>Amanda Shapiro</v>
      </c>
      <c r="C47" s="14">
        <v>23652</v>
      </c>
      <c r="D47" s="14">
        <v>35209</v>
      </c>
      <c r="E47" s="15">
        <v>360000</v>
      </c>
      <c r="F47" s="15">
        <v>331200</v>
      </c>
      <c r="G47" s="15">
        <v>302400</v>
      </c>
      <c r="H47" s="14"/>
      <c r="I47" s="15"/>
      <c r="J47" s="12" t="s">
        <v>23</v>
      </c>
      <c r="K47" s="12" t="s">
        <v>23</v>
      </c>
      <c r="L47" s="16">
        <f>(YEAR($C$3)-YEAR(C47))+(MONTH($C$3)-MONTH(C47))/12+(DAY($C$3)-DAY(C47))/365</f>
        <v>50.2472602739726</v>
      </c>
      <c r="M47" s="16">
        <f>(YEAR($C$3)-YEAR(D47))+(MONTH($C$3)-MONTH(D47))/12+(DAY($C$3)-DAY(D47))/365</f>
        <v>18.603652968036531</v>
      </c>
      <c r="N47" s="17">
        <f>IF(AND(E47="",F47="",G47=""),"",AVERAGE(E47:G47))</f>
        <v>331200</v>
      </c>
      <c r="O47" s="18">
        <f>IF(OR(M47&lt;2,E47="",F47=""),"",E47/F47-1)</f>
        <v>8.6956521739130377E-2</v>
      </c>
    </row>
    <row r="48" spans="1:15" x14ac:dyDescent="0.25">
      <c r="A48" s="19">
        <v>462488</v>
      </c>
      <c r="B48" s="13" t="str">
        <f>TRIM(RIGHT(Data!B48,LEN(Data!B48)-SEARCH(",",Data!B48))&amp;" "&amp;LEFT(Data!B48,SEARCH(",",Data!B48)-1))</f>
        <v>Jacqueline E Lam</v>
      </c>
      <c r="C48" s="14">
        <v>22481</v>
      </c>
      <c r="D48" s="14">
        <v>38401</v>
      </c>
      <c r="E48" s="15">
        <v>142600</v>
      </c>
      <c r="F48" s="15">
        <v>135700</v>
      </c>
      <c r="G48" s="15">
        <v>129400</v>
      </c>
      <c r="H48" s="14"/>
      <c r="I48" s="15"/>
      <c r="J48" s="12" t="s">
        <v>23</v>
      </c>
      <c r="K48" s="12" t="s">
        <v>23</v>
      </c>
      <c r="L48" s="16">
        <f>(YEAR($C$3)-YEAR(C48))+(MONTH($C$3)-MONTH(C48))/12+(DAY($C$3)-DAY(C48))/365</f>
        <v>53.450684931506849</v>
      </c>
      <c r="M48" s="16">
        <f>(YEAR($C$3)-YEAR(D48))+(MONTH($C$3)-MONTH(D48))/12+(DAY($C$3)-DAY(D48))/365</f>
        <v>9.8700913242009118</v>
      </c>
      <c r="N48" s="17">
        <f>IF(AND(E48="",F48="",G48=""),"",AVERAGE(E48:G48))</f>
        <v>135900</v>
      </c>
      <c r="O48" s="18">
        <f>IF(OR(M48&lt;2,E48="",F48=""),"",E48/F48-1)</f>
        <v>5.0847457627118731E-2</v>
      </c>
    </row>
    <row r="49" spans="1:15" x14ac:dyDescent="0.25">
      <c r="A49" s="19">
        <v>472297</v>
      </c>
      <c r="B49" s="13" t="str">
        <f>TRIM(RIGHT(Data!B49,LEN(Data!B49)-SEARCH(",",Data!B49))&amp;" "&amp;LEFT(Data!B49,SEARCH(",",Data!B49)-1))</f>
        <v>Aaron Johnson</v>
      </c>
      <c r="C49" s="14">
        <v>33987</v>
      </c>
      <c r="D49" s="14">
        <v>38375</v>
      </c>
      <c r="E49" s="15">
        <v>141100</v>
      </c>
      <c r="F49" s="15">
        <v>134400</v>
      </c>
      <c r="G49" s="15">
        <v>128000</v>
      </c>
      <c r="H49" s="14"/>
      <c r="I49" s="15"/>
      <c r="J49" s="12" t="s">
        <v>23</v>
      </c>
      <c r="K49" s="12" t="s">
        <v>23</v>
      </c>
      <c r="L49" s="16">
        <f>(YEAR($C$3)-YEAR(C49))+(MONTH($C$3)-MONTH(C49))/12+(DAY($C$3)-DAY(C49))/365</f>
        <v>21.953424657534246</v>
      </c>
      <c r="M49" s="16">
        <f>(YEAR($C$3)-YEAR(D49))+(MONTH($C$3)-MONTH(D49))/12+(DAY($C$3)-DAY(D49))/365</f>
        <v>9.9397260273972599</v>
      </c>
      <c r="N49" s="17">
        <f>IF(AND(E49="",F49="",G49=""),"",AVERAGE(E49:G49))</f>
        <v>134500</v>
      </c>
      <c r="O49" s="18">
        <f>IF(OR(M49&lt;2,E49="",F49=""),"",E49/F49-1)</f>
        <v>4.9851190476190466E-2</v>
      </c>
    </row>
    <row r="50" spans="1:15" x14ac:dyDescent="0.25">
      <c r="A50" s="19">
        <v>489909</v>
      </c>
      <c r="B50" s="13" t="str">
        <f>TRIM(RIGHT(Data!B50,LEN(Data!B50)-SEARCH(",",Data!B50))&amp;" "&amp;LEFT(Data!B50,SEARCH(",",Data!B50)-1))</f>
        <v>Jumaan Nelson</v>
      </c>
      <c r="C50" s="14">
        <v>24490</v>
      </c>
      <c r="D50" s="14">
        <v>37462</v>
      </c>
      <c r="E50" s="15">
        <v>139700</v>
      </c>
      <c r="F50" s="15">
        <v>133100</v>
      </c>
      <c r="G50" s="15">
        <v>126700</v>
      </c>
      <c r="H50" s="14"/>
      <c r="I50" s="15"/>
      <c r="J50" s="12" t="s">
        <v>23</v>
      </c>
      <c r="K50" s="12" t="s">
        <v>23</v>
      </c>
      <c r="L50" s="16">
        <f>(YEAR($C$3)-YEAR(C50))+(MONTH($C$3)-MONTH(C50))/12+(DAY($C$3)-DAY(C50))/365</f>
        <v>47.953424657534249</v>
      </c>
      <c r="M50" s="16">
        <f>(YEAR($C$3)-YEAR(D50))+(MONTH($C$3)-MONTH(D50))/12+(DAY($C$3)-DAY(D50))/365</f>
        <v>12.434246575342465</v>
      </c>
      <c r="N50" s="17">
        <f>IF(AND(E50="",F50="",G50=""),"",AVERAGE(E50:G50))</f>
        <v>133166.66666666666</v>
      </c>
      <c r="O50" s="18">
        <f>IF(OR(M50&lt;2,E50="",F50=""),"",E50/F50-1)</f>
        <v>4.9586776859504189E-2</v>
      </c>
    </row>
    <row r="51" spans="1:15" x14ac:dyDescent="0.25">
      <c r="A51" s="19">
        <v>489933</v>
      </c>
      <c r="B51" s="13" t="str">
        <f>TRIM(RIGHT(Data!B51,LEN(Data!B51)-SEARCH(",",Data!B51))&amp;" "&amp;LEFT(Data!B51,SEARCH(",",Data!B51)-1))</f>
        <v>Luke Larson</v>
      </c>
      <c r="C51" s="14">
        <v>22158</v>
      </c>
      <c r="D51" s="14">
        <v>36329</v>
      </c>
      <c r="E51" s="15">
        <v>138200</v>
      </c>
      <c r="F51" s="15">
        <v>131600</v>
      </c>
      <c r="G51" s="15">
        <v>125400</v>
      </c>
      <c r="H51" s="14"/>
      <c r="I51" s="15"/>
      <c r="J51" s="12" t="s">
        <v>23</v>
      </c>
      <c r="K51" s="12" t="s">
        <v>23</v>
      </c>
      <c r="L51" s="16">
        <f>(YEAR($C$3)-YEAR(C51))+(MONTH($C$3)-MONTH(C51))/12+(DAY($C$3)-DAY(C51))/365</f>
        <v>54.337214611872142</v>
      </c>
      <c r="M51" s="16">
        <f>(YEAR($C$3)-YEAR(D51))+(MONTH($C$3)-MONTH(D51))/12+(DAY($C$3)-DAY(D51))/365</f>
        <v>15.53675799086758</v>
      </c>
      <c r="N51" s="17">
        <f>IF(AND(E51="",F51="",G51=""),"",AVERAGE(E51:G51))</f>
        <v>131733.33333333334</v>
      </c>
      <c r="O51" s="18">
        <f>IF(OR(M51&lt;2,E51="",F51=""),"",E51/F51-1)</f>
        <v>5.0151975683890626E-2</v>
      </c>
    </row>
    <row r="52" spans="1:15" x14ac:dyDescent="0.25">
      <c r="A52" s="19">
        <v>537613</v>
      </c>
      <c r="B52" s="13" t="str">
        <f>TRIM(RIGHT(Data!B52,LEN(Data!B52)-SEARCH(",",Data!B52))&amp;" "&amp;LEFT(Data!B52,SEARCH(",",Data!B52)-1))</f>
        <v>Celina Souers</v>
      </c>
      <c r="C52" s="14">
        <v>30229</v>
      </c>
      <c r="D52" s="14">
        <v>35267</v>
      </c>
      <c r="E52" s="15">
        <v>136800</v>
      </c>
      <c r="F52" s="15">
        <v>130300</v>
      </c>
      <c r="G52" s="15">
        <v>124100</v>
      </c>
      <c r="H52" s="14"/>
      <c r="I52" s="15"/>
      <c r="J52" s="12" t="s">
        <v>23</v>
      </c>
      <c r="K52" s="12" t="s">
        <v>23</v>
      </c>
      <c r="L52" s="16">
        <f>(YEAR($C$3)-YEAR(C52))+(MONTH($C$3)-MONTH(C52))/12+(DAY($C$3)-DAY(C52))/365</f>
        <v>32.239041095890414</v>
      </c>
      <c r="M52" s="16">
        <f>(YEAR($C$3)-YEAR(D52))+(MONTH($C$3)-MONTH(D52))/12+(DAY($C$3)-DAY(D52))/365</f>
        <v>18.445205479452056</v>
      </c>
      <c r="N52" s="17">
        <f>IF(AND(E52="",F52="",G52=""),"",AVERAGE(E52:G52))</f>
        <v>130400</v>
      </c>
      <c r="O52" s="18">
        <f>IF(OR(M52&lt;2,E52="",F52=""),"",E52/F52-1)</f>
        <v>4.9884881043745111E-2</v>
      </c>
    </row>
    <row r="53" spans="1:15" x14ac:dyDescent="0.25">
      <c r="A53" s="19">
        <v>538228</v>
      </c>
      <c r="B53" s="13" t="str">
        <f>TRIM(RIGHT(Data!B53,LEN(Data!B53)-SEARCH(",",Data!B53))&amp;" "&amp;LEFT(Data!B53,SEARCH(",",Data!B53)-1))</f>
        <v>Yazeed Doll Woolley</v>
      </c>
      <c r="C53" s="14">
        <v>15818</v>
      </c>
      <c r="D53" s="14">
        <v>41629</v>
      </c>
      <c r="E53" s="15">
        <v>460800</v>
      </c>
      <c r="F53" s="15">
        <v>46100</v>
      </c>
      <c r="G53" s="15"/>
      <c r="H53" s="14"/>
      <c r="I53" s="15"/>
      <c r="J53" s="12" t="s">
        <v>23</v>
      </c>
      <c r="K53" s="12"/>
      <c r="L53" s="16">
        <f>(YEAR($C$3)-YEAR(C53))+(MONTH($C$3)-MONTH(C53))/12+(DAY($C$3)-DAY(C53))/365</f>
        <v>71.692465753424656</v>
      </c>
      <c r="M53" s="16">
        <f>(YEAR($C$3)-YEAR(D53))+(MONTH($C$3)-MONTH(D53))/12+(DAY($C$3)-DAY(D53))/365</f>
        <v>1.0285388127853883</v>
      </c>
      <c r="N53" s="17">
        <f>IF(AND(E53="",F53="",G53=""),"",AVERAGE(E53:G53))</f>
        <v>253450</v>
      </c>
      <c r="O53" s="18" t="str">
        <f>IF(OR(M53&lt;2,E53="",F53=""),"",E53/F53-1)</f>
        <v/>
      </c>
    </row>
    <row r="54" spans="1:15" x14ac:dyDescent="0.25">
      <c r="A54" s="19">
        <v>545776</v>
      </c>
      <c r="B54" s="13" t="str">
        <f>TRIM(RIGHT(Data!B54,LEN(Data!B54)-SEARCH(",",Data!B54))&amp;" "&amp;LEFT(Data!B54,SEARCH(",",Data!B54)-1))</f>
        <v>Brian Larson</v>
      </c>
      <c r="C54" s="14">
        <v>24090</v>
      </c>
      <c r="D54" s="14">
        <v>35762</v>
      </c>
      <c r="E54" s="15">
        <v>133900</v>
      </c>
      <c r="F54" s="15">
        <v>127600</v>
      </c>
      <c r="G54" s="15">
        <v>121400</v>
      </c>
      <c r="H54" s="14"/>
      <c r="I54" s="15"/>
      <c r="J54" s="12" t="s">
        <v>23</v>
      </c>
      <c r="K54" s="12" t="s">
        <v>23</v>
      </c>
      <c r="L54" s="16">
        <f>(YEAR($C$3)-YEAR(C54))+(MONTH($C$3)-MONTH(C54))/12+(DAY($C$3)-DAY(C54))/365</f>
        <v>49.047716894977171</v>
      </c>
      <c r="M54" s="16">
        <f>(YEAR($C$3)-YEAR(D54))+(MONTH($C$3)-MONTH(D54))/12+(DAY($C$3)-DAY(D54))/365</f>
        <v>17.092694063926942</v>
      </c>
      <c r="N54" s="17">
        <f>IF(AND(E54="",F54="",G54=""),"",AVERAGE(E54:G54))</f>
        <v>127633.33333333333</v>
      </c>
      <c r="O54" s="18">
        <f>IF(OR(M54&lt;2,E54="",F54=""),"",E54/F54-1)</f>
        <v>4.9373040752351161E-2</v>
      </c>
    </row>
    <row r="55" spans="1:15" x14ac:dyDescent="0.25">
      <c r="A55" s="19">
        <v>565414</v>
      </c>
      <c r="B55" s="13" t="str">
        <f>TRIM(RIGHT(Data!B55,LEN(Data!B55)-SEARCH(",",Data!B55))&amp;" "&amp;LEFT(Data!B55,SEARCH(",",Data!B55)-1))</f>
        <v>Blake Aho</v>
      </c>
      <c r="C55" s="14">
        <v>21758</v>
      </c>
      <c r="D55" s="14">
        <v>41474</v>
      </c>
      <c r="E55" s="15">
        <v>132500</v>
      </c>
      <c r="F55" s="15">
        <v>57600</v>
      </c>
      <c r="G55" s="15"/>
      <c r="H55" s="14"/>
      <c r="I55" s="15"/>
      <c r="J55" s="12" t="s">
        <v>23</v>
      </c>
      <c r="K55" s="12"/>
      <c r="L55" s="16">
        <f>(YEAR($C$3)-YEAR(C55))+(MONTH($C$3)-MONTH(C55))/12+(DAY($C$3)-DAY(C55))/365</f>
        <v>55.42876712328767</v>
      </c>
      <c r="M55" s="16">
        <f>(YEAR($C$3)-YEAR(D55))+(MONTH($C$3)-MONTH(D55))/12+(DAY($C$3)-DAY(D55))/365</f>
        <v>1.4506849315068493</v>
      </c>
      <c r="N55" s="17">
        <f>IF(AND(E55="",F55="",G55=""),"",AVERAGE(E55:G55))</f>
        <v>95050</v>
      </c>
      <c r="O55" s="18" t="str">
        <f>IF(OR(M55&lt;2,E55="",F55=""),"",E55/F55-1)</f>
        <v/>
      </c>
    </row>
    <row r="56" spans="1:15" x14ac:dyDescent="0.25">
      <c r="A56" s="19">
        <v>570202</v>
      </c>
      <c r="B56" s="13" t="str">
        <f>TRIM(RIGHT(Data!B56,LEN(Data!B56)-SEARCH(",",Data!B56))&amp;" "&amp;LEFT(Data!B56,SEARCH(",",Data!B56)-1))</f>
        <v>Saleh Klendshoj</v>
      </c>
      <c r="C56" s="14">
        <v>16239</v>
      </c>
      <c r="D56" s="14">
        <v>40073</v>
      </c>
      <c r="E56" s="15">
        <v>90000</v>
      </c>
      <c r="F56" s="15">
        <v>85700</v>
      </c>
      <c r="G56" s="15">
        <v>81600</v>
      </c>
      <c r="H56" s="14"/>
      <c r="I56" s="15"/>
      <c r="J56" s="12" t="s">
        <v>23</v>
      </c>
      <c r="K56" s="12" t="s">
        <v>23</v>
      </c>
      <c r="L56" s="16">
        <f>(YEAR($C$3)-YEAR(C56))+(MONTH($C$3)-MONTH(C56))/12+(DAY($C$3)-DAY(C56))/365</f>
        <v>70.542237442922371</v>
      </c>
      <c r="M56" s="16">
        <f>(YEAR($C$3)-YEAR(D56))+(MONTH($C$3)-MONTH(D56))/12+(DAY($C$3)-DAY(D56))/365</f>
        <v>5.2894977168949771</v>
      </c>
      <c r="N56" s="17">
        <f>IF(AND(E56="",F56="",G56=""),"",AVERAGE(E56:G56))</f>
        <v>85766.666666666672</v>
      </c>
      <c r="O56" s="18">
        <f>IF(OR(M56&lt;2,E56="",F56=""),"",E56/F56-1)</f>
        <v>5.0175029171528607E-2</v>
      </c>
    </row>
    <row r="57" spans="1:15" x14ac:dyDescent="0.25">
      <c r="A57" s="19">
        <v>578408</v>
      </c>
      <c r="B57" s="13" t="str">
        <f>TRIM(RIGHT(Data!B57,LEN(Data!B57)-SEARCH(",",Data!B57))&amp;" "&amp;LEFT(Data!B57,SEARCH(",",Data!B57)-1))</f>
        <v>George Bartho</v>
      </c>
      <c r="C57" s="14">
        <v>17459</v>
      </c>
      <c r="D57" s="14">
        <v>40339</v>
      </c>
      <c r="E57" s="15">
        <v>89000</v>
      </c>
      <c r="F57" s="15">
        <v>84800</v>
      </c>
      <c r="G57" s="15">
        <v>80700</v>
      </c>
      <c r="H57" s="14"/>
      <c r="I57" s="15"/>
      <c r="J57" s="12" t="s">
        <v>23</v>
      </c>
      <c r="K57" s="12" t="s">
        <v>23</v>
      </c>
      <c r="L57" s="16">
        <f>(YEAR($C$3)-YEAR(C57))+(MONTH($C$3)-MONTH(C57))/12+(DAY($C$3)-DAY(C57))/365</f>
        <v>67.200684931506856</v>
      </c>
      <c r="M57" s="16">
        <f>(YEAR($C$3)-YEAR(D57))+(MONTH($C$3)-MONTH(D57))/12+(DAY($C$3)-DAY(D57))/365</f>
        <v>4.5586757990867577</v>
      </c>
      <c r="N57" s="17">
        <f>IF(AND(E57="",F57="",G57=""),"",AVERAGE(E57:G57))</f>
        <v>84833.333333333328</v>
      </c>
      <c r="O57" s="18">
        <f>IF(OR(M57&lt;2,E57="",F57=""),"",E57/F57-1)</f>
        <v>4.952830188679247E-2</v>
      </c>
    </row>
    <row r="58" spans="1:15" x14ac:dyDescent="0.25">
      <c r="A58" s="19">
        <v>579268</v>
      </c>
      <c r="B58" s="13" t="str">
        <f>TRIM(RIGHT(Data!B58,LEN(Data!B58)-SEARCH(",",Data!B58))&amp;" "&amp;LEFT(Data!B58,SEARCH(",",Data!B58)-1))</f>
        <v>Jessika Benson</v>
      </c>
      <c r="C58" s="14">
        <v>22081</v>
      </c>
      <c r="D58" s="14">
        <v>40774</v>
      </c>
      <c r="E58" s="15">
        <v>88000</v>
      </c>
      <c r="F58" s="15">
        <v>83800</v>
      </c>
      <c r="G58" s="15">
        <v>40000</v>
      </c>
      <c r="H58" s="14"/>
      <c r="I58" s="15"/>
      <c r="J58" s="12" t="s">
        <v>23</v>
      </c>
      <c r="K58" s="12" t="s">
        <v>23</v>
      </c>
      <c r="L58" s="16">
        <f>(YEAR($C$3)-YEAR(C58))+(MONTH($C$3)-MONTH(C58))/12+(DAY($C$3)-DAY(C58))/365</f>
        <v>54.547716894977171</v>
      </c>
      <c r="M58" s="16">
        <f>(YEAR($C$3)-YEAR(D58))+(MONTH($C$3)-MONTH(D58))/12+(DAY($C$3)-DAY(D58))/365</f>
        <v>3.3673515981735158</v>
      </c>
      <c r="N58" s="17">
        <f>IF(AND(E58="",F58="",G58=""),"",AVERAGE(E58:G58))</f>
        <v>70600</v>
      </c>
      <c r="O58" s="18">
        <f>IF(OR(M58&lt;2,E58="",F58=""),"",E58/F58-1)</f>
        <v>5.0119331742243478E-2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52BE-9A6E-478D-850E-A3E33161C6A3}">
  <dimension ref="A1:G54"/>
  <sheetViews>
    <sheetView tabSelected="1" workbookViewId="0"/>
  </sheetViews>
  <sheetFormatPr defaultRowHeight="15" x14ac:dyDescent="0.25"/>
  <cols>
    <col min="1" max="1" width="9.140625" style="20"/>
    <col min="2" max="2" width="28.5703125" customWidth="1"/>
    <col min="3" max="3" width="17.140625" customWidth="1"/>
    <col min="4" max="4" width="17" customWidth="1"/>
    <col min="5" max="7" width="17.140625" customWidth="1"/>
  </cols>
  <sheetData>
    <row r="1" spans="1:7" x14ac:dyDescent="0.25">
      <c r="A1" s="7" t="s">
        <v>2</v>
      </c>
      <c r="B1" s="8" t="s">
        <v>3</v>
      </c>
      <c r="C1" s="9" t="s">
        <v>4</v>
      </c>
      <c r="D1" s="8" t="s">
        <v>5</v>
      </c>
      <c r="E1" s="8" t="s">
        <v>6</v>
      </c>
      <c r="F1" s="8" t="s">
        <v>7</v>
      </c>
      <c r="G1" s="8" t="s">
        <v>8</v>
      </c>
    </row>
    <row r="2" spans="1:7" x14ac:dyDescent="0.25">
      <c r="A2" s="20">
        <f>Data!A6</f>
        <v>123451</v>
      </c>
      <c r="B2" t="str">
        <f>IF(LEN(Data1!B6)&lt;30,REPT(" ",30-LEN(Data1!B6))&amp;Data1!B6, LEFT(Data1!B6,30))</f>
        <v xml:space="preserve">                    Gordon Lee</v>
      </c>
      <c r="C2" s="20" t="str">
        <f>TEXT(Data!C6,"mm/dd/yyy")</f>
        <v>10/01/1937</v>
      </c>
      <c r="D2" s="20" t="str">
        <f>TEXT(Data!D6,"mm/dd/yyy")</f>
        <v>07/25/2002</v>
      </c>
      <c r="E2" s="20" t="str">
        <f>TEXT(Data!E6,"0000000")</f>
        <v>0000000</v>
      </c>
      <c r="F2" s="20" t="str">
        <f>TEXT(Data!F6,"0000000")</f>
        <v>0000000</v>
      </c>
      <c r="G2" s="20" t="str">
        <f>TEXT(Data!G6,"0000000")</f>
        <v>0000000</v>
      </c>
    </row>
    <row r="3" spans="1:7" x14ac:dyDescent="0.25">
      <c r="A3" s="20">
        <f>Data!A7</f>
        <v>123465</v>
      </c>
      <c r="B3" t="str">
        <f>IF(LEN(Data1!B7)&lt;30,REPT(" ",30-LEN(Data1!B7))&amp;Data1!B7, LEFT(Data1!B7,30))</f>
        <v xml:space="preserve">                 Bills Clinton</v>
      </c>
      <c r="C3" s="20" t="str">
        <f>TEXT(Data!C7,"mm/dd/yyy")</f>
        <v>01/01/1946</v>
      </c>
      <c r="D3" s="20" t="str">
        <f>TEXT(Data!D7,"mm/dd/yyy")</f>
        <v>07/25/2002</v>
      </c>
      <c r="E3" s="20" t="str">
        <f>TEXT(Data!E7,"0000000")</f>
        <v>0000000</v>
      </c>
      <c r="F3" s="20" t="str">
        <f>TEXT(Data!F7,"0000000")</f>
        <v>0000000</v>
      </c>
      <c r="G3" s="20" t="str">
        <f>TEXT(Data!G7,"0000000")</f>
        <v>0000000</v>
      </c>
    </row>
    <row r="4" spans="1:7" x14ac:dyDescent="0.25">
      <c r="A4" s="20">
        <f>Data!A8</f>
        <v>123466</v>
      </c>
      <c r="B4" t="str">
        <f>IF(LEN(Data1!B8)&lt;30,REPT(" ",30-LEN(Data1!B8))&amp;Data1!B8, LEFT(Data1!B8,30))</f>
        <v xml:space="preserve">                Hillary Jordon</v>
      </c>
      <c r="C4" s="20" t="str">
        <f>TEXT(Data!C8,"mm/dd/yyy")</f>
        <v>07/01/1960</v>
      </c>
      <c r="D4" s="20" t="str">
        <f>TEXT(Data!D8,"mm/dd/yyy")</f>
        <v>07/25/2002</v>
      </c>
      <c r="E4" s="20" t="str">
        <f>TEXT(Data!E8,"0000000")</f>
        <v>0000000</v>
      </c>
      <c r="F4" s="20" t="str">
        <f>TEXT(Data!F8,"0000000")</f>
        <v>0000000</v>
      </c>
      <c r="G4" s="20" t="str">
        <f>TEXT(Data!G8,"0000000")</f>
        <v>0000000</v>
      </c>
    </row>
    <row r="5" spans="1:7" x14ac:dyDescent="0.25">
      <c r="A5" s="20">
        <f>Data!A9</f>
        <v>123472</v>
      </c>
      <c r="B5" t="str">
        <f>IF(LEN(Data1!B9)&lt;30,REPT(" ",30-LEN(Data1!B9))&amp;Data1!B9, LEFT(Data1!B9,30))</f>
        <v xml:space="preserve">                 Benjamin Jobs</v>
      </c>
      <c r="C5" s="20" t="str">
        <f>TEXT(Data!C9,"mm/dd/yyy")</f>
        <v>01/01/1954</v>
      </c>
      <c r="D5" s="20" t="str">
        <f>TEXT(Data!D9,"mm/dd/yyy")</f>
        <v>07/25/2002</v>
      </c>
      <c r="E5" s="20" t="str">
        <f>TEXT(Data!E9,"0000000")</f>
        <v>0000000</v>
      </c>
      <c r="F5" s="20" t="str">
        <f>TEXT(Data!F9,"0000000")</f>
        <v>0000000</v>
      </c>
      <c r="G5" s="20" t="str">
        <f>TEXT(Data!G9,"0000000")</f>
        <v>0000000</v>
      </c>
    </row>
    <row r="6" spans="1:7" x14ac:dyDescent="0.25">
      <c r="A6" s="20">
        <f>Data!A10</f>
        <v>123484</v>
      </c>
      <c r="B6" t="str">
        <f>IF(LEN(Data1!B10)&lt;30,REPT(" ",30-LEN(Data1!B10))&amp;Data1!B10, LEFT(Data1!B10,30))</f>
        <v xml:space="preserve">                 George Larson</v>
      </c>
      <c r="C6" s="20" t="str">
        <f>TEXT(Data!C10,"mm/dd/yyy")</f>
        <v>11/01/1949</v>
      </c>
      <c r="D6" s="20" t="str">
        <f>TEXT(Data!D10,"mm/dd/yyy")</f>
        <v>07/25/2002</v>
      </c>
      <c r="E6" s="20" t="str">
        <f>TEXT(Data!E10,"0000000")</f>
        <v>0000000</v>
      </c>
      <c r="F6" s="20" t="str">
        <f>TEXT(Data!F10,"0000000")</f>
        <v>0000000</v>
      </c>
      <c r="G6" s="20" t="str">
        <f>TEXT(Data!G10,"0000000")</f>
        <v>0000000</v>
      </c>
    </row>
    <row r="7" spans="1:7" x14ac:dyDescent="0.25">
      <c r="A7" s="20">
        <f>Data!A11</f>
        <v>123485</v>
      </c>
      <c r="B7" t="str">
        <f>IF(LEN(Data1!B11)&lt;30,REPT(" ",30-LEN(Data1!B11))&amp;Data1!B11, LEFT(Data1!B11,30))</f>
        <v xml:space="preserve">                  Chris Larson</v>
      </c>
      <c r="C7" s="20" t="str">
        <f>TEXT(Data!C11,"mm/dd/yyy")</f>
        <v>07/01/1944</v>
      </c>
      <c r="D7" s="20" t="str">
        <f>TEXT(Data!D11,"mm/dd/yyy")</f>
        <v>07/25/2002</v>
      </c>
      <c r="E7" s="20" t="str">
        <f>TEXT(Data!E11,"0000000")</f>
        <v>0000000</v>
      </c>
      <c r="F7" s="20" t="str">
        <f>TEXT(Data!F11,"0000000")</f>
        <v>0000000</v>
      </c>
      <c r="G7" s="20" t="str">
        <f>TEXT(Data!G11,"0000000")</f>
        <v>0000000</v>
      </c>
    </row>
    <row r="8" spans="1:7" x14ac:dyDescent="0.25">
      <c r="A8" s="20">
        <f>Data!A12</f>
        <v>123486</v>
      </c>
      <c r="B8" t="str">
        <f>IF(LEN(Data1!B12)&lt;30,REPT(" ",30-LEN(Data1!B12))&amp;Data1!B12, LEFT(Data1!B12,30))</f>
        <v xml:space="preserve">                     Eric Wang</v>
      </c>
      <c r="C8" s="20" t="str">
        <f>TEXT(Data!C12,"mm/dd/yyy")</f>
        <v>01/01/1954</v>
      </c>
      <c r="D8" s="20" t="str">
        <f>TEXT(Data!D12,"mm/dd/yyy")</f>
        <v>07/25/2002</v>
      </c>
      <c r="E8" s="20" t="str">
        <f>TEXT(Data!E12,"0000000")</f>
        <v>0000000</v>
      </c>
      <c r="F8" s="20" t="str">
        <f>TEXT(Data!F12,"0000000")</f>
        <v>0000000</v>
      </c>
      <c r="G8" s="20" t="str">
        <f>TEXT(Data!G12,"0000000")</f>
        <v>0000000</v>
      </c>
    </row>
    <row r="9" spans="1:7" x14ac:dyDescent="0.25">
      <c r="A9" s="20">
        <f>Data!A13</f>
        <v>123491</v>
      </c>
      <c r="B9" t="str">
        <f>IF(LEN(Data1!B13)&lt;30,REPT(" ",30-LEN(Data1!B13))&amp;Data1!B13, LEFT(Data1!B13,30))</f>
        <v xml:space="preserve">                Amanda Shapiro</v>
      </c>
      <c r="C9" s="20" t="str">
        <f>TEXT(Data!C13,"mm/dd/yyy")</f>
        <v>10/02/1965</v>
      </c>
      <c r="D9" s="20" t="str">
        <f>TEXT(Data!D13,"mm/dd/yyy")</f>
        <v>04/20/1995</v>
      </c>
      <c r="E9" s="20" t="str">
        <f>TEXT(Data!E13,"0000000")</f>
        <v>0250000</v>
      </c>
      <c r="F9" s="20" t="str">
        <f>TEXT(Data!F13,"0000000")</f>
        <v>0230000</v>
      </c>
      <c r="G9" s="20" t="str">
        <f>TEXT(Data!G13,"0000000")</f>
        <v>0210000</v>
      </c>
    </row>
    <row r="10" spans="1:7" x14ac:dyDescent="0.25">
      <c r="A10" s="20">
        <f>Data!A14</f>
        <v>144983</v>
      </c>
      <c r="B10" t="str">
        <f>IF(LEN(Data1!B14)&lt;30,REPT(" ",30-LEN(Data1!B14))&amp;Data1!B14, LEFT(Data1!B14,30))</f>
        <v xml:space="preserve">              Adrienne Donovan</v>
      </c>
      <c r="C10" s="20" t="str">
        <f>TEXT(Data!C14,"mm/dd/yyy")</f>
        <v>07/26/1975</v>
      </c>
      <c r="D10" s="20" t="str">
        <f>TEXT(Data!D14,"mm/dd/yyy")</f>
        <v>01/15/2004</v>
      </c>
      <c r="E10" s="20" t="str">
        <f>TEXT(Data!E14,"0000000")</f>
        <v>0099000</v>
      </c>
      <c r="F10" s="20" t="str">
        <f>TEXT(Data!F14,"0000000")</f>
        <v>0094300</v>
      </c>
      <c r="G10" s="20" t="str">
        <f>TEXT(Data!G14,"0000000")</f>
        <v>0089800</v>
      </c>
    </row>
    <row r="11" spans="1:7" x14ac:dyDescent="0.25">
      <c r="A11" s="20">
        <f>Data!A15</f>
        <v>187427</v>
      </c>
      <c r="B11" t="str">
        <f>IF(LEN(Data1!B15)&lt;30,REPT(" ",30-LEN(Data1!B15))&amp;Data1!B15, LEFT(Data1!B15,30))</f>
        <v xml:space="preserve">                  Bret Tiedens</v>
      </c>
      <c r="C11" s="20" t="str">
        <f>TEXT(Data!C15,"mm/dd/yyy")</f>
        <v>12/16/1957</v>
      </c>
      <c r="D11" s="20" t="str">
        <f>TEXT(Data!D15,"mm/dd/yyy")</f>
        <v>12/20/2003</v>
      </c>
      <c r="E11" s="20" t="str">
        <f>TEXT(Data!E15,"0000000")</f>
        <v>0098000</v>
      </c>
      <c r="F11" s="20" t="str">
        <f>TEXT(Data!F15,"0000000")</f>
        <v>0093300</v>
      </c>
      <c r="G11" s="20" t="str">
        <f>TEXT(Data!G15,"0000000")</f>
        <v>0088900</v>
      </c>
    </row>
    <row r="12" spans="1:7" x14ac:dyDescent="0.25">
      <c r="A12" s="20">
        <f>Data!A16</f>
        <v>189508</v>
      </c>
      <c r="B12" t="str">
        <f>IF(LEN(Data1!B16)&lt;30,REPT(" ",30-LEN(Data1!B16))&amp;Data1!B16, LEFT(Data1!B16,30))</f>
        <v xml:space="preserve">                 Celina Souers</v>
      </c>
      <c r="C12" s="20" t="str">
        <f>TEXT(Data!C16,"mm/dd/yyy")</f>
        <v>10/05/1982</v>
      </c>
      <c r="D12" s="20" t="str">
        <f>TEXT(Data!D16,"mm/dd/yyy")</f>
        <v>11/17/1995</v>
      </c>
      <c r="E12" s="20" t="str">
        <f>TEXT(Data!E16,"0000000")</f>
        <v>0097000</v>
      </c>
      <c r="F12" s="20" t="str">
        <f>TEXT(Data!F16,"0000000")</f>
        <v>0092400</v>
      </c>
      <c r="G12" s="20" t="str">
        <f>TEXT(Data!G16,"0000000")</f>
        <v>0088000</v>
      </c>
    </row>
    <row r="13" spans="1:7" x14ac:dyDescent="0.25">
      <c r="A13" s="20">
        <f>Data!A17</f>
        <v>199741</v>
      </c>
      <c r="B13" t="str">
        <f>IF(LEN(Data1!B17)&lt;30,REPT(" ",30-LEN(Data1!B17))&amp;Data1!B17, LEFT(Data1!B17,30))</f>
        <v xml:space="preserve">               Steve Al Jaloud</v>
      </c>
      <c r="C13" s="20" t="str">
        <f>TEXT(Data!C17,"mm/dd/yyy")</f>
        <v>01/02/1945</v>
      </c>
      <c r="D13" s="20" t="str">
        <f>TEXT(Data!D17,"mm/dd/yyy")</f>
        <v>05/14/1998</v>
      </c>
      <c r="E13" s="20" t="str">
        <f>TEXT(Data!E17,"0000000")</f>
        <v>0096000</v>
      </c>
      <c r="F13" s="20" t="str">
        <f>TEXT(Data!F17,"0000000")</f>
        <v>0091400</v>
      </c>
      <c r="G13" s="20" t="str">
        <f>TEXT(Data!G17,"0000000")</f>
        <v>0087100</v>
      </c>
    </row>
    <row r="14" spans="1:7" x14ac:dyDescent="0.25">
      <c r="A14" s="20">
        <f>Data!A18</f>
        <v>205217</v>
      </c>
      <c r="B14" t="str">
        <f>IF(LEN(Data1!B18)&lt;30,REPT(" ",30-LEN(Data1!B18))&amp;Data1!B18, LEFT(Data1!B18,30))</f>
        <v xml:space="preserve">                Natalie Butina</v>
      </c>
      <c r="C14" s="20" t="str">
        <f>TEXT(Data!C18,"mm/dd/yyy")</f>
        <v>03/28/1948</v>
      </c>
      <c r="D14" s="20" t="str">
        <f>TEXT(Data!D18,"mm/dd/yyy")</f>
        <v>06/17/1995</v>
      </c>
      <c r="E14" s="20" t="str">
        <f>TEXT(Data!E18,"0000000")</f>
        <v>0095000</v>
      </c>
      <c r="F14" s="20" t="str">
        <f>TEXT(Data!F18,"0000000")</f>
        <v>0090500</v>
      </c>
      <c r="G14" s="20" t="str">
        <f>TEXT(Data!G18,"0000000")</f>
        <v>0086200</v>
      </c>
    </row>
    <row r="15" spans="1:7" x14ac:dyDescent="0.25">
      <c r="A15" s="20">
        <f>Data!A19</f>
        <v>206418</v>
      </c>
      <c r="B15" t="str">
        <f>IF(LEN(Data1!B19)&lt;30,REPT(" ",30-LEN(Data1!B19))&amp;Data1!B19, LEFT(Data1!B19,30))</f>
        <v xml:space="preserve">                Nicholas Olson</v>
      </c>
      <c r="C15" s="20" t="str">
        <f>TEXT(Data!C19,"mm/dd/yyy")</f>
        <v>02/23/1957</v>
      </c>
      <c r="D15" s="20" t="str">
        <f>TEXT(Data!D19,"mm/dd/yyy")</f>
        <v>11/15/2010</v>
      </c>
      <c r="E15" s="20" t="str">
        <f>TEXT(Data!E19,"0000000")</f>
        <v>0320000</v>
      </c>
      <c r="F15" s="20" t="str">
        <f>TEXT(Data!F19,"0000000")</f>
        <v>0032000</v>
      </c>
      <c r="G15" s="20" t="str">
        <f>TEXT(Data!G19,"0000000")</f>
        <v>0000000</v>
      </c>
    </row>
    <row r="16" spans="1:7" x14ac:dyDescent="0.25">
      <c r="A16" s="20">
        <f>Data!A20</f>
        <v>218201</v>
      </c>
      <c r="B16" t="str">
        <f>IF(LEN(Data1!B20)&lt;30,REPT(" ",30-LEN(Data1!B20))&amp;Data1!B20, LEFT(Data1!B20,30))</f>
        <v xml:space="preserve">              Michelle Richman</v>
      </c>
      <c r="C16" s="20" t="str">
        <f>TEXT(Data!C20,"mm/dd/yyy")</f>
        <v>04/22/1943</v>
      </c>
      <c r="D16" s="20" t="str">
        <f>TEXT(Data!D20,"mm/dd/yyy")</f>
        <v>10/24/1996</v>
      </c>
      <c r="E16" s="20" t="str">
        <f>TEXT(Data!E20,"0000000")</f>
        <v>0093000</v>
      </c>
      <c r="F16" s="20" t="str">
        <f>TEXT(Data!F20,"0000000")</f>
        <v>0088600</v>
      </c>
      <c r="G16" s="20" t="str">
        <f>TEXT(Data!G20,"0000000")</f>
        <v>0084400</v>
      </c>
    </row>
    <row r="17" spans="1:7" x14ac:dyDescent="0.25">
      <c r="A17" s="20">
        <f>Data!A21</f>
        <v>225139</v>
      </c>
      <c r="B17" t="str">
        <f>IF(LEN(Data1!B21)&lt;30,REPT(" ",30-LEN(Data1!B21))&amp;Data1!B21, LEFT(Data1!B21,30))</f>
        <v xml:space="preserve">                 Aaron Johnson</v>
      </c>
      <c r="C17" s="20" t="str">
        <f>TEXT(Data!C21,"mm/dd/yyy")</f>
        <v>01/18/1993</v>
      </c>
      <c r="D17" s="20" t="str">
        <f>TEXT(Data!D21,"mm/dd/yyy")</f>
        <v>06/14/2012</v>
      </c>
      <c r="E17" s="20" t="str">
        <f>TEXT(Data!E21,"0000000")</f>
        <v>0092000</v>
      </c>
      <c r="F17" s="20" t="str">
        <f>TEXT(Data!F21,"0000000")</f>
        <v>0040000</v>
      </c>
      <c r="G17" s="20" t="str">
        <f>TEXT(Data!G21,"0000000")</f>
        <v>0000000</v>
      </c>
    </row>
    <row r="18" spans="1:7" x14ac:dyDescent="0.25">
      <c r="A18" s="20">
        <f>Data!A22</f>
        <v>232072</v>
      </c>
      <c r="B18" t="str">
        <f>IF(LEN(Data1!B22)&lt;30,REPT(" ",30-LEN(Data1!B22))&amp;Data1!B22, LEFT(Data1!B22,30))</f>
        <v xml:space="preserve">             Jeanne M Brinkley</v>
      </c>
      <c r="C18" s="20" t="str">
        <f>TEXT(Data!C22,"mm/dd/yyy")</f>
        <v>07/02/1966</v>
      </c>
      <c r="D18" s="20" t="str">
        <f>TEXT(Data!D22,"mm/dd/yyy")</f>
        <v>07/05/2008</v>
      </c>
      <c r="E18" s="20" t="str">
        <f>TEXT(Data!E22,"0000000")</f>
        <v>0091000</v>
      </c>
      <c r="F18" s="20" t="str">
        <f>TEXT(Data!F22,"0000000")</f>
        <v>0086700</v>
      </c>
      <c r="G18" s="20" t="str">
        <f>TEXT(Data!G22,"0000000")</f>
        <v>0082500</v>
      </c>
    </row>
    <row r="19" spans="1:7" x14ac:dyDescent="0.25">
      <c r="A19" s="20">
        <f>Data!A23</f>
        <v>250067</v>
      </c>
      <c r="B19" t="str">
        <f>IF(LEN(Data1!B23)&lt;30,REPT(" ",30-LEN(Data1!B23))&amp;Data1!B23, LEFT(Data1!B23,30))</f>
        <v xml:space="preserve">            Roxanne L Brinkley</v>
      </c>
      <c r="C19" s="20" t="str">
        <f>TEXT(Data!C23,"mm/dd/yyy")</f>
        <v>02/29/1960</v>
      </c>
      <c r="D19" s="20" t="str">
        <f>TEXT(Data!D23,"mm/dd/yyy")</f>
        <v>09/17/2009</v>
      </c>
      <c r="E19" s="20" t="str">
        <f>TEXT(Data!E23,"0000000")</f>
        <v>0090000</v>
      </c>
      <c r="F19" s="20" t="str">
        <f>TEXT(Data!F23,"0000000")</f>
        <v>0085700</v>
      </c>
      <c r="G19" s="20" t="str">
        <f>TEXT(Data!G23,"0000000")</f>
        <v>0081600</v>
      </c>
    </row>
    <row r="20" spans="1:7" x14ac:dyDescent="0.25">
      <c r="A20" s="20">
        <f>Data!A24</f>
        <v>253862</v>
      </c>
      <c r="B20" t="str">
        <f>IF(LEN(Data1!B24)&lt;30,REPT(" ",30-LEN(Data1!B24))&amp;Data1!B24, LEFT(Data1!B24,30))</f>
        <v xml:space="preserve">                 Yuyang Nelson</v>
      </c>
      <c r="C20" s="20" t="str">
        <f>TEXT(Data!C24,"mm/dd/yyy")</f>
        <v>11/17/1963</v>
      </c>
      <c r="D20" s="20" t="str">
        <f>TEXT(Data!D24,"mm/dd/yyy")</f>
        <v>06/10/2010</v>
      </c>
      <c r="E20" s="20" t="str">
        <f>TEXT(Data!E24,"0000000")</f>
        <v>0089000</v>
      </c>
      <c r="F20" s="20" t="str">
        <f>TEXT(Data!F24,"0000000")</f>
        <v>0084800</v>
      </c>
      <c r="G20" s="20" t="str">
        <f>TEXT(Data!G24,"0000000")</f>
        <v>0080700</v>
      </c>
    </row>
    <row r="21" spans="1:7" x14ac:dyDescent="0.25">
      <c r="A21" s="20">
        <f>Data!A25</f>
        <v>255179</v>
      </c>
      <c r="B21" t="str">
        <f>IF(LEN(Data1!B25)&lt;30,REPT(" ",30-LEN(Data1!B25))&amp;Data1!B25, LEFT(Data1!B25,30))</f>
        <v xml:space="preserve">                  Bill Bossler</v>
      </c>
      <c r="C21" s="20" t="str">
        <f>TEXT(Data!C25,"mm/dd/yyy")</f>
        <v>12/31/1960</v>
      </c>
      <c r="D21" s="20" t="str">
        <f>TEXT(Data!D25,"mm/dd/yyy")</f>
        <v>08/19/2011</v>
      </c>
      <c r="E21" s="20" t="str">
        <f>TEXT(Data!E25,"0000000")</f>
        <v>0088000</v>
      </c>
      <c r="F21" s="20" t="str">
        <f>TEXT(Data!F25,"0000000")</f>
        <v>0083800</v>
      </c>
      <c r="G21" s="20" t="str">
        <f>TEXT(Data!G25,"0000000")</f>
        <v>0040000</v>
      </c>
    </row>
    <row r="22" spans="1:7" x14ac:dyDescent="0.25">
      <c r="A22" s="20">
        <f>Data!A26</f>
        <v>258130</v>
      </c>
      <c r="B22" t="str">
        <f>IF(LEN(Data1!B26)&lt;30,REPT(" ",30-LEN(Data1!B26))&amp;Data1!B26, LEFT(Data1!B26,30))</f>
        <v xml:space="preserve">                 Scott G Cress</v>
      </c>
      <c r="C22" s="20" t="str">
        <f>TEXT(Data!C26,"mm/dd/yyy")</f>
        <v>09/26/1979</v>
      </c>
      <c r="D22" s="20" t="str">
        <f>TEXT(Data!D26,"mm/dd/yyy")</f>
        <v>07/25/2002</v>
      </c>
      <c r="E22" s="20" t="str">
        <f>TEXT(Data!E26,"0000000")</f>
        <v>0087000</v>
      </c>
      <c r="F22" s="20" t="str">
        <f>TEXT(Data!F26,"0000000")</f>
        <v>0082900</v>
      </c>
      <c r="G22" s="20" t="str">
        <f>TEXT(Data!G26,"0000000")</f>
        <v>0078900</v>
      </c>
    </row>
    <row r="23" spans="1:7" x14ac:dyDescent="0.25">
      <c r="A23" s="20">
        <f>Data!A27</f>
        <v>286491</v>
      </c>
      <c r="B23" t="str">
        <f>IF(LEN(Data1!B27)&lt;30,REPT(" ",30-LEN(Data1!B27))&amp;Data1!B27, LEFT(Data1!B27,30))</f>
        <v xml:space="preserve">              Patric Aljebreen</v>
      </c>
      <c r="C23" s="20" t="str">
        <f>TEXT(Data!C27,"mm/dd/yyy")</f>
        <v>11/08/1943</v>
      </c>
      <c r="D23" s="20" t="str">
        <f>TEXT(Data!D27,"mm/dd/yyy")</f>
        <v>01/24/1985</v>
      </c>
      <c r="E23" s="20" t="str">
        <f>TEXT(Data!E27,"0000000")</f>
        <v>0086000</v>
      </c>
      <c r="F23" s="20" t="str">
        <f>TEXT(Data!F27,"0000000")</f>
        <v>0081900</v>
      </c>
      <c r="G23" s="20" t="str">
        <f>TEXT(Data!G27,"0000000")</f>
        <v>0078000</v>
      </c>
    </row>
    <row r="24" spans="1:7" x14ac:dyDescent="0.25">
      <c r="A24" s="20">
        <f>Data!A28</f>
        <v>290999</v>
      </c>
      <c r="B24" t="str">
        <f>IF(LEN(Data1!B28)&lt;30,REPT(" ",30-LEN(Data1!B28))&amp;Data1!B28, LEFT(Data1!B28,30))</f>
        <v xml:space="preserve">                  Diane M Dehn</v>
      </c>
      <c r="C24" s="20" t="str">
        <f>TEXT(Data!C28,"mm/dd/yyy")</f>
        <v>02/27/1971</v>
      </c>
      <c r="D24" s="20" t="str">
        <f>TEXT(Data!D28,"mm/dd/yyy")</f>
        <v>11/22/2013</v>
      </c>
      <c r="E24" s="20" t="str">
        <f>TEXT(Data!E28,"0000000")</f>
        <v>0085000</v>
      </c>
      <c r="F24" s="20" t="str">
        <f>TEXT(Data!F28,"0000000")</f>
        <v>0002000</v>
      </c>
      <c r="G24" s="20" t="str">
        <f>TEXT(Data!G28,"0000000")</f>
        <v>0000000</v>
      </c>
    </row>
    <row r="25" spans="1:7" x14ac:dyDescent="0.25">
      <c r="A25" s="20">
        <f>Data!A29</f>
        <v>300843</v>
      </c>
      <c r="B25" t="str">
        <f>IF(LEN(Data1!B29)&lt;30,REPT(" ",30-LEN(Data1!B29))&amp;Data1!B29, LEFT(Data1!B29,30))</f>
        <v xml:space="preserve">                    Eric Baker</v>
      </c>
      <c r="C25" s="20" t="str">
        <f>TEXT(Data!C29,"mm/dd/yyy")</f>
        <v>05/06/1948</v>
      </c>
      <c r="D25" s="20" t="str">
        <f>TEXT(Data!D29,"mm/dd/yyy")</f>
        <v>04/09/1987</v>
      </c>
      <c r="E25" s="20" t="str">
        <f>TEXT(Data!E29,"0000000")</f>
        <v>0084000</v>
      </c>
      <c r="F25" s="20" t="str">
        <f>TEXT(Data!F29,"0000000")</f>
        <v>0080000</v>
      </c>
      <c r="G25" s="20" t="str">
        <f>TEXT(Data!G29,"0000000")</f>
        <v>0076200</v>
      </c>
    </row>
    <row r="26" spans="1:7" x14ac:dyDescent="0.25">
      <c r="A26" s="20">
        <f>Data!A30</f>
        <v>302798</v>
      </c>
      <c r="B26" t="str">
        <f>IF(LEN(Data1!B30)&lt;30,REPT(" ",30-LEN(Data1!B30))&amp;Data1!B30, LEFT(Data1!B30,30))</f>
        <v xml:space="preserve">                    Ryan Asche</v>
      </c>
      <c r="C26" s="20" t="str">
        <f>TEXT(Data!C30,"mm/dd/yyy")</f>
        <v>03/10/1979</v>
      </c>
      <c r="D26" s="20" t="str">
        <f>TEXT(Data!D30,"mm/dd/yyy")</f>
        <v>11/06/1995</v>
      </c>
      <c r="E26" s="20" t="str">
        <f>TEXT(Data!E30,"0000000")</f>
        <v>0300000</v>
      </c>
      <c r="F26" s="20" t="str">
        <f>TEXT(Data!F30,"0000000")</f>
        <v>0276000</v>
      </c>
      <c r="G26" s="20" t="str">
        <f>TEXT(Data!G30,"0000000")</f>
        <v>0252000</v>
      </c>
    </row>
    <row r="27" spans="1:7" x14ac:dyDescent="0.25">
      <c r="A27" s="20">
        <f>Data!A31</f>
        <v>310267</v>
      </c>
      <c r="B27" t="str">
        <f>IF(LEN(Data1!B31)&lt;30,REPT(" ",30-LEN(Data1!B31))&amp;Data1!B31, LEFT(Data1!B31,30))</f>
        <v xml:space="preserve">                 Jerome F Chen</v>
      </c>
      <c r="C27" s="20" t="str">
        <f>TEXT(Data!C31,"mm/dd/yyy")</f>
        <v>06/04/1964</v>
      </c>
      <c r="D27" s="20" t="str">
        <f>TEXT(Data!D31,"mm/dd/yyy")</f>
        <v>08/02/2004</v>
      </c>
      <c r="E27" s="20" t="str">
        <f>TEXT(Data!E31,"0000000")</f>
        <v>0118800</v>
      </c>
      <c r="F27" s="20" t="str">
        <f>TEXT(Data!F31,"0000000")</f>
        <v>0113100</v>
      </c>
      <c r="G27" s="20" t="str">
        <f>TEXT(Data!G31,"0000000")</f>
        <v>0107800</v>
      </c>
    </row>
    <row r="28" spans="1:7" x14ac:dyDescent="0.25">
      <c r="A28" s="20">
        <f>Data!A32</f>
        <v>313615</v>
      </c>
      <c r="B28" t="str">
        <f>IF(LEN(Data1!B32)&lt;30,REPT(" ",30-LEN(Data1!B32))&amp;Data1!B32, LEFT(Data1!B32,30))</f>
        <v xml:space="preserve">                  Tracy A Gist</v>
      </c>
      <c r="C28" s="20" t="str">
        <f>TEXT(Data!C32,"mm/dd/yyy")</f>
        <v>08/06/1993</v>
      </c>
      <c r="D28" s="20" t="str">
        <f>TEXT(Data!D32,"mm/dd/yyy")</f>
        <v>07/07/2004</v>
      </c>
      <c r="E28" s="20" t="str">
        <f>TEXT(Data!E32,"0000000")</f>
        <v>0117600</v>
      </c>
      <c r="F28" s="20" t="str">
        <f>TEXT(Data!F32,"0000000")</f>
        <v>0112000</v>
      </c>
      <c r="G28" s="20" t="str">
        <f>TEXT(Data!G32,"0000000")</f>
        <v>0106700</v>
      </c>
    </row>
    <row r="29" spans="1:7" x14ac:dyDescent="0.25">
      <c r="A29" s="20">
        <f>Data!A33</f>
        <v>320387</v>
      </c>
      <c r="B29" t="str">
        <f>IF(LEN(Data1!B33)&lt;30,REPT(" ",30-LEN(Data1!B33))&amp;Data1!B33, LEFT(Data1!B33,30))</f>
        <v xml:space="preserve">                Jeremy Carlson</v>
      </c>
      <c r="C29" s="20" t="str">
        <f>TEXT(Data!C33,"mm/dd/yyy")</f>
        <v>08/11/1970</v>
      </c>
      <c r="D29" s="20" t="str">
        <f>TEXT(Data!D33,"mm/dd/yyy")</f>
        <v>06/04/1996</v>
      </c>
      <c r="E29" s="20" t="str">
        <f>TEXT(Data!E33,"0000000")</f>
        <v>0116400</v>
      </c>
      <c r="F29" s="20" t="str">
        <f>TEXT(Data!F33,"0000000")</f>
        <v>0110900</v>
      </c>
      <c r="G29" s="20" t="str">
        <f>TEXT(Data!G33,"0000000")</f>
        <v>0105600</v>
      </c>
    </row>
    <row r="30" spans="1:7" x14ac:dyDescent="0.25">
      <c r="A30" s="20">
        <f>Data!A34</f>
        <v>340436</v>
      </c>
      <c r="B30" t="str">
        <f>IF(LEN(Data1!B34)&lt;30,REPT(" ",30-LEN(Data1!B34))&amp;Data1!B34, LEFT(Data1!B34,30))</f>
        <v xml:space="preserve">               DeeAnn S Duvall</v>
      </c>
      <c r="C30" s="20" t="str">
        <f>TEXT(Data!C34,"mm/dd/yyy")</f>
        <v>02/01/1976</v>
      </c>
      <c r="D30" s="20" t="str">
        <f>TEXT(Data!D34,"mm/dd/yyy")</f>
        <v>11/30/1998</v>
      </c>
      <c r="E30" s="20" t="str">
        <f>TEXT(Data!E34,"0000000")</f>
        <v>0115200</v>
      </c>
      <c r="F30" s="20" t="str">
        <f>TEXT(Data!F34,"0000000")</f>
        <v>0109700</v>
      </c>
      <c r="G30" s="20" t="str">
        <f>TEXT(Data!G34,"0000000")</f>
        <v>0104500</v>
      </c>
    </row>
    <row r="31" spans="1:7" x14ac:dyDescent="0.25">
      <c r="A31" s="20">
        <f>Data!A35</f>
        <v>345767</v>
      </c>
      <c r="B31" t="str">
        <f>IF(LEN(Data1!B35)&lt;30,REPT(" ",30-LEN(Data1!B35))&amp;Data1!B35, LEFT(Data1!B35,30))</f>
        <v xml:space="preserve">                 Susann K Gall</v>
      </c>
      <c r="C31" s="20" t="str">
        <f>TEXT(Data!C35,"mm/dd/yyy")</f>
        <v>04/20/1966</v>
      </c>
      <c r="D31" s="20" t="str">
        <f>TEXT(Data!D35,"mm/dd/yyy")</f>
        <v>01/03/1996</v>
      </c>
      <c r="E31" s="20" t="str">
        <f>TEXT(Data!E35,"0000000")</f>
        <v>0114000</v>
      </c>
      <c r="F31" s="20" t="str">
        <f>TEXT(Data!F35,"0000000")</f>
        <v>0108600</v>
      </c>
      <c r="G31" s="20" t="str">
        <f>TEXT(Data!G35,"0000000")</f>
        <v>0103400</v>
      </c>
    </row>
    <row r="32" spans="1:7" x14ac:dyDescent="0.25">
      <c r="A32" s="20">
        <f>Data!A36</f>
        <v>352244</v>
      </c>
      <c r="B32" t="str">
        <f>IF(LEN(Data1!B36)&lt;30,REPT(" ",30-LEN(Data1!B36))&amp;Data1!B36, LEFT(Data1!B36,30))</f>
        <v xml:space="preserve">            Susan R Harvestine</v>
      </c>
      <c r="C32" s="20" t="str">
        <f>TEXT(Data!C36,"mm/dd/yyy")</f>
        <v>07/04/1958</v>
      </c>
      <c r="D32" s="20" t="str">
        <f>TEXT(Data!D36,"mm/dd/yyy")</f>
        <v>06/04/2013</v>
      </c>
      <c r="E32" s="20" t="str">
        <f>TEXT(Data!E36,"0000000")</f>
        <v>0384000</v>
      </c>
      <c r="F32" s="20" t="str">
        <f>TEXT(Data!F36,"0000000")</f>
        <v>0038400</v>
      </c>
      <c r="G32" s="20" t="str">
        <f>TEXT(Data!G36,"0000000")</f>
        <v>0000000</v>
      </c>
    </row>
    <row r="33" spans="1:7" x14ac:dyDescent="0.25">
      <c r="A33" s="20">
        <f>Data!A37</f>
        <v>357982</v>
      </c>
      <c r="B33" t="str">
        <f>IF(LEN(Data1!B37)&lt;30,REPT(" ",30-LEN(Data1!B37))&amp;Data1!B37, LEFT(Data1!B37,30))</f>
        <v xml:space="preserve">              Richard G Harada</v>
      </c>
      <c r="C33" s="20" t="str">
        <f>TEXT(Data!C37,"mm/dd/yyy")</f>
        <v>10/14/1948</v>
      </c>
      <c r="D33" s="20" t="str">
        <f>TEXT(Data!D37,"mm/dd/yyy")</f>
        <v>05/12/1997</v>
      </c>
      <c r="E33" s="20" t="str">
        <f>TEXT(Data!E37,"0000000")</f>
        <v>0111600</v>
      </c>
      <c r="F33" s="20" t="str">
        <f>TEXT(Data!F37,"0000000")</f>
        <v>0106300</v>
      </c>
      <c r="G33" s="20" t="str">
        <f>TEXT(Data!G37,"0000000")</f>
        <v>0101200</v>
      </c>
    </row>
    <row r="34" spans="1:7" x14ac:dyDescent="0.25">
      <c r="A34" s="20">
        <f>Data!A38</f>
        <v>369257</v>
      </c>
      <c r="B34" t="str">
        <f>IF(LEN(Data1!B38)&lt;30,REPT(" ",30-LEN(Data1!B38))&amp;Data1!B38, LEFT(Data1!B38,30))</f>
        <v xml:space="preserve">                  Robert L Guy</v>
      </c>
      <c r="C34" s="20" t="str">
        <f>TEXT(Data!C38,"mm/dd/yyy")</f>
        <v>12/29/1909</v>
      </c>
      <c r="D34" s="20" t="str">
        <f>TEXT(Data!D38,"mm/dd/yyy")</f>
        <v>12/31/2012</v>
      </c>
      <c r="E34" s="20" t="str">
        <f>TEXT(Data!E38,"0000000")</f>
        <v>0110400</v>
      </c>
      <c r="F34" s="20" t="str">
        <f>TEXT(Data!F38,"0000000")</f>
        <v>0048000</v>
      </c>
      <c r="G34" s="20" t="str">
        <f>TEXT(Data!G38,"0000000")</f>
        <v>0000000</v>
      </c>
    </row>
    <row r="35" spans="1:7" x14ac:dyDescent="0.25">
      <c r="A35" s="20">
        <f>Data!A39</f>
        <v>375122</v>
      </c>
      <c r="B35" t="str">
        <f>IF(LEN(Data1!B39)&lt;30,REPT(" ",30-LEN(Data1!B39))&amp;Data1!B39, LEFT(Data1!B39,30))</f>
        <v xml:space="preserve">           Rebecca M Kampwerth</v>
      </c>
      <c r="C35" s="20" t="str">
        <f>TEXT(Data!C39,"mm/dd/yyy")</f>
        <v>11/22/1948</v>
      </c>
      <c r="D35" s="20" t="str">
        <f>TEXT(Data!D39,"mm/dd/yyy")</f>
        <v>01/21/2009</v>
      </c>
      <c r="E35" s="20" t="str">
        <f>TEXT(Data!E39,"0000000")</f>
        <v>0109200</v>
      </c>
      <c r="F35" s="20" t="str">
        <f>TEXT(Data!F39,"0000000")</f>
        <v>0104000</v>
      </c>
      <c r="G35" s="20" t="str">
        <f>TEXT(Data!G39,"0000000")</f>
        <v>0099000</v>
      </c>
    </row>
    <row r="36" spans="1:7" x14ac:dyDescent="0.25">
      <c r="A36" s="20">
        <f>Data!A40</f>
        <v>406300</v>
      </c>
      <c r="B36" t="str">
        <f>IF(LEN(Data1!B40)&lt;30,REPT(" ",30-LEN(Data1!B40))&amp;Data1!B40, LEFT(Data1!B40,30))</f>
        <v xml:space="preserve">                  Alexis Asche</v>
      </c>
      <c r="C36" s="20" t="str">
        <f>TEXT(Data!C40,"mm/dd/yyy")</f>
        <v>01/01/1900</v>
      </c>
      <c r="D36" s="20" t="str">
        <f>TEXT(Data!D40,"mm/dd/yyy")</f>
        <v>04/05/2010</v>
      </c>
      <c r="E36" s="20" t="str">
        <f>TEXT(Data!E40,"0000000")</f>
        <v>0108000</v>
      </c>
      <c r="F36" s="20" t="str">
        <f>TEXT(Data!F40,"0000000")</f>
        <v>0102900</v>
      </c>
      <c r="G36" s="20" t="str">
        <f>TEXT(Data!G40,"0000000")</f>
        <v>0098000</v>
      </c>
    </row>
    <row r="37" spans="1:7" x14ac:dyDescent="0.25">
      <c r="A37" s="20">
        <f>Data!A41</f>
        <v>422365</v>
      </c>
      <c r="B37" t="str">
        <f>IF(LEN(Data1!B41)&lt;30,REPT(" ",30-LEN(Data1!B41))&amp;Data1!B41, LEFT(Data1!B41,30))</f>
        <v xml:space="preserve">                Bruce D Hitpas</v>
      </c>
      <c r="C37" s="20" t="str">
        <f>TEXT(Data!C41,"mm/dd/yyy")</f>
        <v>09/11/1957</v>
      </c>
      <c r="D37" s="20" t="str">
        <f>TEXT(Data!D41,"mm/dd/yyy")</f>
        <v>12/27/2010</v>
      </c>
      <c r="E37" s="20" t="str">
        <f>TEXT(Data!E41,"0000000")</f>
        <v>0106800</v>
      </c>
      <c r="F37" s="20" t="str">
        <f>TEXT(Data!F41,"0000000")</f>
        <v>0101700</v>
      </c>
      <c r="G37" s="20" t="str">
        <f>TEXT(Data!G41,"0000000")</f>
        <v>0096900</v>
      </c>
    </row>
    <row r="38" spans="1:7" x14ac:dyDescent="0.25">
      <c r="A38" s="20">
        <f>Data!A42</f>
        <v>423109</v>
      </c>
      <c r="B38" t="str">
        <f>IF(LEN(Data1!B42)&lt;30,REPT(" ",30-LEN(Data1!B42))&amp;Data1!B42, LEFT(Data1!B42,30))</f>
        <v xml:space="preserve">                Casey A Jumaan</v>
      </c>
      <c r="C38" s="20" t="str">
        <f>TEXT(Data!C42,"mm/dd/yyy")</f>
        <v>05/26/1944</v>
      </c>
      <c r="D38" s="20" t="str">
        <f>TEXT(Data!D42,"mm/dd/yyy")</f>
        <v>03/06/2012</v>
      </c>
      <c r="E38" s="20" t="str">
        <f>TEXT(Data!E42,"0000000")</f>
        <v>0105600</v>
      </c>
      <c r="F38" s="20" t="str">
        <f>TEXT(Data!F42,"0000000")</f>
        <v>0100600</v>
      </c>
      <c r="G38" s="20" t="str">
        <f>TEXT(Data!G42,"0000000")</f>
        <v>0048000</v>
      </c>
    </row>
    <row r="39" spans="1:7" x14ac:dyDescent="0.25">
      <c r="A39" s="20">
        <f>Data!A43</f>
        <v>426223</v>
      </c>
      <c r="B39" t="str">
        <f>IF(LEN(Data1!B43)&lt;30,REPT(" ",30-LEN(Data1!B43))&amp;Data1!B43, LEFT(Data1!B43,30))</f>
        <v xml:space="preserve">                 Alina Donovan</v>
      </c>
      <c r="C39" s="20" t="str">
        <f>TEXT(Data!C43,"mm/dd/yyy")</f>
        <v>09/15/1971</v>
      </c>
      <c r="D39" s="20" t="str">
        <f>TEXT(Data!D43,"mm/dd/yyy")</f>
        <v>03/28/1974</v>
      </c>
      <c r="E39" s="20" t="str">
        <f>TEXT(Data!E43,"0000000")</f>
        <v>0104400</v>
      </c>
      <c r="F39" s="20" t="str">
        <f>TEXT(Data!F43,"0000000")</f>
        <v>0099400</v>
      </c>
      <c r="G39" s="20" t="str">
        <f>TEXT(Data!G43,"0000000")</f>
        <v>0094700</v>
      </c>
    </row>
    <row r="40" spans="1:7" x14ac:dyDescent="0.25">
      <c r="A40" s="20">
        <f>Data!A44</f>
        <v>430276</v>
      </c>
      <c r="B40" t="str">
        <f>IF(LEN(Data1!B44)&lt;30,REPT(" ",30-LEN(Data1!B44))&amp;Data1!B44, LEFT(Data1!B44,30))</f>
        <v xml:space="preserve">                Austin Carlson</v>
      </c>
      <c r="C40" s="20" t="str">
        <f>TEXT(Data!C44,"mm/dd/yyy")</f>
        <v>04/13/1980</v>
      </c>
      <c r="D40" s="20" t="str">
        <f>TEXT(Data!D44,"mm/dd/yyy")</f>
        <v>08/12/1985</v>
      </c>
      <c r="E40" s="20" t="str">
        <f>TEXT(Data!E44,"0000000")</f>
        <v>0103200</v>
      </c>
      <c r="F40" s="20" t="str">
        <f>TEXT(Data!F44,"0000000")</f>
        <v>0098300</v>
      </c>
      <c r="G40" s="20" t="str">
        <f>TEXT(Data!G44,"0000000")</f>
        <v>0093600</v>
      </c>
    </row>
    <row r="41" spans="1:7" x14ac:dyDescent="0.25">
      <c r="A41" s="20">
        <f>Data!A45</f>
        <v>430534</v>
      </c>
      <c r="B41" t="str">
        <f>IF(LEN(Data1!B45)&lt;30,REPT(" ",30-LEN(Data1!B45))&amp;Data1!B45, LEFT(Data1!B45,30))</f>
        <v xml:space="preserve">                  David L Hohl</v>
      </c>
      <c r="C41" s="20" t="str">
        <f>TEXT(Data!C45,"mm/dd/yyy")</f>
        <v>11/08/1943</v>
      </c>
      <c r="D41" s="20" t="str">
        <f>TEXT(Data!D45,"mm/dd/yyy")</f>
        <v>07/25/2002</v>
      </c>
      <c r="E41" s="20" t="str">
        <f>TEXT(Data!E45,"0000000")</f>
        <v>0102000</v>
      </c>
      <c r="F41" s="20" t="str">
        <f>TEXT(Data!F45,"0000000")</f>
        <v>0002400</v>
      </c>
      <c r="G41" s="20" t="str">
        <f>TEXT(Data!G45,"0000000")</f>
        <v>0000000</v>
      </c>
    </row>
    <row r="42" spans="1:7" x14ac:dyDescent="0.25">
      <c r="A42" s="20">
        <f>Data!A46</f>
        <v>443913</v>
      </c>
      <c r="B42" t="str">
        <f>IF(LEN(Data1!B46)&lt;30,REPT(" ",30-LEN(Data1!B46))&amp;Data1!B46, LEFT(Data1!B46,30))</f>
        <v xml:space="preserve">                Dawn E Jackson</v>
      </c>
      <c r="C42" s="20" t="str">
        <f>TEXT(Data!C46,"mm/dd/yyy")</f>
        <v>07/21/1945</v>
      </c>
      <c r="D42" s="20" t="str">
        <f>TEXT(Data!D46,"mm/dd/yyy")</f>
        <v>10/26/1987</v>
      </c>
      <c r="E42" s="20" t="str">
        <f>TEXT(Data!E46,"0000000")</f>
        <v>0100800</v>
      </c>
      <c r="F42" s="20" t="str">
        <f>TEXT(Data!F46,"0000000")</f>
        <v>0096000</v>
      </c>
      <c r="G42" s="20" t="str">
        <f>TEXT(Data!G46,"0000000")</f>
        <v>0091400</v>
      </c>
    </row>
    <row r="43" spans="1:7" x14ac:dyDescent="0.25">
      <c r="A43" s="20">
        <f>Data!A47</f>
        <v>446641</v>
      </c>
      <c r="B43" t="str">
        <f>IF(LEN(Data1!B47)&lt;30,REPT(" ",30-LEN(Data1!B47))&amp;Data1!B47, LEFT(Data1!B47,30))</f>
        <v xml:space="preserve">                Amanda Shapiro</v>
      </c>
      <c r="C43" s="20" t="str">
        <f>TEXT(Data!C47,"mm/dd/yyy")</f>
        <v>10/02/1964</v>
      </c>
      <c r="D43" s="20" t="str">
        <f>TEXT(Data!D47,"mm/dd/yyy")</f>
        <v>05/24/1996</v>
      </c>
      <c r="E43" s="20" t="str">
        <f>TEXT(Data!E47,"0000000")</f>
        <v>0360000</v>
      </c>
      <c r="F43" s="20" t="str">
        <f>TEXT(Data!F47,"0000000")</f>
        <v>0331200</v>
      </c>
      <c r="G43" s="20" t="str">
        <f>TEXT(Data!G47,"0000000")</f>
        <v>0302400</v>
      </c>
    </row>
    <row r="44" spans="1:7" x14ac:dyDescent="0.25">
      <c r="A44" s="20">
        <f>Data!A48</f>
        <v>462488</v>
      </c>
      <c r="B44" t="str">
        <f>IF(LEN(Data1!B48)&lt;30,REPT(" ",30-LEN(Data1!B48))&amp;Data1!B48, LEFT(Data1!B48,30))</f>
        <v xml:space="preserve">              Jacqueline E Lam</v>
      </c>
      <c r="C44" s="20" t="str">
        <f>TEXT(Data!C48,"mm/dd/yyy")</f>
        <v>07/19/1961</v>
      </c>
      <c r="D44" s="20" t="str">
        <f>TEXT(Data!D48,"mm/dd/yyy")</f>
        <v>02/18/2005</v>
      </c>
      <c r="E44" s="20" t="str">
        <f>TEXT(Data!E48,"0000000")</f>
        <v>0142600</v>
      </c>
      <c r="F44" s="20" t="str">
        <f>TEXT(Data!F48,"0000000")</f>
        <v>0135700</v>
      </c>
      <c r="G44" s="20" t="str">
        <f>TEXT(Data!G48,"0000000")</f>
        <v>0129400</v>
      </c>
    </row>
    <row r="45" spans="1:7" x14ac:dyDescent="0.25">
      <c r="A45" s="20">
        <f>Data!A49</f>
        <v>472297</v>
      </c>
      <c r="B45" t="str">
        <f>IF(LEN(Data1!B49)&lt;30,REPT(" ",30-LEN(Data1!B49))&amp;Data1!B49, LEFT(Data1!B49,30))</f>
        <v xml:space="preserve">                 Aaron Johnson</v>
      </c>
      <c r="C45" s="20" t="str">
        <f>TEXT(Data!C49,"mm/dd/yyy")</f>
        <v>01/18/1993</v>
      </c>
      <c r="D45" s="20" t="str">
        <f>TEXT(Data!D49,"mm/dd/yyy")</f>
        <v>01/23/2005</v>
      </c>
      <c r="E45" s="20" t="str">
        <f>TEXT(Data!E49,"0000000")</f>
        <v>0141100</v>
      </c>
      <c r="F45" s="20" t="str">
        <f>TEXT(Data!F49,"0000000")</f>
        <v>0134400</v>
      </c>
      <c r="G45" s="20" t="str">
        <f>TEXT(Data!G49,"0000000")</f>
        <v>0128000</v>
      </c>
    </row>
    <row r="46" spans="1:7" x14ac:dyDescent="0.25">
      <c r="A46" s="20">
        <f>Data!A50</f>
        <v>489909</v>
      </c>
      <c r="B46" t="str">
        <f>IF(LEN(Data1!B50)&lt;30,REPT(" ",30-LEN(Data1!B50))&amp;Data1!B50, LEFT(Data1!B50,30))</f>
        <v xml:space="preserve">                 Jumaan Nelson</v>
      </c>
      <c r="C46" s="20" t="str">
        <f>TEXT(Data!C50,"mm/dd/yyy")</f>
        <v>01/18/1967</v>
      </c>
      <c r="D46" s="20" t="str">
        <f>TEXT(Data!D50,"mm/dd/yyy")</f>
        <v>07/25/2002</v>
      </c>
      <c r="E46" s="20" t="str">
        <f>TEXT(Data!E50,"0000000")</f>
        <v>0139700</v>
      </c>
      <c r="F46" s="20" t="str">
        <f>TEXT(Data!F50,"0000000")</f>
        <v>0133100</v>
      </c>
      <c r="G46" s="20" t="str">
        <f>TEXT(Data!G50,"0000000")</f>
        <v>0126700</v>
      </c>
    </row>
    <row r="47" spans="1:7" x14ac:dyDescent="0.25">
      <c r="A47" s="20">
        <f>Data!A51</f>
        <v>489933</v>
      </c>
      <c r="B47" t="str">
        <f>IF(LEN(Data1!B51)&lt;30,REPT(" ",30-LEN(Data1!B51))&amp;Data1!B51, LEFT(Data1!B51,30))</f>
        <v xml:space="preserve">                   Luke Larson</v>
      </c>
      <c r="C47" s="20" t="str">
        <f>TEXT(Data!C51,"mm/dd/yyy")</f>
        <v>08/30/1960</v>
      </c>
      <c r="D47" s="20" t="str">
        <f>TEXT(Data!D51,"mm/dd/yyy")</f>
        <v>06/18/1999</v>
      </c>
      <c r="E47" s="20" t="str">
        <f>TEXT(Data!E51,"0000000")</f>
        <v>0138200</v>
      </c>
      <c r="F47" s="20" t="str">
        <f>TEXT(Data!F51,"0000000")</f>
        <v>0131600</v>
      </c>
      <c r="G47" s="20" t="str">
        <f>TEXT(Data!G51,"0000000")</f>
        <v>0125400</v>
      </c>
    </row>
    <row r="48" spans="1:7" x14ac:dyDescent="0.25">
      <c r="A48" s="20">
        <f>Data!A52</f>
        <v>537613</v>
      </c>
      <c r="B48" t="str">
        <f>IF(LEN(Data1!B52)&lt;30,REPT(" ",30-LEN(Data1!B52))&amp;Data1!B52, LEFT(Data1!B52,30))</f>
        <v xml:space="preserve">                 Celina Souers</v>
      </c>
      <c r="C48" s="20" t="str">
        <f>TEXT(Data!C52,"mm/dd/yyy")</f>
        <v>10/05/1982</v>
      </c>
      <c r="D48" s="20" t="str">
        <f>TEXT(Data!D52,"mm/dd/yyy")</f>
        <v>07/21/1996</v>
      </c>
      <c r="E48" s="20" t="str">
        <f>TEXT(Data!E52,"0000000")</f>
        <v>0136800</v>
      </c>
      <c r="F48" s="20" t="str">
        <f>TEXT(Data!F52,"0000000")</f>
        <v>0130300</v>
      </c>
      <c r="G48" s="20" t="str">
        <f>TEXT(Data!G52,"0000000")</f>
        <v>0124100</v>
      </c>
    </row>
    <row r="49" spans="1:7" x14ac:dyDescent="0.25">
      <c r="A49" s="20">
        <f>Data!A53</f>
        <v>538228</v>
      </c>
      <c r="B49" t="str">
        <f>IF(LEN(Data1!B53)&lt;30,REPT(" ",30-LEN(Data1!B53))&amp;Data1!B53, LEFT(Data1!B53,30))</f>
        <v xml:space="preserve">           Yazeed Doll Woolley</v>
      </c>
      <c r="C49" s="20" t="str">
        <f>TEXT(Data!C53,"mm/dd/yyy")</f>
        <v>04/22/1943</v>
      </c>
      <c r="D49" s="20" t="str">
        <f>TEXT(Data!D53,"mm/dd/yyy")</f>
        <v>12/21/2013</v>
      </c>
      <c r="E49" s="20" t="str">
        <f>TEXT(Data!E53,"0000000")</f>
        <v>0460800</v>
      </c>
      <c r="F49" s="20" t="str">
        <f>TEXT(Data!F53,"0000000")</f>
        <v>0046100</v>
      </c>
      <c r="G49" s="20" t="str">
        <f>TEXT(Data!G53,"0000000")</f>
        <v>0000000</v>
      </c>
    </row>
    <row r="50" spans="1:7" x14ac:dyDescent="0.25">
      <c r="A50" s="20">
        <f>Data!A54</f>
        <v>545776</v>
      </c>
      <c r="B50" t="str">
        <f>IF(LEN(Data1!B54)&lt;30,REPT(" ",30-LEN(Data1!B54))&amp;Data1!B54, LEFT(Data1!B54,30))</f>
        <v xml:space="preserve">                  Brian Larson</v>
      </c>
      <c r="C50" s="20" t="str">
        <f>TEXT(Data!C54,"mm/dd/yyy")</f>
        <v>12/14/1965</v>
      </c>
      <c r="D50" s="20" t="str">
        <f>TEXT(Data!D54,"mm/dd/yyy")</f>
        <v>11/28/1997</v>
      </c>
      <c r="E50" s="20" t="str">
        <f>TEXT(Data!E54,"0000000")</f>
        <v>0133900</v>
      </c>
      <c r="F50" s="20" t="str">
        <f>TEXT(Data!F54,"0000000")</f>
        <v>0127600</v>
      </c>
      <c r="G50" s="20" t="str">
        <f>TEXT(Data!G54,"0000000")</f>
        <v>0121400</v>
      </c>
    </row>
    <row r="51" spans="1:7" x14ac:dyDescent="0.25">
      <c r="A51" s="20">
        <f>Data!A55</f>
        <v>565414</v>
      </c>
      <c r="B51" t="str">
        <f>IF(LEN(Data1!B55)&lt;30,REPT(" ",30-LEN(Data1!B55))&amp;Data1!B55, LEFT(Data1!B55,30))</f>
        <v xml:space="preserve">                     Blake Aho</v>
      </c>
      <c r="C51" s="20" t="str">
        <f>TEXT(Data!C55,"mm/dd/yyy")</f>
        <v>07/27/1959</v>
      </c>
      <c r="D51" s="20" t="str">
        <f>TEXT(Data!D55,"mm/dd/yyy")</f>
        <v>07/19/2013</v>
      </c>
      <c r="E51" s="20" t="str">
        <f>TEXT(Data!E55,"0000000")</f>
        <v>0132500</v>
      </c>
      <c r="F51" s="20" t="str">
        <f>TEXT(Data!F55,"0000000")</f>
        <v>0057600</v>
      </c>
      <c r="G51" s="20" t="str">
        <f>TEXT(Data!G55,"0000000")</f>
        <v>0000000</v>
      </c>
    </row>
    <row r="52" spans="1:7" x14ac:dyDescent="0.25">
      <c r="A52" s="20">
        <f>Data!A56</f>
        <v>570202</v>
      </c>
      <c r="B52" t="str">
        <f>IF(LEN(Data1!B56)&lt;30,REPT(" ",30-LEN(Data1!B56))&amp;Data1!B56, LEFT(Data1!B56,30))</f>
        <v xml:space="preserve">               Saleh Klendshoj</v>
      </c>
      <c r="C52" s="20" t="str">
        <f>TEXT(Data!C56,"mm/dd/yyy")</f>
        <v>06/16/1944</v>
      </c>
      <c r="D52" s="20" t="str">
        <f>TEXT(Data!D56,"mm/dd/yyy")</f>
        <v>09/17/2009</v>
      </c>
      <c r="E52" s="20" t="str">
        <f>TEXT(Data!E56,"0000000")</f>
        <v>0090000</v>
      </c>
      <c r="F52" s="20" t="str">
        <f>TEXT(Data!F56,"0000000")</f>
        <v>0085700</v>
      </c>
      <c r="G52" s="20" t="str">
        <f>TEXT(Data!G56,"0000000")</f>
        <v>0081600</v>
      </c>
    </row>
    <row r="53" spans="1:7" x14ac:dyDescent="0.25">
      <c r="A53" s="20">
        <f>Data!A57</f>
        <v>578408</v>
      </c>
      <c r="B53" t="str">
        <f>IF(LEN(Data1!B57)&lt;30,REPT(" ",30-LEN(Data1!B57))&amp;Data1!B57, LEFT(Data1!B57,30))</f>
        <v xml:space="preserve">                 George Bartho</v>
      </c>
      <c r="C53" s="20" t="str">
        <f>TEXT(Data!C57,"mm/dd/yyy")</f>
        <v>10/19/1947</v>
      </c>
      <c r="D53" s="20" t="str">
        <f>TEXT(Data!D57,"mm/dd/yyy")</f>
        <v>06/10/2010</v>
      </c>
      <c r="E53" s="20" t="str">
        <f>TEXT(Data!E57,"0000000")</f>
        <v>0089000</v>
      </c>
      <c r="F53" s="20" t="str">
        <f>TEXT(Data!F57,"0000000")</f>
        <v>0084800</v>
      </c>
      <c r="G53" s="20" t="str">
        <f>TEXT(Data!G57,"0000000")</f>
        <v>0080700</v>
      </c>
    </row>
    <row r="54" spans="1:7" x14ac:dyDescent="0.25">
      <c r="A54" s="20">
        <f>Data!A58</f>
        <v>579268</v>
      </c>
      <c r="B54" t="str">
        <f>IF(LEN(Data1!B58)&lt;30,REPT(" ",30-LEN(Data1!B58))&amp;Data1!B58, LEFT(Data1!B58,30))</f>
        <v xml:space="preserve">                Jessika Benson</v>
      </c>
      <c r="C54" s="20" t="str">
        <f>TEXT(Data!C58,"mm/dd/yyy")</f>
        <v>06/14/1960</v>
      </c>
      <c r="D54" s="20" t="str">
        <f>TEXT(Data!D58,"mm/dd/yyy")</f>
        <v>08/19/2011</v>
      </c>
      <c r="E54" s="20" t="str">
        <f>TEXT(Data!E58,"0000000")</f>
        <v>0088000</v>
      </c>
      <c r="F54" s="20" t="str">
        <f>TEXT(Data!F58,"0000000")</f>
        <v>0083800</v>
      </c>
      <c r="G54" s="20" t="str">
        <f>TEXT(Data!G58,"0000000")</f>
        <v>0040000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dcterms:created xsi:type="dcterms:W3CDTF">2020-10-01T01:15:24Z</dcterms:created>
  <dcterms:modified xsi:type="dcterms:W3CDTF">2020-10-01T01:37:39Z</dcterms:modified>
</cp:coreProperties>
</file>