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5\"/>
    </mc:Choice>
  </mc:AlternateContent>
  <xr:revisionPtr revIDLastSave="0" documentId="8_{8E49EA58-FDE1-47B3-8824-BAF34D948D31}" xr6:coauthVersionLast="45" xr6:coauthVersionMax="45" xr10:uidLastSave="{00000000-0000-0000-0000-000000000000}"/>
  <bookViews>
    <workbookView xWindow="810" yWindow="-120" windowWidth="19800" windowHeight="11760" xr2:uid="{27F358E5-790A-4C0F-9A2A-84D0DC575FF2}"/>
  </bookViews>
  <sheets>
    <sheet name="qx Improve" sheetId="1" r:id="rId1"/>
    <sheet name="Qx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AssetM">[1]Table!$J$3:$K$13</definedName>
    <definedName name="Benjamin">OFFSET('[2]Weight Watch'!$B$9,'[2]Weight Watch'!$I$3-9,2,'[2]Weight Watch'!$I$2,1)</definedName>
    <definedName name="Client">[1]X!$C$9</definedName>
    <definedName name="DateF">OFFSET('[2]Weight Watch'!$B$9,'[2]Weight Watch'!$I$3-9,0,'[2]Weight Watch'!$I$2,1)</definedName>
    <definedName name="DefaultB">[1]X!$F$5</definedName>
    <definedName name="Difference">OFFSET([3]Salman!$G$9,0,0,[3]Salman!$B$4,1)</definedName>
    <definedName name="Eric">OFFSET('[2]Weight Watch'!$B$9,'[2]Weight Watch'!$I$3-9,4,'[2]Weight Watch'!$I$2,1)</definedName>
    <definedName name="FanF">OFFSET('[2]Weight Watch'!$B$9,'[2]Weight Watch'!$I$3-9,3,'[2]Weight Watch'!$I$2,1)</definedName>
    <definedName name="Footer">[1]X!$C$10</definedName>
    <definedName name="George">OFFSET('[2]Weight Watch'!$B$9,'[2]Weight Watch'!$I$3-9,3,'[2]Weight Watch'!$I$2,1)</definedName>
    <definedName name="LiF">OFFSET('[2]Weight Watch'!$B$9,'[2]Weight Watch'!$I$3-9,2,'[2]Weight Watch'!$I$2,1)</definedName>
    <definedName name="MeasDate">OFFSET('[2]Weight Watch'!$B$9,'[2]Weight Watch'!$I$3-9,0,'[2]Weight Watch'!$I$2,1)</definedName>
    <definedName name="MetMRV">[4]Table!$C$21:$D$31</definedName>
    <definedName name="_xlnm.Print_Titles" localSheetId="0">'qx Improve'!$1:$16</definedName>
    <definedName name="QxTable">Qx!$B$4:$C$119</definedName>
    <definedName name="Rate">OFFSET([5]Rate!$C$4,0,0,COUNT([5]Rate!$C:$C))</definedName>
    <definedName name="Version">[1]X!$A$2</definedName>
    <definedName name="WangF">OFFSET('[2]Weight Watch'!$B$9,'[2]Weight Watch'!$I$3-9,4,'[2]Weight Watch'!$I$2,1)</definedName>
    <definedName name="Year">OFFSET([5]Rate!$B$4,0,0,COUNT([5]Rate!$B:$B))</definedName>
    <definedName name="Year158">'[6]FAS 158 Input'!$H$4</definedName>
  </definedNames>
  <calcPr calcId="191029" iterate="1" iterateCount="1000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7" i="1" l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E132" i="1" s="1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5" i="2"/>
  <c r="C39" i="1" l="1"/>
  <c r="D39" i="1" s="1"/>
  <c r="C28" i="1"/>
  <c r="D28" i="1" s="1"/>
  <c r="C18" i="1"/>
  <c r="D18" i="1" s="1"/>
  <c r="C60" i="1"/>
  <c r="D60" i="1" s="1"/>
  <c r="C50" i="1"/>
  <c r="D50" i="1" s="1"/>
  <c r="C116" i="1"/>
  <c r="D116" i="1" s="1"/>
  <c r="C103" i="1"/>
  <c r="C82" i="1"/>
  <c r="D82" i="1" s="1"/>
  <c r="E120" i="1"/>
  <c r="C127" i="1"/>
  <c r="C115" i="1"/>
  <c r="D115" i="1" s="1"/>
  <c r="C101" i="1"/>
  <c r="D101" i="1" s="1"/>
  <c r="C91" i="1"/>
  <c r="D91" i="1" s="1"/>
  <c r="C80" i="1"/>
  <c r="D80" i="1" s="1"/>
  <c r="C69" i="1"/>
  <c r="D69" i="1" s="1"/>
  <c r="C59" i="1"/>
  <c r="D59" i="1" s="1"/>
  <c r="C48" i="1"/>
  <c r="D48" i="1" s="1"/>
  <c r="C37" i="1"/>
  <c r="D37" i="1" s="1"/>
  <c r="C27" i="1"/>
  <c r="D27" i="1" s="1"/>
  <c r="D132" i="1"/>
  <c r="C125" i="1"/>
  <c r="C112" i="1"/>
  <c r="D112" i="1" s="1"/>
  <c r="C100" i="1"/>
  <c r="D100" i="1" s="1"/>
  <c r="C90" i="1"/>
  <c r="D90" i="1" s="1"/>
  <c r="C79" i="1"/>
  <c r="D79" i="1" s="1"/>
  <c r="C68" i="1"/>
  <c r="D68" i="1" s="1"/>
  <c r="C58" i="1"/>
  <c r="D58" i="1" s="1"/>
  <c r="C47" i="1"/>
  <c r="D47" i="1" s="1"/>
  <c r="C36" i="1"/>
  <c r="D36" i="1" s="1"/>
  <c r="C26" i="1"/>
  <c r="D26" i="1" s="1"/>
  <c r="D128" i="1"/>
  <c r="C124" i="1"/>
  <c r="C111" i="1"/>
  <c r="D111" i="1" s="1"/>
  <c r="C99" i="1"/>
  <c r="D99" i="1" s="1"/>
  <c r="C88" i="1"/>
  <c r="D88" i="1" s="1"/>
  <c r="C77" i="1"/>
  <c r="D77" i="1" s="1"/>
  <c r="C67" i="1"/>
  <c r="D67" i="1" s="1"/>
  <c r="C56" i="1"/>
  <c r="D56" i="1" s="1"/>
  <c r="C45" i="1"/>
  <c r="D45" i="1" s="1"/>
  <c r="C35" i="1"/>
  <c r="D35" i="1" s="1"/>
  <c r="C24" i="1"/>
  <c r="D24" i="1" s="1"/>
  <c r="D124" i="1"/>
  <c r="C123" i="1"/>
  <c r="C109" i="1"/>
  <c r="C98" i="1"/>
  <c r="D98" i="1" s="1"/>
  <c r="C87" i="1"/>
  <c r="D87" i="1" s="1"/>
  <c r="C76" i="1"/>
  <c r="D76" i="1" s="1"/>
  <c r="C66" i="1"/>
  <c r="D66" i="1" s="1"/>
  <c r="C55" i="1"/>
  <c r="D55" i="1" s="1"/>
  <c r="C44" i="1"/>
  <c r="D44" i="1" s="1"/>
  <c r="C34" i="1"/>
  <c r="D34" i="1" s="1"/>
  <c r="C23" i="1"/>
  <c r="D23" i="1" s="1"/>
  <c r="D120" i="1"/>
  <c r="C128" i="1"/>
  <c r="C92" i="1"/>
  <c r="D92" i="1" s="1"/>
  <c r="C71" i="1"/>
  <c r="D71" i="1" s="1"/>
  <c r="C120" i="1"/>
  <c r="C108" i="1"/>
  <c r="D108" i="1" s="1"/>
  <c r="C96" i="1"/>
  <c r="D96" i="1" s="1"/>
  <c r="C85" i="1"/>
  <c r="D85" i="1" s="1"/>
  <c r="C75" i="1"/>
  <c r="D75" i="1" s="1"/>
  <c r="C64" i="1"/>
  <c r="D64" i="1" s="1"/>
  <c r="C53" i="1"/>
  <c r="D53" i="1" s="1"/>
  <c r="C43" i="1"/>
  <c r="D43" i="1" s="1"/>
  <c r="C32" i="1"/>
  <c r="D32" i="1" s="1"/>
  <c r="C21" i="1"/>
  <c r="D21" i="1" s="1"/>
  <c r="C17" i="1"/>
  <c r="D17" i="1" s="1"/>
  <c r="E18" i="1" s="1"/>
  <c r="C119" i="1"/>
  <c r="C107" i="1"/>
  <c r="D107" i="1" s="1"/>
  <c r="C95" i="1"/>
  <c r="D95" i="1" s="1"/>
  <c r="C84" i="1"/>
  <c r="D84" i="1" s="1"/>
  <c r="C74" i="1"/>
  <c r="D74" i="1" s="1"/>
  <c r="C63" i="1"/>
  <c r="D63" i="1" s="1"/>
  <c r="C52" i="1"/>
  <c r="D52" i="1" s="1"/>
  <c r="C42" i="1"/>
  <c r="D42" i="1" s="1"/>
  <c r="C31" i="1"/>
  <c r="D31" i="1" s="1"/>
  <c r="C20" i="1"/>
  <c r="D20" i="1" s="1"/>
  <c r="C132" i="1"/>
  <c r="C117" i="1"/>
  <c r="D117" i="1" s="1"/>
  <c r="C104" i="1"/>
  <c r="D104" i="1" s="1"/>
  <c r="C93" i="1"/>
  <c r="D93" i="1" s="1"/>
  <c r="C83" i="1"/>
  <c r="D83" i="1" s="1"/>
  <c r="C72" i="1"/>
  <c r="D72" i="1" s="1"/>
  <c r="C61" i="1"/>
  <c r="D61" i="1" s="1"/>
  <c r="C51" i="1"/>
  <c r="D51" i="1" s="1"/>
  <c r="C40" i="1"/>
  <c r="D40" i="1" s="1"/>
  <c r="C29" i="1"/>
  <c r="D29" i="1" s="1"/>
  <c r="C19" i="1"/>
  <c r="D19" i="1" s="1"/>
  <c r="E124" i="1"/>
  <c r="D126" i="1"/>
  <c r="D118" i="1"/>
  <c r="E130" i="1"/>
  <c r="E122" i="1"/>
  <c r="H129" i="1"/>
  <c r="H121" i="1"/>
  <c r="C129" i="1"/>
  <c r="C121" i="1"/>
  <c r="C113" i="1"/>
  <c r="D113" i="1" s="1"/>
  <c r="C105" i="1"/>
  <c r="D105" i="1" s="1"/>
  <c r="C97" i="1"/>
  <c r="D97" i="1" s="1"/>
  <c r="C89" i="1"/>
  <c r="D89" i="1" s="1"/>
  <c r="C81" i="1"/>
  <c r="D81" i="1" s="1"/>
  <c r="C73" i="1"/>
  <c r="D73" i="1" s="1"/>
  <c r="C65" i="1"/>
  <c r="D65" i="1" s="1"/>
  <c r="C57" i="1"/>
  <c r="D57" i="1" s="1"/>
  <c r="C49" i="1"/>
  <c r="D49" i="1" s="1"/>
  <c r="C41" i="1"/>
  <c r="D41" i="1" s="1"/>
  <c r="C33" i="1"/>
  <c r="D33" i="1" s="1"/>
  <c r="C25" i="1"/>
  <c r="D25" i="1" s="1"/>
  <c r="D125" i="1"/>
  <c r="D109" i="1"/>
  <c r="E129" i="1"/>
  <c r="E121" i="1"/>
  <c r="H128" i="1"/>
  <c r="H120" i="1"/>
  <c r="E128" i="1"/>
  <c r="H127" i="1"/>
  <c r="H119" i="1"/>
  <c r="D131" i="1"/>
  <c r="D123" i="1"/>
  <c r="E127" i="1"/>
  <c r="E119" i="1"/>
  <c r="H126" i="1"/>
  <c r="H118" i="1"/>
  <c r="C126" i="1"/>
  <c r="C118" i="1"/>
  <c r="C110" i="1"/>
  <c r="D110" i="1" s="1"/>
  <c r="C102" i="1"/>
  <c r="D102" i="1" s="1"/>
  <c r="C94" i="1"/>
  <c r="D94" i="1" s="1"/>
  <c r="C86" i="1"/>
  <c r="D86" i="1" s="1"/>
  <c r="C78" i="1"/>
  <c r="D78" i="1" s="1"/>
  <c r="C70" i="1"/>
  <c r="D70" i="1" s="1"/>
  <c r="C62" i="1"/>
  <c r="D62" i="1" s="1"/>
  <c r="C54" i="1"/>
  <c r="D54" i="1" s="1"/>
  <c r="C46" i="1"/>
  <c r="D46" i="1" s="1"/>
  <c r="C38" i="1"/>
  <c r="D38" i="1" s="1"/>
  <c r="C30" i="1"/>
  <c r="D30" i="1" s="1"/>
  <c r="C22" i="1"/>
  <c r="D22" i="1" s="1"/>
  <c r="D130" i="1"/>
  <c r="D122" i="1"/>
  <c r="E126" i="1"/>
  <c r="E118" i="1"/>
  <c r="H125" i="1"/>
  <c r="D129" i="1"/>
  <c r="D121" i="1"/>
  <c r="E125" i="1"/>
  <c r="H132" i="1"/>
  <c r="H124" i="1"/>
  <c r="H131" i="1"/>
  <c r="H123" i="1"/>
  <c r="C131" i="1"/>
  <c r="D127" i="1"/>
  <c r="D119" i="1"/>
  <c r="D103" i="1"/>
  <c r="E131" i="1"/>
  <c r="E123" i="1"/>
  <c r="H130" i="1"/>
  <c r="H122" i="1"/>
  <c r="C130" i="1"/>
  <c r="C122" i="1"/>
  <c r="C114" i="1"/>
  <c r="D114" i="1" s="1"/>
  <c r="C106" i="1"/>
  <c r="D106" i="1" s="1"/>
  <c r="H17" i="1" l="1"/>
  <c r="H18" i="1"/>
  <c r="E19" i="1"/>
  <c r="E20" i="1" l="1"/>
  <c r="H19" i="1"/>
  <c r="E21" i="1" l="1"/>
  <c r="H20" i="1"/>
  <c r="E22" i="1" l="1"/>
  <c r="H21" i="1"/>
  <c r="E23" i="1" l="1"/>
  <c r="H22" i="1"/>
  <c r="E24" i="1" l="1"/>
  <c r="H23" i="1"/>
  <c r="E25" i="1" l="1"/>
  <c r="H24" i="1"/>
  <c r="E26" i="1" l="1"/>
  <c r="H25" i="1"/>
  <c r="E27" i="1" l="1"/>
  <c r="H26" i="1"/>
  <c r="E28" i="1" l="1"/>
  <c r="H27" i="1"/>
  <c r="E29" i="1" l="1"/>
  <c r="H28" i="1"/>
  <c r="E30" i="1" l="1"/>
  <c r="H29" i="1"/>
  <c r="E31" i="1" l="1"/>
  <c r="H30" i="1"/>
  <c r="E32" i="1" l="1"/>
  <c r="H31" i="1"/>
  <c r="E33" i="1" l="1"/>
  <c r="H32" i="1"/>
  <c r="E34" i="1" l="1"/>
  <c r="H33" i="1"/>
  <c r="E35" i="1" l="1"/>
  <c r="H34" i="1"/>
  <c r="E36" i="1" l="1"/>
  <c r="H35" i="1"/>
  <c r="E37" i="1" l="1"/>
  <c r="H36" i="1"/>
  <c r="E38" i="1" l="1"/>
  <c r="H37" i="1"/>
  <c r="E39" i="1" l="1"/>
  <c r="H38" i="1"/>
  <c r="E40" i="1" l="1"/>
  <c r="H39" i="1"/>
  <c r="E41" i="1" l="1"/>
  <c r="H40" i="1"/>
  <c r="E42" i="1" l="1"/>
  <c r="H41" i="1"/>
  <c r="E43" i="1" l="1"/>
  <c r="H42" i="1"/>
  <c r="E44" i="1" l="1"/>
  <c r="H43" i="1"/>
  <c r="E45" i="1" l="1"/>
  <c r="H44" i="1"/>
  <c r="E46" i="1" l="1"/>
  <c r="H45" i="1"/>
  <c r="E47" i="1" l="1"/>
  <c r="H46" i="1"/>
  <c r="E48" i="1" l="1"/>
  <c r="H47" i="1"/>
  <c r="E49" i="1" l="1"/>
  <c r="H48" i="1"/>
  <c r="E50" i="1" l="1"/>
  <c r="H49" i="1"/>
  <c r="E51" i="1" l="1"/>
  <c r="H50" i="1"/>
  <c r="E52" i="1" l="1"/>
  <c r="H51" i="1"/>
  <c r="E53" i="1" l="1"/>
  <c r="H52" i="1"/>
  <c r="E54" i="1" l="1"/>
  <c r="H53" i="1"/>
  <c r="E55" i="1" l="1"/>
  <c r="H54" i="1"/>
  <c r="E56" i="1" l="1"/>
  <c r="H55" i="1"/>
  <c r="E57" i="1" l="1"/>
  <c r="H56" i="1"/>
  <c r="E58" i="1" l="1"/>
  <c r="H57" i="1"/>
  <c r="E59" i="1" l="1"/>
  <c r="H58" i="1"/>
  <c r="E60" i="1" l="1"/>
  <c r="H59" i="1"/>
  <c r="E61" i="1" l="1"/>
  <c r="H60" i="1"/>
  <c r="E62" i="1" l="1"/>
  <c r="H61" i="1"/>
  <c r="E63" i="1" l="1"/>
  <c r="H62" i="1"/>
  <c r="E64" i="1" l="1"/>
  <c r="H63" i="1"/>
  <c r="E65" i="1" l="1"/>
  <c r="H64" i="1"/>
  <c r="E66" i="1" l="1"/>
  <c r="H65" i="1"/>
  <c r="E67" i="1" l="1"/>
  <c r="H66" i="1"/>
  <c r="E68" i="1" l="1"/>
  <c r="H67" i="1"/>
  <c r="E69" i="1" l="1"/>
  <c r="H68" i="1"/>
  <c r="E70" i="1" l="1"/>
  <c r="H69" i="1"/>
  <c r="E71" i="1" l="1"/>
  <c r="H70" i="1"/>
  <c r="E72" i="1" l="1"/>
  <c r="H71" i="1"/>
  <c r="E73" i="1" l="1"/>
  <c r="H72" i="1"/>
  <c r="E74" i="1" l="1"/>
  <c r="H73" i="1"/>
  <c r="E75" i="1" l="1"/>
  <c r="H74" i="1"/>
  <c r="E76" i="1" l="1"/>
  <c r="H75" i="1"/>
  <c r="E77" i="1" l="1"/>
  <c r="H76" i="1"/>
  <c r="E78" i="1" l="1"/>
  <c r="H77" i="1"/>
  <c r="E79" i="1" l="1"/>
  <c r="H78" i="1"/>
  <c r="E80" i="1" l="1"/>
  <c r="H79" i="1"/>
  <c r="E81" i="1" l="1"/>
  <c r="H80" i="1"/>
  <c r="E82" i="1" l="1"/>
  <c r="H81" i="1"/>
  <c r="E83" i="1" l="1"/>
  <c r="H82" i="1"/>
  <c r="E84" i="1" l="1"/>
  <c r="H83" i="1"/>
  <c r="E85" i="1" l="1"/>
  <c r="H84" i="1"/>
  <c r="E86" i="1" l="1"/>
  <c r="H85" i="1"/>
  <c r="E87" i="1" l="1"/>
  <c r="H86" i="1"/>
  <c r="H87" i="1" l="1"/>
  <c r="E88" i="1"/>
  <c r="H88" i="1" l="1"/>
  <c r="E89" i="1"/>
  <c r="H89" i="1" l="1"/>
  <c r="E90" i="1"/>
  <c r="H90" i="1" l="1"/>
  <c r="E91" i="1"/>
  <c r="E92" i="1" l="1"/>
  <c r="H91" i="1"/>
  <c r="H92" i="1" l="1"/>
  <c r="E93" i="1"/>
  <c r="E94" i="1" l="1"/>
  <c r="H93" i="1"/>
  <c r="E95" i="1" l="1"/>
  <c r="H94" i="1"/>
  <c r="E96" i="1" l="1"/>
  <c r="H95" i="1"/>
  <c r="E97" i="1" l="1"/>
  <c r="H96" i="1"/>
  <c r="H97" i="1" l="1"/>
  <c r="E98" i="1"/>
  <c r="E99" i="1" l="1"/>
  <c r="H98" i="1"/>
  <c r="H99" i="1" l="1"/>
  <c r="E100" i="1"/>
  <c r="E101" i="1" l="1"/>
  <c r="H100" i="1"/>
  <c r="H101" i="1" l="1"/>
  <c r="E102" i="1"/>
  <c r="H102" i="1" l="1"/>
  <c r="E103" i="1"/>
  <c r="H103" i="1" l="1"/>
  <c r="E104" i="1"/>
  <c r="H104" i="1" l="1"/>
  <c r="E105" i="1"/>
  <c r="H105" i="1" l="1"/>
  <c r="E106" i="1"/>
  <c r="E107" i="1" l="1"/>
  <c r="H106" i="1"/>
  <c r="E108" i="1" l="1"/>
  <c r="H107" i="1"/>
  <c r="E109" i="1" l="1"/>
  <c r="H108" i="1"/>
  <c r="H109" i="1" l="1"/>
  <c r="E110" i="1"/>
  <c r="H110" i="1" l="1"/>
  <c r="E111" i="1"/>
  <c r="E112" i="1" l="1"/>
  <c r="H111" i="1"/>
  <c r="H112" i="1" l="1"/>
  <c r="E113" i="1"/>
  <c r="E114" i="1" l="1"/>
  <c r="H113" i="1"/>
  <c r="H114" i="1" l="1"/>
  <c r="E115" i="1"/>
  <c r="E116" i="1" l="1"/>
  <c r="H115" i="1"/>
  <c r="H116" i="1" l="1"/>
  <c r="E117" i="1"/>
  <c r="H117" i="1" s="1"/>
  <c r="H6" i="1" s="1"/>
</calcChain>
</file>

<file path=xl/sharedStrings.xml><?xml version="1.0" encoding="utf-8"?>
<sst xmlns="http://schemas.openxmlformats.org/spreadsheetml/2006/main" count="19" uniqueCount="18">
  <si>
    <t>Mortality Table</t>
  </si>
  <si>
    <t>Age</t>
  </si>
  <si>
    <t>qx</t>
  </si>
  <si>
    <t>Mortality Improvement</t>
  </si>
  <si>
    <t>Current Age</t>
  </si>
  <si>
    <t>Expected Future Lifetime</t>
  </si>
  <si>
    <t>Mortality Improvement (in%) needed to prolong Expected Future Life Time</t>
  </si>
  <si>
    <t>by 3 years for a person at age 50</t>
  </si>
  <si>
    <t>by 5 years for a person at age 50</t>
  </si>
  <si>
    <t>by 3 years for a person at age 20</t>
  </si>
  <si>
    <t>by 5 years for a person at age 20</t>
  </si>
  <si>
    <r>
      <t>Mortality is improved by x% if and only if all mortality rates are reduced by x%, or
q</t>
    </r>
    <r>
      <rPr>
        <b/>
        <vertAlign val="superscript"/>
        <sz val="11"/>
        <color rgb="FFFF0000"/>
        <rFont val="Calibri"/>
        <family val="2"/>
        <scheme val="minor"/>
      </rPr>
      <t>new</t>
    </r>
    <r>
      <rPr>
        <b/>
        <sz val="11"/>
        <color rgb="FFFF0000"/>
        <rFont val="Calibri"/>
        <family val="2"/>
        <scheme val="minor"/>
      </rPr>
      <t xml:space="preserve"> = q</t>
    </r>
    <r>
      <rPr>
        <b/>
        <vertAlign val="superscript"/>
        <sz val="11"/>
        <color rgb="FFFF0000"/>
        <rFont val="Calibri"/>
        <family val="2"/>
        <scheme val="minor"/>
      </rPr>
      <t>old</t>
    </r>
    <r>
      <rPr>
        <b/>
        <sz val="11"/>
        <color rgb="FFFF0000"/>
        <rFont val="Calibri"/>
        <family val="2"/>
        <scheme val="minor"/>
      </rPr>
      <t xml:space="preserve"> * (1 - x%)</t>
    </r>
  </si>
  <si>
    <t>Excel Calculation</t>
  </si>
  <si>
    <t>Qx</t>
  </si>
  <si>
    <t>px</t>
  </si>
  <si>
    <t>Future Time Lived</t>
  </si>
  <si>
    <t>tpx</t>
  </si>
  <si>
    <t>x% (improvement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</si>
</sst>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%"/>
    <numFmt numFmtId="166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vertAlign val="superscript"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43">
    <xf numFmtId="0" fontId="0" fillId="0" borderId="0" xfId="0"/>
    <xf numFmtId="0" fontId="3" fillId="0" borderId="0" xfId="2"/>
    <xf numFmtId="0" fontId="5" fillId="0" borderId="3" xfId="2" applyFont="1" applyBorder="1" applyAlignment="1">
      <alignment horizontal="center"/>
    </xf>
    <xf numFmtId="0" fontId="3" fillId="3" borderId="4" xfId="2" applyFill="1" applyBorder="1" applyAlignment="1">
      <alignment horizontal="center"/>
    </xf>
    <xf numFmtId="164" fontId="3" fillId="3" borderId="4" xfId="2" applyNumberFormat="1" applyFill="1" applyBorder="1" applyAlignment="1">
      <alignment horizontal="center"/>
    </xf>
    <xf numFmtId="0" fontId="3" fillId="0" borderId="4" xfId="2" applyBorder="1" applyAlignment="1">
      <alignment horizontal="center"/>
    </xf>
    <xf numFmtId="0" fontId="3" fillId="0" borderId="0" xfId="2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5" borderId="2" xfId="0" applyFill="1" applyBorder="1"/>
    <xf numFmtId="0" fontId="0" fillId="0" borderId="7" xfId="0" applyBorder="1"/>
    <xf numFmtId="0" fontId="0" fillId="0" borderId="0" xfId="0" applyBorder="1"/>
    <xf numFmtId="0" fontId="0" fillId="0" borderId="12" xfId="0" applyBorder="1"/>
    <xf numFmtId="0" fontId="2" fillId="0" borderId="0" xfId="0" applyFont="1" applyAlignment="1">
      <alignment horizontal="center"/>
    </xf>
    <xf numFmtId="165" fontId="0" fillId="5" borderId="0" xfId="1" applyNumberFormat="1" applyFont="1" applyFill="1"/>
    <xf numFmtId="16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6" fontId="2" fillId="0" borderId="2" xfId="0" applyNumberFormat="1" applyFont="1" applyBorder="1"/>
    <xf numFmtId="165" fontId="0" fillId="7" borderId="8" xfId="1" applyNumberFormat="1" applyFont="1" applyFill="1" applyBorder="1"/>
    <xf numFmtId="165" fontId="0" fillId="7" borderId="10" xfId="1" applyNumberFormat="1" applyFont="1" applyFill="1" applyBorder="1"/>
    <xf numFmtId="165" fontId="0" fillId="7" borderId="13" xfId="1" applyNumberFormat="1" applyFont="1" applyFill="1" applyBorder="1"/>
    <xf numFmtId="0" fontId="0" fillId="0" borderId="9" xfId="0" applyBorder="1" applyAlignment="1">
      <alignment horizontal="left" indent="1"/>
    </xf>
    <xf numFmtId="0" fontId="0" fillId="0" borderId="0" xfId="0" applyBorder="1" applyAlignment="1">
      <alignment horizontal="left" indent="1"/>
    </xf>
    <xf numFmtId="0" fontId="0" fillId="0" borderId="11" xfId="0" applyBorder="1" applyAlignment="1">
      <alignment horizontal="left" indent="1"/>
    </xf>
    <xf numFmtId="0" fontId="0" fillId="0" borderId="12" xfId="0" applyBorder="1" applyAlignment="1">
      <alignment horizontal="left" inden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4" fillId="2" borderId="1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</cellXfs>
  <cellStyles count="3">
    <cellStyle name="Normal" xfId="0" builtinId="0"/>
    <cellStyle name="Normal 2" xfId="2" xr:uid="{98E9DE60-56CB-4786-A5FA-15BBE67AE744}"/>
    <cellStyle name="Percent" xfId="1" builtinId="5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undPP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m1jk7r\Documents\Guodong%20on%20C\Excel\Excel\201\4.2%20Char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Private%20-%20Li\Pleasure\Weight%20Contro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uodong\Pension\FASB158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%201\H\Maryville\Maryville%20-%20Key%20Files\ACSC%20201%20and%20301\Tests%20and%20Exams\Test%201.1-5.5%20-%20Count%20&amp;%20Annuity%20&amp;%20Statement%20&amp;%20Rate%20Chart%20&amp;%20Pivo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view\Pending\Model%20FAS%20158%20Disclosu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Y"/>
      <sheetName val="TY"/>
      <sheetName val="NY"/>
      <sheetName val="BasePY"/>
      <sheetName val="Contrib"/>
      <sheetName val="Input"/>
      <sheetName val="Liability"/>
      <sheetName val="ProVal"/>
      <sheetName val="Analysis"/>
      <sheetName val="ProValInfo"/>
      <sheetName val="ProVal0"/>
      <sheetName val="ProVal1"/>
      <sheetName val="PartD"/>
      <sheetName val="Major"/>
      <sheetName val="C"/>
      <sheetName val="DiscAC"/>
      <sheetName val="Disc C"/>
      <sheetName val="B"/>
      <sheetName val="AM"/>
      <sheetName val="Plan"/>
      <sheetName val="YC"/>
      <sheetName val="Rate"/>
      <sheetName val="Note"/>
      <sheetName val="Table"/>
      <sheetName val="Cover"/>
      <sheetName val="Data"/>
      <sheetName val="Result"/>
      <sheetName val="FT"/>
      <sheetName val="AS"/>
      <sheetName val="AV"/>
      <sheetName val="Return"/>
      <sheetName val="ROR"/>
      <sheetName val="SchSB"/>
      <sheetName val="Election"/>
      <sheetName val="AFN"/>
      <sheetName val="4010"/>
      <sheetName val="GL"/>
      <sheetName val="Stat"/>
      <sheetName val="Sum"/>
      <sheetName val="At-Risk"/>
      <sheetName val="At-Risk max"/>
      <sheetName val="Burn CB"/>
      <sheetName val="Shortfall"/>
      <sheetName val="Base"/>
      <sheetName val="ASC 960"/>
      <sheetName val="FB"/>
      <sheetName val="min"/>
      <sheetName val="max"/>
      <sheetName val="Qtrly"/>
      <sheetName val="PBGC"/>
      <sheetName val="PBGC F"/>
      <sheetName val="SB"/>
      <sheetName val="Calendar"/>
      <sheetName val="AFTAP"/>
      <sheetName val="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5">
          <cell r="I5">
            <v>40909</v>
          </cell>
        </row>
      </sheetData>
      <sheetData sheetId="19"/>
      <sheetData sheetId="20"/>
      <sheetData sheetId="21"/>
      <sheetData sheetId="22"/>
      <sheetData sheetId="23">
        <row r="3">
          <cell r="J3" t="str">
            <v>Market Value</v>
          </cell>
          <cell r="K3" t="str">
            <v>Reg 1.412(c)(2)-1(c) &amp; RP 2000-40 Sec 4.10</v>
          </cell>
        </row>
        <row r="4">
          <cell r="J4" t="str">
            <v>Average Value</v>
          </cell>
          <cell r="K4" t="str">
            <v>Reg 1.412(c)(2)-1(b)(7) &amp; RP 2000-40 Sec 4.11</v>
          </cell>
        </row>
        <row r="5">
          <cell r="J5" t="str">
            <v>Average Value</v>
          </cell>
          <cell r="K5" t="str">
            <v>Reg 1.412(c)(2)-1(b)(7) &amp; RP 2000-40 Sec 4.12, Phase-in</v>
          </cell>
        </row>
        <row r="6">
          <cell r="J6" t="str">
            <v>Expected AV1</v>
          </cell>
          <cell r="K6" t="str">
            <v>Recognize G/L as equal payments</v>
          </cell>
        </row>
        <row r="7">
          <cell r="J7" t="str">
            <v>Expected AV2</v>
          </cell>
          <cell r="K7" t="str">
            <v>Adjust AV toward MV by fixed %</v>
          </cell>
        </row>
        <row r="8">
          <cell r="J8" t="str">
            <v>Smoothed Value</v>
          </cell>
          <cell r="K8" t="str">
            <v>Rev Proc 2000-40 Sec 4.15</v>
          </cell>
        </row>
        <row r="9">
          <cell r="J9" t="str">
            <v>Smoothed Value</v>
          </cell>
          <cell r="K9" t="str">
            <v>Rev Proc 2000-40 Sec 4.16, Phase-in</v>
          </cell>
        </row>
        <row r="10">
          <cell r="J10" t="str">
            <v>Average Value</v>
          </cell>
          <cell r="K10" t="str">
            <v>Reg 1.412(c)(2)-1(b)(7) &amp; RP 2000-40 Sec 4.17, Phase-in</v>
          </cell>
        </row>
        <row r="11">
          <cell r="J11" t="str">
            <v>Undefined</v>
          </cell>
          <cell r="K11" t="str">
            <v>Undefined</v>
          </cell>
        </row>
        <row r="12">
          <cell r="J12" t="str">
            <v>Undefined</v>
          </cell>
          <cell r="K12" t="str">
            <v>Undefined</v>
          </cell>
        </row>
        <row r="13">
          <cell r="J13" t="str">
            <v>Other Method</v>
          </cell>
          <cell r="K13" t="str">
            <v>Other Method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A2" t="str">
            <v>Version 1/1 - 1/1/2000</v>
          </cell>
        </row>
        <row r="5">
          <cell r="F5" t="str">
            <v/>
          </cell>
        </row>
        <row r="9">
          <cell r="C9" t="str">
            <v>Inc. Pension Plan</v>
          </cell>
        </row>
        <row r="10">
          <cell r="C10" t="str">
            <v>Billing Code:                           Version 1/1 - 1/1/2000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"/>
      <sheetName val="Student Records"/>
      <sheetName val="Count"/>
      <sheetName val="Progress to Goal"/>
      <sheetName val="HW Progress"/>
      <sheetName val="Weight Watch"/>
      <sheetName val="Static"/>
      <sheetName val="dynamic"/>
    </sheetNames>
    <sheetDataSet>
      <sheetData sheetId="0"/>
      <sheetData sheetId="1"/>
      <sheetData sheetId="2"/>
      <sheetData sheetId="3"/>
      <sheetData sheetId="4"/>
      <sheetData sheetId="5">
        <row r="2">
          <cell r="I2">
            <v>10</v>
          </cell>
        </row>
        <row r="3">
          <cell r="I3">
            <v>25</v>
          </cell>
        </row>
        <row r="9">
          <cell r="B9" t="str">
            <v>Date</v>
          </cell>
        </row>
      </sheetData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king"/>
      <sheetName val="Weight"/>
      <sheetName val="Salman"/>
      <sheetName val="Stairs"/>
      <sheetName val="Golf"/>
      <sheetName val="Misc"/>
      <sheetName val="Golf Courses"/>
      <sheetName val="Ping Pang"/>
      <sheetName val="Hiking Trails"/>
      <sheetName val="Health Info"/>
      <sheetName val="Weight &amp; more"/>
      <sheetName val="Activities before 2014"/>
      <sheetName val="Activity"/>
      <sheetName val="JGP"/>
      <sheetName val="Swim"/>
      <sheetName val="Record Sheet"/>
      <sheetName val="Record Time"/>
      <sheetName val="Event"/>
      <sheetName val="Trails"/>
    </sheetNames>
    <sheetDataSet>
      <sheetData sheetId="0" refreshError="1"/>
      <sheetData sheetId="1">
        <row r="1">
          <cell r="J1">
            <v>0</v>
          </cell>
        </row>
      </sheetData>
      <sheetData sheetId="2">
        <row r="4">
          <cell r="B4">
            <v>160</v>
          </cell>
        </row>
        <row r="9">
          <cell r="G9">
            <v>34.5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Update"/>
      <sheetName val="LY"/>
      <sheetName val="TY"/>
      <sheetName val="NY"/>
      <sheetName val="Input"/>
      <sheetName val="ProVal"/>
      <sheetName val="ProValEst"/>
      <sheetName val="Analysis"/>
      <sheetName val="PartD"/>
      <sheetName val="Liability"/>
      <sheetName val="ProValInfo"/>
      <sheetName val="Contrib"/>
      <sheetName val="Table"/>
      <sheetName val="Base"/>
      <sheetName val="B"/>
      <sheetName val="Major"/>
      <sheetName val="Plan"/>
      <sheetName val="Sum"/>
      <sheetName val="AS"/>
      <sheetName val="MRV"/>
      <sheetName val="Int"/>
      <sheetName val="PSC"/>
      <sheetName val="GL"/>
      <sheetName val="NPBC"/>
      <sheetName val="FAS158"/>
      <sheetName val="FAS158 - before"/>
      <sheetName val="PJ"/>
      <sheetName val="AML"/>
      <sheetName val="Recon"/>
      <sheetName val="AS PJ"/>
      <sheetName val="Recon Sum"/>
      <sheetName val="X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1">
          <cell r="C21" t="str">
            <v>Market Value</v>
          </cell>
          <cell r="D21" t="str">
            <v>Reg 1.412(c)(2)-1(c) &amp; RP 2000-40 Sec 4.10</v>
          </cell>
        </row>
        <row r="22">
          <cell r="C22" t="str">
            <v>Average Value</v>
          </cell>
          <cell r="D22" t="str">
            <v>Reg 1.412(c)(2)-1(b)(7) &amp; RP 2000-40 Sec 4.11</v>
          </cell>
        </row>
        <row r="23">
          <cell r="C23" t="str">
            <v>Average Value</v>
          </cell>
          <cell r="D23" t="str">
            <v>Reg 1.412(c)(2)-1(b)(7) &amp; RP 2000-40 Sec 4.12, Phase-in</v>
          </cell>
        </row>
        <row r="24">
          <cell r="C24" t="str">
            <v>Expected AV1</v>
          </cell>
          <cell r="D24" t="str">
            <v>Recognize G/L as equal payments</v>
          </cell>
        </row>
        <row r="25">
          <cell r="C25" t="str">
            <v>Expected AV2</v>
          </cell>
          <cell r="D25" t="str">
            <v>Adjust AV toward MV by fixed %</v>
          </cell>
        </row>
        <row r="26">
          <cell r="C26" t="str">
            <v>Smoothed Value</v>
          </cell>
          <cell r="D26" t="str">
            <v>Rev Proc 2000-40 Sec 4.15</v>
          </cell>
        </row>
        <row r="27">
          <cell r="C27" t="str">
            <v>Smoothed Value</v>
          </cell>
          <cell r="D27" t="str">
            <v>Rev Proc 2000-40 Sec 4.16, Phase-in</v>
          </cell>
        </row>
        <row r="28">
          <cell r="C28" t="str">
            <v>Average Value</v>
          </cell>
          <cell r="D28" t="str">
            <v>Reg 1.412(c)(2)-1(b)(7) &amp; RP 2000-40 Sec 4.17, Phase-in</v>
          </cell>
        </row>
        <row r="29">
          <cell r="C29" t="str">
            <v>Smoothed Value</v>
          </cell>
          <cell r="D29" t="str">
            <v>Smoothed Value w/ PY expected return</v>
          </cell>
        </row>
        <row r="30">
          <cell r="C30" t="str">
            <v>Undefined</v>
          </cell>
          <cell r="D30" t="str">
            <v>Undefined</v>
          </cell>
        </row>
        <row r="31">
          <cell r="C31" t="str">
            <v>Other Method</v>
          </cell>
          <cell r="D31" t="str">
            <v>Other Method</v>
          </cell>
        </row>
      </sheetData>
      <sheetData sheetId="14" refreshError="1"/>
      <sheetData sheetId="15" refreshError="1"/>
      <sheetData sheetId="16" refreshError="1"/>
      <sheetData sheetId="17">
        <row r="35">
          <cell r="F35">
            <v>0</v>
          </cell>
        </row>
      </sheetData>
      <sheetData sheetId="18">
        <row r="7">
          <cell r="E7">
            <v>41275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rd"/>
      <sheetName val="Qx"/>
      <sheetName val="Filter DB"/>
      <sheetName val="Pivot Table"/>
      <sheetName val="Age Dist"/>
      <sheetName val="Annuity"/>
      <sheetName val="Rate"/>
      <sheetName val="Statement"/>
      <sheetName val="Progrss Grap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B2" t="str">
            <v>Interest Rate</v>
          </cell>
        </row>
        <row r="3">
          <cell r="B3" t="str">
            <v>Year</v>
          </cell>
          <cell r="C3" t="str">
            <v>Rate</v>
          </cell>
        </row>
        <row r="4">
          <cell r="B4">
            <v>2008</v>
          </cell>
          <cell r="C4">
            <v>0.04</v>
          </cell>
        </row>
        <row r="5">
          <cell r="B5">
            <v>2009</v>
          </cell>
          <cell r="C5">
            <v>7.4999999999999997E-2</v>
          </cell>
        </row>
        <row r="6">
          <cell r="B6">
            <v>2010</v>
          </cell>
          <cell r="C6">
            <v>6.5000000000000002E-2</v>
          </cell>
        </row>
        <row r="7">
          <cell r="B7">
            <v>2011</v>
          </cell>
          <cell r="C7">
            <v>7.2499999999999995E-2</v>
          </cell>
        </row>
        <row r="8">
          <cell r="B8">
            <v>2012</v>
          </cell>
          <cell r="C8">
            <v>6.5000000000000002E-2</v>
          </cell>
        </row>
        <row r="9">
          <cell r="B9">
            <v>2013</v>
          </cell>
          <cell r="C9">
            <v>0.04</v>
          </cell>
        </row>
        <row r="10">
          <cell r="B10">
            <v>2014</v>
          </cell>
        </row>
        <row r="11">
          <cell r="B11">
            <v>2015</v>
          </cell>
        </row>
        <row r="12">
          <cell r="B12">
            <v>2016</v>
          </cell>
        </row>
        <row r="13">
          <cell r="B13">
            <v>2017</v>
          </cell>
        </row>
        <row r="14">
          <cell r="B14">
            <v>2018</v>
          </cell>
        </row>
        <row r="15">
          <cell r="B15">
            <v>2019</v>
          </cell>
        </row>
        <row r="16">
          <cell r="B16">
            <v>2020</v>
          </cell>
        </row>
        <row r="17">
          <cell r="B17">
            <v>2021</v>
          </cell>
        </row>
        <row r="18">
          <cell r="B18">
            <v>2022</v>
          </cell>
        </row>
        <row r="19">
          <cell r="B19">
            <v>2023</v>
          </cell>
        </row>
        <row r="20">
          <cell r="B20">
            <v>2024</v>
          </cell>
        </row>
        <row r="21">
          <cell r="B21">
            <v>2025</v>
          </cell>
        </row>
        <row r="22">
          <cell r="B22">
            <v>2026</v>
          </cell>
        </row>
        <row r="23">
          <cell r="B23">
            <v>2027</v>
          </cell>
        </row>
        <row r="24">
          <cell r="B24">
            <v>2028</v>
          </cell>
        </row>
        <row r="26">
          <cell r="B26" t="str">
            <v>Current Year Info</v>
          </cell>
        </row>
        <row r="27">
          <cell r="B27" t="str">
            <v>Contract Year</v>
          </cell>
          <cell r="C27" t="str">
            <v>Rate</v>
          </cell>
        </row>
        <row r="28">
          <cell r="B28">
            <v>2013</v>
          </cell>
          <cell r="C28">
            <v>0.04</v>
          </cell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FAS 158 Input"/>
      <sheetName val="Print Public for Profit"/>
      <sheetName val="Print Nonprofit"/>
      <sheetName val="Print Nonpublic"/>
    </sheetNames>
    <sheetDataSet>
      <sheetData sheetId="0"/>
      <sheetData sheetId="1">
        <row r="4">
          <cell r="H4">
            <v>2006</v>
          </cell>
        </row>
      </sheetData>
      <sheetData sheetId="2">
        <row r="5">
          <cell r="C5">
            <v>2005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1725-AE2C-4873-9E4A-21CE7C4396AC}">
  <sheetPr>
    <pageSetUpPr fitToPage="1"/>
  </sheetPr>
  <dimension ref="B1:M137"/>
  <sheetViews>
    <sheetView showGridLines="0" tabSelected="1" workbookViewId="0">
      <pane ySplit="16" topLeftCell="A17" activePane="bottomLeft" state="frozen"/>
      <selection pane="bottomLeft"/>
    </sheetView>
  </sheetViews>
  <sheetFormatPr defaultRowHeight="15" x14ac:dyDescent="0.25"/>
  <cols>
    <col min="1" max="1" width="2.85546875" customWidth="1"/>
    <col min="2" max="5" width="10.7109375" customWidth="1"/>
    <col min="6" max="7" width="7.140625" customWidth="1"/>
    <col min="8" max="8" width="16.42578125" customWidth="1"/>
    <col min="12" max="12" width="21.42578125" customWidth="1"/>
  </cols>
  <sheetData>
    <row r="1" spans="2:13" ht="15.75" thickBot="1" x14ac:dyDescent="0.3"/>
    <row r="2" spans="2:13" ht="18.75" customHeight="1" thickBot="1" x14ac:dyDescent="0.35">
      <c r="B2" s="31" t="s">
        <v>3</v>
      </c>
      <c r="C2" s="32"/>
      <c r="D2" s="32"/>
      <c r="E2" s="32"/>
      <c r="F2" s="32"/>
      <c r="G2" s="32"/>
      <c r="H2" s="33"/>
    </row>
    <row r="3" spans="2:13" ht="15.75" thickBot="1" x14ac:dyDescent="0.3">
      <c r="B3" s="34" t="s">
        <v>4</v>
      </c>
      <c r="C3" s="35"/>
      <c r="D3" s="8"/>
      <c r="E3" s="8"/>
      <c r="F3" s="8"/>
      <c r="G3" s="8"/>
      <c r="H3" s="9">
        <v>50</v>
      </c>
    </row>
    <row r="4" spans="2:13" hidden="1" x14ac:dyDescent="0.25"/>
    <row r="5" spans="2:13" ht="7.5" customHeight="1" thickBot="1" x14ac:dyDescent="0.3"/>
    <row r="6" spans="2:13" ht="15" customHeight="1" thickBot="1" x14ac:dyDescent="0.3">
      <c r="B6" s="34" t="s">
        <v>5</v>
      </c>
      <c r="C6" s="35"/>
      <c r="D6" s="35"/>
      <c r="E6" s="8"/>
      <c r="F6" s="8"/>
      <c r="G6" s="8"/>
      <c r="H6" s="17">
        <f>SUM(H17:H132)</f>
        <v>30.692004126338162</v>
      </c>
      <c r="L6" t="s">
        <v>17</v>
      </c>
      <c r="M6" s="14">
        <v>0</v>
      </c>
    </row>
    <row r="7" spans="2:13" ht="7.5" customHeight="1" thickBot="1" x14ac:dyDescent="0.3"/>
    <row r="8" spans="2:13" ht="15.75" thickBot="1" x14ac:dyDescent="0.3">
      <c r="B8" s="36" t="s">
        <v>6</v>
      </c>
      <c r="C8" s="37"/>
      <c r="D8" s="37"/>
      <c r="E8" s="37"/>
      <c r="F8" s="37"/>
      <c r="G8" s="37"/>
      <c r="H8" s="38"/>
    </row>
    <row r="9" spans="2:13" x14ac:dyDescent="0.25">
      <c r="B9" s="39" t="s">
        <v>7</v>
      </c>
      <c r="C9" s="40"/>
      <c r="D9" s="40"/>
      <c r="E9" s="40"/>
      <c r="F9" s="10"/>
      <c r="G9" s="10"/>
      <c r="H9" s="18">
        <v>0.26806088314174364</v>
      </c>
    </row>
    <row r="10" spans="2:13" x14ac:dyDescent="0.25">
      <c r="B10" s="21" t="s">
        <v>8</v>
      </c>
      <c r="C10" s="22"/>
      <c r="D10" s="22"/>
      <c r="E10" s="22"/>
      <c r="F10" s="11"/>
      <c r="G10" s="11"/>
      <c r="H10" s="19">
        <v>0.4007980576978023</v>
      </c>
    </row>
    <row r="11" spans="2:13" x14ac:dyDescent="0.25">
      <c r="B11" s="21" t="s">
        <v>9</v>
      </c>
      <c r="C11" s="22"/>
      <c r="D11" s="22"/>
      <c r="E11" s="22"/>
      <c r="F11" s="11"/>
      <c r="G11" s="11"/>
      <c r="H11" s="19">
        <v>0.24878038151435414</v>
      </c>
    </row>
    <row r="12" spans="2:13" ht="15.75" thickBot="1" x14ac:dyDescent="0.3">
      <c r="B12" s="23" t="s">
        <v>10</v>
      </c>
      <c r="C12" s="24"/>
      <c r="D12" s="24"/>
      <c r="E12" s="24"/>
      <c r="F12" s="12"/>
      <c r="G12" s="12"/>
      <c r="H12" s="20">
        <v>0.37702264088609816</v>
      </c>
    </row>
    <row r="13" spans="2:13" ht="37.5" customHeight="1" thickBot="1" x14ac:dyDescent="0.3">
      <c r="B13" s="25" t="s">
        <v>11</v>
      </c>
      <c r="C13" s="26"/>
      <c r="D13" s="26"/>
      <c r="E13" s="26"/>
      <c r="F13" s="26"/>
      <c r="G13" s="26"/>
      <c r="H13" s="27"/>
    </row>
    <row r="14" spans="2:13" ht="7.5" customHeight="1" thickBot="1" x14ac:dyDescent="0.3"/>
    <row r="15" spans="2:13" ht="16.5" thickBot="1" x14ac:dyDescent="0.3">
      <c r="B15" s="28" t="s">
        <v>12</v>
      </c>
      <c r="C15" s="29"/>
      <c r="D15" s="29"/>
      <c r="E15" s="29"/>
      <c r="F15" s="29"/>
      <c r="G15" s="29"/>
      <c r="H15" s="30"/>
    </row>
    <row r="16" spans="2:13" x14ac:dyDescent="0.25">
      <c r="B16" s="13" t="s">
        <v>1</v>
      </c>
      <c r="C16" s="13" t="s">
        <v>13</v>
      </c>
      <c r="D16" s="13" t="s">
        <v>14</v>
      </c>
      <c r="E16" s="13" t="s">
        <v>16</v>
      </c>
      <c r="F16" s="13"/>
      <c r="G16" s="13"/>
      <c r="H16" s="13" t="s">
        <v>15</v>
      </c>
    </row>
    <row r="17" spans="2:8" x14ac:dyDescent="0.25">
      <c r="B17" s="7">
        <f>IF(H3="",20,H3)</f>
        <v>50</v>
      </c>
      <c r="C17" s="15">
        <f t="shared" ref="C17:C48" si="0">IF(B17="","",VLOOKUP(B17,QxTable,2)*(1-$M$6))</f>
        <v>2.5790000000000001E-3</v>
      </c>
      <c r="D17" s="15">
        <f>IF(B17="","",1-C17)</f>
        <v>0.997421</v>
      </c>
      <c r="E17" s="15">
        <v>1</v>
      </c>
      <c r="H17" s="16">
        <f>IF(B17="","",E17*(1-C17/2))</f>
        <v>0.99871049999999995</v>
      </c>
    </row>
    <row r="18" spans="2:8" x14ac:dyDescent="0.25">
      <c r="B18" s="7">
        <f>IF(B17&gt;=120,"",B17+1)</f>
        <v>51</v>
      </c>
      <c r="C18" s="15">
        <f t="shared" si="0"/>
        <v>2.872E-3</v>
      </c>
      <c r="D18" s="15">
        <f t="shared" ref="D18:D81" si="1">IF(B18="","",1-C18)</f>
        <v>0.99712800000000001</v>
      </c>
      <c r="E18" s="15">
        <f>IF(B18="","",E17*D17)</f>
        <v>0.997421</v>
      </c>
      <c r="H18" s="16">
        <f t="shared" ref="H18:H81" si="2">IF(B18="","",E18*(1-C18/2))</f>
        <v>0.99598870344400003</v>
      </c>
    </row>
    <row r="19" spans="2:8" x14ac:dyDescent="0.25">
      <c r="B19" s="7">
        <f t="shared" ref="B19:B82" si="3">IF(B18&gt;=120,"",B18+1)</f>
        <v>52</v>
      </c>
      <c r="C19" s="15">
        <f t="shared" si="0"/>
        <v>3.2130000000000001E-3</v>
      </c>
      <c r="D19" s="15">
        <f t="shared" si="1"/>
        <v>0.99678699999999998</v>
      </c>
      <c r="E19" s="15">
        <f t="shared" ref="E19:E82" si="4">IF(B19="","",E18*D18)</f>
        <v>0.99455640688800007</v>
      </c>
      <c r="H19" s="16">
        <f t="shared" si="2"/>
        <v>0.99295865202033451</v>
      </c>
    </row>
    <row r="20" spans="2:8" x14ac:dyDescent="0.25">
      <c r="B20" s="7">
        <f t="shared" si="3"/>
        <v>53</v>
      </c>
      <c r="C20" s="15">
        <f t="shared" si="0"/>
        <v>3.5839999999999999E-3</v>
      </c>
      <c r="D20" s="15">
        <f t="shared" si="1"/>
        <v>0.99641599999999997</v>
      </c>
      <c r="E20" s="15">
        <f t="shared" si="4"/>
        <v>0.99136089715266895</v>
      </c>
      <c r="H20" s="16">
        <f t="shared" si="2"/>
        <v>0.98958437842497138</v>
      </c>
    </row>
    <row r="21" spans="2:8" x14ac:dyDescent="0.25">
      <c r="B21" s="7">
        <f t="shared" si="3"/>
        <v>54</v>
      </c>
      <c r="C21" s="15">
        <f t="shared" si="0"/>
        <v>3.9789999999999999E-3</v>
      </c>
      <c r="D21" s="15">
        <f t="shared" si="1"/>
        <v>0.99602100000000005</v>
      </c>
      <c r="E21" s="15">
        <f t="shared" si="4"/>
        <v>0.9878078596972738</v>
      </c>
      <c r="H21" s="16">
        <f t="shared" si="2"/>
        <v>0.98584261596040612</v>
      </c>
    </row>
    <row r="22" spans="2:8" x14ac:dyDescent="0.25">
      <c r="B22" s="7">
        <f t="shared" si="3"/>
        <v>55</v>
      </c>
      <c r="C22" s="15">
        <f t="shared" si="0"/>
        <v>4.4250000000000001E-3</v>
      </c>
      <c r="D22" s="15">
        <f t="shared" si="1"/>
        <v>0.99557499999999999</v>
      </c>
      <c r="E22" s="15">
        <f t="shared" si="4"/>
        <v>0.98387737222353844</v>
      </c>
      <c r="H22" s="16">
        <f t="shared" si="2"/>
        <v>0.98170054353749392</v>
      </c>
    </row>
    <row r="23" spans="2:8" x14ac:dyDescent="0.25">
      <c r="B23" s="7">
        <f t="shared" si="3"/>
        <v>56</v>
      </c>
      <c r="C23" s="15">
        <f t="shared" si="0"/>
        <v>4.9490000000000003E-3</v>
      </c>
      <c r="D23" s="15">
        <f t="shared" si="1"/>
        <v>0.99505100000000002</v>
      </c>
      <c r="E23" s="15">
        <f t="shared" si="4"/>
        <v>0.97952371485144929</v>
      </c>
      <c r="H23" s="16">
        <f t="shared" si="2"/>
        <v>0.9770998834190493</v>
      </c>
    </row>
    <row r="24" spans="2:8" x14ac:dyDescent="0.25">
      <c r="B24" s="7">
        <f t="shared" si="3"/>
        <v>57</v>
      </c>
      <c r="C24" s="15">
        <f t="shared" si="0"/>
        <v>5.581E-3</v>
      </c>
      <c r="D24" s="15">
        <f t="shared" si="1"/>
        <v>0.99441900000000005</v>
      </c>
      <c r="E24" s="15">
        <f t="shared" si="4"/>
        <v>0.97467605198664953</v>
      </c>
      <c r="H24" s="16">
        <f t="shared" si="2"/>
        <v>0.97195621846358071</v>
      </c>
    </row>
    <row r="25" spans="2:8" x14ac:dyDescent="0.25">
      <c r="B25" s="7">
        <f t="shared" si="3"/>
        <v>58</v>
      </c>
      <c r="C25" s="15">
        <f t="shared" si="0"/>
        <v>6.3E-3</v>
      </c>
      <c r="D25" s="15">
        <f t="shared" si="1"/>
        <v>0.99370000000000003</v>
      </c>
      <c r="E25" s="15">
        <f t="shared" si="4"/>
        <v>0.96923638494051212</v>
      </c>
      <c r="H25" s="16">
        <f t="shared" si="2"/>
        <v>0.96618329032794947</v>
      </c>
    </row>
    <row r="26" spans="2:8" x14ac:dyDescent="0.25">
      <c r="B26" s="7">
        <f t="shared" si="3"/>
        <v>59</v>
      </c>
      <c r="C26" s="15">
        <f t="shared" si="0"/>
        <v>7.0899999999999999E-3</v>
      </c>
      <c r="D26" s="15">
        <f t="shared" si="1"/>
        <v>0.99290999999999996</v>
      </c>
      <c r="E26" s="15">
        <f t="shared" si="4"/>
        <v>0.96313019571538694</v>
      </c>
      <c r="H26" s="16">
        <f t="shared" si="2"/>
        <v>0.95971589917157585</v>
      </c>
    </row>
    <row r="27" spans="2:8" x14ac:dyDescent="0.25">
      <c r="B27" s="7">
        <f t="shared" si="3"/>
        <v>60</v>
      </c>
      <c r="C27" s="15">
        <f t="shared" si="0"/>
        <v>7.9760000000000005E-3</v>
      </c>
      <c r="D27" s="15">
        <f t="shared" si="1"/>
        <v>0.99202400000000002</v>
      </c>
      <c r="E27" s="15">
        <f t="shared" si="4"/>
        <v>0.95630160262776476</v>
      </c>
      <c r="H27" s="16">
        <f t="shared" si="2"/>
        <v>0.9524878718364852</v>
      </c>
    </row>
    <row r="28" spans="2:8" x14ac:dyDescent="0.25">
      <c r="B28" s="7">
        <f t="shared" si="3"/>
        <v>61</v>
      </c>
      <c r="C28" s="15">
        <f t="shared" si="0"/>
        <v>8.9859999999999992E-3</v>
      </c>
      <c r="D28" s="15">
        <f t="shared" si="1"/>
        <v>0.99101399999999995</v>
      </c>
      <c r="E28" s="15">
        <f t="shared" si="4"/>
        <v>0.94867414104520575</v>
      </c>
      <c r="H28" s="16">
        <f t="shared" si="2"/>
        <v>0.94441174812948969</v>
      </c>
    </row>
    <row r="29" spans="2:8" x14ac:dyDescent="0.25">
      <c r="B29" s="7">
        <f t="shared" si="3"/>
        <v>62</v>
      </c>
      <c r="C29" s="15">
        <f t="shared" si="0"/>
        <v>1.0147E-2</v>
      </c>
      <c r="D29" s="15">
        <f t="shared" si="1"/>
        <v>0.98985299999999998</v>
      </c>
      <c r="E29" s="15">
        <f t="shared" si="4"/>
        <v>0.94014935521377352</v>
      </c>
      <c r="H29" s="16">
        <f t="shared" si="2"/>
        <v>0.93537950746009646</v>
      </c>
    </row>
    <row r="30" spans="2:8" x14ac:dyDescent="0.25">
      <c r="B30" s="7">
        <f t="shared" si="3"/>
        <v>63</v>
      </c>
      <c r="C30" s="15">
        <f t="shared" si="0"/>
        <v>1.1471E-2</v>
      </c>
      <c r="D30" s="15">
        <f t="shared" si="1"/>
        <v>0.98852899999999999</v>
      </c>
      <c r="E30" s="15">
        <f t="shared" si="4"/>
        <v>0.93060965970641929</v>
      </c>
      <c r="H30" s="16">
        <f t="shared" si="2"/>
        <v>0.92527214800317314</v>
      </c>
    </row>
    <row r="31" spans="2:8" x14ac:dyDescent="0.25">
      <c r="B31" s="7">
        <f t="shared" si="3"/>
        <v>64</v>
      </c>
      <c r="C31" s="15">
        <f t="shared" si="0"/>
        <v>1.294E-2</v>
      </c>
      <c r="D31" s="15">
        <f t="shared" si="1"/>
        <v>0.98706000000000005</v>
      </c>
      <c r="E31" s="15">
        <f t="shared" si="4"/>
        <v>0.919934636299927</v>
      </c>
      <c r="H31" s="16">
        <f t="shared" si="2"/>
        <v>0.91398265920306654</v>
      </c>
    </row>
    <row r="32" spans="2:8" x14ac:dyDescent="0.25">
      <c r="B32" s="7">
        <f t="shared" si="3"/>
        <v>65</v>
      </c>
      <c r="C32" s="15">
        <f t="shared" si="0"/>
        <v>1.4534999999999999E-2</v>
      </c>
      <c r="D32" s="15">
        <f t="shared" si="1"/>
        <v>0.98546500000000004</v>
      </c>
      <c r="E32" s="15">
        <f t="shared" si="4"/>
        <v>0.90803068210620597</v>
      </c>
      <c r="H32" s="16">
        <f t="shared" si="2"/>
        <v>0.90143156912399913</v>
      </c>
    </row>
    <row r="33" spans="2:8" x14ac:dyDescent="0.25">
      <c r="B33" s="7">
        <f t="shared" si="3"/>
        <v>66</v>
      </c>
      <c r="C33" s="15">
        <f t="shared" si="0"/>
        <v>1.6239E-2</v>
      </c>
      <c r="D33" s="15">
        <f t="shared" si="1"/>
        <v>0.983761</v>
      </c>
      <c r="E33" s="15">
        <f t="shared" si="4"/>
        <v>0.8948324561417923</v>
      </c>
      <c r="H33" s="16">
        <f t="shared" si="2"/>
        <v>0.88756686401414908</v>
      </c>
    </row>
    <row r="34" spans="2:8" x14ac:dyDescent="0.25">
      <c r="B34" s="7">
        <f t="shared" si="3"/>
        <v>67</v>
      </c>
      <c r="C34" s="15">
        <f t="shared" si="0"/>
        <v>1.8034000000000001E-2</v>
      </c>
      <c r="D34" s="15">
        <f t="shared" si="1"/>
        <v>0.98196600000000001</v>
      </c>
      <c r="E34" s="15">
        <f t="shared" si="4"/>
        <v>0.88030127188650575</v>
      </c>
      <c r="H34" s="16">
        <f t="shared" si="2"/>
        <v>0.87236359531790508</v>
      </c>
    </row>
    <row r="35" spans="2:8" x14ac:dyDescent="0.25">
      <c r="B35" s="7">
        <f t="shared" si="3"/>
        <v>68</v>
      </c>
      <c r="C35" s="15">
        <f t="shared" si="0"/>
        <v>1.9859000000000002E-2</v>
      </c>
      <c r="D35" s="15">
        <f t="shared" si="1"/>
        <v>0.98014100000000004</v>
      </c>
      <c r="E35" s="15">
        <f t="shared" si="4"/>
        <v>0.86442591874930452</v>
      </c>
      <c r="H35" s="16">
        <f t="shared" si="2"/>
        <v>0.85584260158908332</v>
      </c>
    </row>
    <row r="36" spans="2:8" x14ac:dyDescent="0.25">
      <c r="B36" s="7">
        <f t="shared" si="3"/>
        <v>69</v>
      </c>
      <c r="C36" s="15">
        <f t="shared" si="0"/>
        <v>2.1728999999999998E-2</v>
      </c>
      <c r="D36" s="15">
        <f t="shared" si="1"/>
        <v>0.978271</v>
      </c>
      <c r="E36" s="15">
        <f t="shared" si="4"/>
        <v>0.84725928442886211</v>
      </c>
      <c r="H36" s="16">
        <f t="shared" si="2"/>
        <v>0.83805423593318473</v>
      </c>
    </row>
    <row r="37" spans="2:8" x14ac:dyDescent="0.25">
      <c r="B37" s="7">
        <f t="shared" si="3"/>
        <v>70</v>
      </c>
      <c r="C37" s="15">
        <f t="shared" si="0"/>
        <v>2.3730000000000001E-2</v>
      </c>
      <c r="D37" s="15">
        <f t="shared" si="1"/>
        <v>0.97626999999999997</v>
      </c>
      <c r="E37" s="15">
        <f t="shared" si="4"/>
        <v>0.82884918743750735</v>
      </c>
      <c r="H37" s="16">
        <f t="shared" si="2"/>
        <v>0.81901489182856135</v>
      </c>
    </row>
    <row r="38" spans="2:8" x14ac:dyDescent="0.25">
      <c r="B38" s="7">
        <f t="shared" si="3"/>
        <v>71</v>
      </c>
      <c r="C38" s="15">
        <f t="shared" si="0"/>
        <v>2.5950999999999998E-2</v>
      </c>
      <c r="D38" s="15">
        <f t="shared" si="1"/>
        <v>0.97404900000000005</v>
      </c>
      <c r="E38" s="15">
        <f t="shared" si="4"/>
        <v>0.80918059621961524</v>
      </c>
      <c r="H38" s="16">
        <f t="shared" si="2"/>
        <v>0.79868107339336758</v>
      </c>
    </row>
    <row r="39" spans="2:8" x14ac:dyDescent="0.25">
      <c r="B39" s="7">
        <f t="shared" si="3"/>
        <v>72</v>
      </c>
      <c r="C39" s="15">
        <f t="shared" si="0"/>
        <v>2.8480999999999999E-2</v>
      </c>
      <c r="D39" s="15">
        <f t="shared" si="1"/>
        <v>0.97151900000000002</v>
      </c>
      <c r="E39" s="15">
        <f t="shared" si="4"/>
        <v>0.78818155056712003</v>
      </c>
      <c r="H39" s="16">
        <f t="shared" si="2"/>
        <v>0.77695745119626891</v>
      </c>
    </row>
    <row r="40" spans="2:8" x14ac:dyDescent="0.25">
      <c r="B40" s="7">
        <f t="shared" si="3"/>
        <v>73</v>
      </c>
      <c r="C40" s="15">
        <f t="shared" si="0"/>
        <v>3.1201E-2</v>
      </c>
      <c r="D40" s="15">
        <f t="shared" si="1"/>
        <v>0.96879899999999997</v>
      </c>
      <c r="E40" s="15">
        <f t="shared" si="4"/>
        <v>0.76573335182541791</v>
      </c>
      <c r="H40" s="16">
        <f t="shared" si="2"/>
        <v>0.75378752867026544</v>
      </c>
    </row>
    <row r="41" spans="2:8" x14ac:dyDescent="0.25">
      <c r="B41" s="7">
        <f t="shared" si="3"/>
        <v>74</v>
      </c>
      <c r="C41" s="15">
        <f t="shared" si="0"/>
        <v>3.4050999999999998E-2</v>
      </c>
      <c r="D41" s="15">
        <f t="shared" si="1"/>
        <v>0.96594899999999995</v>
      </c>
      <c r="E41" s="15">
        <f t="shared" si="4"/>
        <v>0.74184170551511297</v>
      </c>
      <c r="H41" s="16">
        <f t="shared" si="2"/>
        <v>0.72921147955786536</v>
      </c>
    </row>
    <row r="42" spans="2:8" x14ac:dyDescent="0.25">
      <c r="B42" s="7">
        <f t="shared" si="3"/>
        <v>75</v>
      </c>
      <c r="C42" s="15">
        <f t="shared" si="0"/>
        <v>3.7211000000000001E-2</v>
      </c>
      <c r="D42" s="15">
        <f t="shared" si="1"/>
        <v>0.96278900000000001</v>
      </c>
      <c r="E42" s="15">
        <f t="shared" si="4"/>
        <v>0.71658125360061786</v>
      </c>
      <c r="H42" s="16">
        <f t="shared" si="2"/>
        <v>0.70324890108675153</v>
      </c>
    </row>
    <row r="43" spans="2:8" x14ac:dyDescent="0.25">
      <c r="B43" s="7">
        <f t="shared" si="3"/>
        <v>76</v>
      </c>
      <c r="C43" s="15">
        <f t="shared" si="0"/>
        <v>4.0857999999999998E-2</v>
      </c>
      <c r="D43" s="15">
        <f t="shared" si="1"/>
        <v>0.95914200000000005</v>
      </c>
      <c r="E43" s="15">
        <f t="shared" si="4"/>
        <v>0.68991654857288531</v>
      </c>
      <c r="H43" s="16">
        <f t="shared" si="2"/>
        <v>0.67582224340208985</v>
      </c>
    </row>
    <row r="44" spans="2:8" x14ac:dyDescent="0.25">
      <c r="B44" s="7">
        <f t="shared" si="3"/>
        <v>77</v>
      </c>
      <c r="C44" s="15">
        <f t="shared" si="0"/>
        <v>4.5171000000000003E-2</v>
      </c>
      <c r="D44" s="15">
        <f t="shared" si="1"/>
        <v>0.95482900000000004</v>
      </c>
      <c r="E44" s="15">
        <f t="shared" si="4"/>
        <v>0.66172793823129439</v>
      </c>
      <c r="H44" s="16">
        <f t="shared" si="2"/>
        <v>0.64678248188237142</v>
      </c>
    </row>
    <row r="45" spans="2:8" x14ac:dyDescent="0.25">
      <c r="B45" s="7">
        <f t="shared" si="3"/>
        <v>78</v>
      </c>
      <c r="C45" s="15">
        <f t="shared" si="0"/>
        <v>5.0210999999999999E-2</v>
      </c>
      <c r="D45" s="15">
        <f t="shared" si="1"/>
        <v>0.94978899999999999</v>
      </c>
      <c r="E45" s="15">
        <f t="shared" si="4"/>
        <v>0.63183702553344856</v>
      </c>
      <c r="H45" s="16">
        <f t="shared" si="2"/>
        <v>0.61597444108891852</v>
      </c>
    </row>
    <row r="46" spans="2:8" x14ac:dyDescent="0.25">
      <c r="B46" s="7">
        <f t="shared" si="3"/>
        <v>79</v>
      </c>
      <c r="C46" s="15">
        <f t="shared" si="0"/>
        <v>5.5861000000000001E-2</v>
      </c>
      <c r="D46" s="15">
        <f t="shared" si="1"/>
        <v>0.94413899999999995</v>
      </c>
      <c r="E46" s="15">
        <f t="shared" si="4"/>
        <v>0.6001118566443886</v>
      </c>
      <c r="H46" s="16">
        <f t="shared" si="2"/>
        <v>0.58335043243238249</v>
      </c>
    </row>
    <row r="47" spans="2:8" x14ac:dyDescent="0.25">
      <c r="B47" s="7">
        <f t="shared" si="3"/>
        <v>80</v>
      </c>
      <c r="C47" s="15">
        <f t="shared" si="0"/>
        <v>6.2026999999999999E-2</v>
      </c>
      <c r="D47" s="15">
        <f t="shared" si="1"/>
        <v>0.93797299999999995</v>
      </c>
      <c r="E47" s="15">
        <f t="shared" si="4"/>
        <v>0.56658900822037639</v>
      </c>
      <c r="H47" s="16">
        <f t="shared" si="2"/>
        <v>0.54901710001393378</v>
      </c>
    </row>
    <row r="48" spans="2:8" x14ac:dyDescent="0.25">
      <c r="B48" s="7">
        <f t="shared" si="3"/>
        <v>81</v>
      </c>
      <c r="C48" s="15">
        <f t="shared" si="0"/>
        <v>6.8614999999999995E-2</v>
      </c>
      <c r="D48" s="15">
        <f t="shared" si="1"/>
        <v>0.93138500000000002</v>
      </c>
      <c r="E48" s="15">
        <f t="shared" si="4"/>
        <v>0.53144519180749106</v>
      </c>
      <c r="H48" s="16">
        <f t="shared" si="2"/>
        <v>0.51321263588955557</v>
      </c>
    </row>
    <row r="49" spans="2:8" x14ac:dyDescent="0.25">
      <c r="B49" s="7">
        <f t="shared" si="3"/>
        <v>82</v>
      </c>
      <c r="C49" s="15">
        <f t="shared" ref="C49:C80" si="5">IF(B49="","",VLOOKUP(B49,QxTable,2)*(1-$M$6))</f>
        <v>7.5532000000000002E-2</v>
      </c>
      <c r="D49" s="15">
        <f t="shared" si="1"/>
        <v>0.92446799999999996</v>
      </c>
      <c r="E49" s="15">
        <f t="shared" si="4"/>
        <v>0.49498007997162008</v>
      </c>
      <c r="H49" s="16">
        <f t="shared" si="2"/>
        <v>0.47628666227141186</v>
      </c>
    </row>
    <row r="50" spans="2:8" x14ac:dyDescent="0.25">
      <c r="B50" s="7">
        <f t="shared" si="3"/>
        <v>83</v>
      </c>
      <c r="C50" s="15">
        <f t="shared" si="5"/>
        <v>8.251E-2</v>
      </c>
      <c r="D50" s="15">
        <f t="shared" si="1"/>
        <v>0.91749000000000003</v>
      </c>
      <c r="E50" s="15">
        <f t="shared" si="4"/>
        <v>0.45759324457120365</v>
      </c>
      <c r="H50" s="16">
        <f t="shared" si="2"/>
        <v>0.43871523526641865</v>
      </c>
    </row>
    <row r="51" spans="2:8" x14ac:dyDescent="0.25">
      <c r="B51" s="7">
        <f t="shared" si="3"/>
        <v>84</v>
      </c>
      <c r="C51" s="15">
        <f t="shared" si="5"/>
        <v>8.9612999999999998E-2</v>
      </c>
      <c r="D51" s="15">
        <f t="shared" si="1"/>
        <v>0.91038700000000006</v>
      </c>
      <c r="E51" s="15">
        <f t="shared" si="4"/>
        <v>0.41983722596163364</v>
      </c>
      <c r="H51" s="16">
        <f t="shared" si="2"/>
        <v>0.40102578929658372</v>
      </c>
    </row>
    <row r="52" spans="2:8" x14ac:dyDescent="0.25">
      <c r="B52" s="7">
        <f t="shared" si="3"/>
        <v>85</v>
      </c>
      <c r="C52" s="15">
        <f t="shared" si="5"/>
        <v>9.7239999999999993E-2</v>
      </c>
      <c r="D52" s="15">
        <f t="shared" si="1"/>
        <v>0.90276000000000001</v>
      </c>
      <c r="E52" s="15">
        <f t="shared" si="4"/>
        <v>0.3822143526315338</v>
      </c>
      <c r="H52" s="16">
        <f t="shared" si="2"/>
        <v>0.36363109080658862</v>
      </c>
    </row>
    <row r="53" spans="2:8" x14ac:dyDescent="0.25">
      <c r="B53" s="7">
        <f t="shared" si="3"/>
        <v>86</v>
      </c>
      <c r="C53" s="15">
        <f t="shared" si="5"/>
        <v>0.105792</v>
      </c>
      <c r="D53" s="15">
        <f t="shared" si="1"/>
        <v>0.894208</v>
      </c>
      <c r="E53" s="15">
        <f t="shared" si="4"/>
        <v>0.34504782898164343</v>
      </c>
      <c r="H53" s="16">
        <f t="shared" si="2"/>
        <v>0.32679617901983038</v>
      </c>
    </row>
    <row r="54" spans="2:8" x14ac:dyDescent="0.25">
      <c r="B54" s="7">
        <f t="shared" si="3"/>
        <v>87</v>
      </c>
      <c r="C54" s="15">
        <f t="shared" si="5"/>
        <v>0.115671</v>
      </c>
      <c r="D54" s="15">
        <f t="shared" si="1"/>
        <v>0.88432900000000003</v>
      </c>
      <c r="E54" s="15">
        <f t="shared" si="4"/>
        <v>0.30854452905801744</v>
      </c>
      <c r="H54" s="16">
        <f t="shared" si="2"/>
        <v>0.29069970194768247</v>
      </c>
    </row>
    <row r="55" spans="2:8" x14ac:dyDescent="0.25">
      <c r="B55" s="7">
        <f t="shared" si="3"/>
        <v>88</v>
      </c>
      <c r="C55" s="15">
        <f t="shared" si="5"/>
        <v>0.12698000000000001</v>
      </c>
      <c r="D55" s="15">
        <f t="shared" si="1"/>
        <v>0.87302000000000002</v>
      </c>
      <c r="E55" s="15">
        <f t="shared" si="4"/>
        <v>0.27285487483734749</v>
      </c>
      <c r="H55" s="16">
        <f t="shared" si="2"/>
        <v>0.25553131883392427</v>
      </c>
    </row>
    <row r="56" spans="2:8" x14ac:dyDescent="0.25">
      <c r="B56" s="7">
        <f t="shared" si="3"/>
        <v>89</v>
      </c>
      <c r="C56" s="15">
        <f t="shared" si="5"/>
        <v>0.13945199999999999</v>
      </c>
      <c r="D56" s="15">
        <f t="shared" si="1"/>
        <v>0.86054799999999998</v>
      </c>
      <c r="E56" s="15">
        <f t="shared" si="4"/>
        <v>0.2382077628305011</v>
      </c>
      <c r="H56" s="16">
        <f t="shared" si="2"/>
        <v>0.22159848835938159</v>
      </c>
    </row>
    <row r="57" spans="2:8" x14ac:dyDescent="0.25">
      <c r="B57" s="7">
        <f t="shared" si="3"/>
        <v>90</v>
      </c>
      <c r="C57" s="15">
        <f t="shared" si="5"/>
        <v>0.15293100000000001</v>
      </c>
      <c r="D57" s="15">
        <f t="shared" si="1"/>
        <v>0.84706899999999996</v>
      </c>
      <c r="E57" s="15">
        <f t="shared" si="4"/>
        <v>0.20498921388826205</v>
      </c>
      <c r="H57" s="16">
        <f t="shared" si="2"/>
        <v>0.18931461115368917</v>
      </c>
    </row>
    <row r="58" spans="2:8" x14ac:dyDescent="0.25">
      <c r="B58" s="7">
        <f t="shared" si="3"/>
        <v>91</v>
      </c>
      <c r="C58" s="15">
        <f t="shared" si="5"/>
        <v>0.16725999999999999</v>
      </c>
      <c r="D58" s="15">
        <f t="shared" si="1"/>
        <v>0.83274000000000004</v>
      </c>
      <c r="E58" s="15">
        <f t="shared" si="4"/>
        <v>0.17364000841911623</v>
      </c>
      <c r="H58" s="16">
        <f t="shared" si="2"/>
        <v>0.15911849451502555</v>
      </c>
    </row>
    <row r="59" spans="2:8" x14ac:dyDescent="0.25">
      <c r="B59" s="7">
        <f t="shared" si="3"/>
        <v>92</v>
      </c>
      <c r="C59" s="15">
        <f t="shared" si="5"/>
        <v>0.182281</v>
      </c>
      <c r="D59" s="15">
        <f t="shared" si="1"/>
        <v>0.81771899999999997</v>
      </c>
      <c r="E59" s="15">
        <f t="shared" si="4"/>
        <v>0.14459698061093484</v>
      </c>
      <c r="H59" s="16">
        <f t="shared" si="2"/>
        <v>0.13141833949956394</v>
      </c>
    </row>
    <row r="60" spans="2:8" x14ac:dyDescent="0.25">
      <c r="B60" s="7">
        <f t="shared" si="3"/>
        <v>93</v>
      </c>
      <c r="C60" s="15">
        <f t="shared" si="5"/>
        <v>0.19839200000000001</v>
      </c>
      <c r="D60" s="15">
        <f t="shared" si="1"/>
        <v>0.80160799999999999</v>
      </c>
      <c r="E60" s="15">
        <f t="shared" si="4"/>
        <v>0.11823969838819302</v>
      </c>
      <c r="H60" s="16">
        <f t="shared" si="2"/>
        <v>0.10651079326687782</v>
      </c>
    </row>
    <row r="61" spans="2:8" x14ac:dyDescent="0.25">
      <c r="B61" s="7">
        <f t="shared" si="3"/>
        <v>94</v>
      </c>
      <c r="C61" s="15">
        <f t="shared" si="5"/>
        <v>0.2157</v>
      </c>
      <c r="D61" s="15">
        <f t="shared" si="1"/>
        <v>0.7843</v>
      </c>
      <c r="E61" s="15">
        <f t="shared" si="4"/>
        <v>9.4781888145562626E-2</v>
      </c>
      <c r="H61" s="16">
        <f t="shared" si="2"/>
        <v>8.4559661509063702E-2</v>
      </c>
    </row>
    <row r="62" spans="2:8" x14ac:dyDescent="0.25">
      <c r="B62" s="7">
        <f t="shared" si="3"/>
        <v>95</v>
      </c>
      <c r="C62" s="15">
        <f t="shared" si="5"/>
        <v>0.23360600000000001</v>
      </c>
      <c r="D62" s="15">
        <f t="shared" si="1"/>
        <v>0.76639400000000002</v>
      </c>
      <c r="E62" s="15">
        <f t="shared" si="4"/>
        <v>7.4337434872564764E-2</v>
      </c>
      <c r="H62" s="16">
        <f t="shared" si="2"/>
        <v>6.5654599467144581E-2</v>
      </c>
    </row>
    <row r="63" spans="2:8" x14ac:dyDescent="0.25">
      <c r="B63" s="7">
        <f t="shared" si="3"/>
        <v>96</v>
      </c>
      <c r="C63" s="15">
        <f t="shared" si="5"/>
        <v>0.25151000000000001</v>
      </c>
      <c r="D63" s="15">
        <f t="shared" si="1"/>
        <v>0.74848999999999999</v>
      </c>
      <c r="E63" s="15">
        <f t="shared" si="4"/>
        <v>5.6971764061724404E-2</v>
      </c>
      <c r="H63" s="16">
        <f t="shared" si="2"/>
        <v>4.980727987214225E-2</v>
      </c>
    </row>
    <row r="64" spans="2:8" x14ac:dyDescent="0.25">
      <c r="B64" s="7">
        <f t="shared" si="3"/>
        <v>97</v>
      </c>
      <c r="C64" s="15">
        <f t="shared" si="5"/>
        <v>0.26881500000000003</v>
      </c>
      <c r="D64" s="15">
        <f t="shared" si="1"/>
        <v>0.73118499999999997</v>
      </c>
      <c r="E64" s="15">
        <f t="shared" si="4"/>
        <v>4.2642795682560096E-2</v>
      </c>
      <c r="H64" s="16">
        <f t="shared" si="2"/>
        <v>3.6911284121856403E-2</v>
      </c>
    </row>
    <row r="65" spans="2:8" x14ac:dyDescent="0.25">
      <c r="B65" s="7">
        <f t="shared" si="3"/>
        <v>98</v>
      </c>
      <c r="C65" s="15">
        <f t="shared" si="5"/>
        <v>0.285277</v>
      </c>
      <c r="D65" s="15">
        <f t="shared" si="1"/>
        <v>0.714723</v>
      </c>
      <c r="E65" s="15">
        <f t="shared" si="4"/>
        <v>3.1179772561152702E-2</v>
      </c>
      <c r="H65" s="16">
        <f t="shared" si="2"/>
        <v>2.6732336572688722E-2</v>
      </c>
    </row>
    <row r="66" spans="2:8" x14ac:dyDescent="0.25">
      <c r="B66" s="7">
        <f t="shared" si="3"/>
        <v>99</v>
      </c>
      <c r="C66" s="15">
        <f t="shared" si="5"/>
        <v>0.30129800000000001</v>
      </c>
      <c r="D66" s="15">
        <f t="shared" si="1"/>
        <v>0.69870199999999993</v>
      </c>
      <c r="E66" s="15">
        <f t="shared" si="4"/>
        <v>2.2284900584224741E-2</v>
      </c>
      <c r="H66" s="16">
        <f t="shared" si="2"/>
        <v>1.8927702596111866E-2</v>
      </c>
    </row>
    <row r="67" spans="2:8" x14ac:dyDescent="0.25">
      <c r="B67" s="7">
        <f t="shared" si="3"/>
        <v>100</v>
      </c>
      <c r="C67" s="15">
        <f t="shared" si="5"/>
        <v>0.31723800000000002</v>
      </c>
      <c r="D67" s="15">
        <f t="shared" si="1"/>
        <v>0.68276199999999998</v>
      </c>
      <c r="E67" s="15">
        <f t="shared" si="4"/>
        <v>1.5570504607998994E-2</v>
      </c>
      <c r="H67" s="16">
        <f t="shared" si="2"/>
        <v>1.31007267375828E-2</v>
      </c>
    </row>
    <row r="68" spans="2:8" x14ac:dyDescent="0.25">
      <c r="B68" s="7">
        <f t="shared" si="3"/>
        <v>101</v>
      </c>
      <c r="C68" s="15">
        <f t="shared" si="5"/>
        <v>0.33346100000000001</v>
      </c>
      <c r="D68" s="15">
        <f t="shared" si="1"/>
        <v>0.66653899999999999</v>
      </c>
      <c r="E68" s="15">
        <f t="shared" si="4"/>
        <v>1.0630948867166609E-2</v>
      </c>
      <c r="H68" s="16">
        <f t="shared" si="2"/>
        <v>8.8584454470694868E-3</v>
      </c>
    </row>
    <row r="69" spans="2:8" x14ac:dyDescent="0.25">
      <c r="B69" s="7">
        <f t="shared" si="3"/>
        <v>102</v>
      </c>
      <c r="C69" s="15">
        <f t="shared" si="5"/>
        <v>0.35032999999999997</v>
      </c>
      <c r="D69" s="15">
        <f t="shared" si="1"/>
        <v>0.64966999999999997</v>
      </c>
      <c r="E69" s="15">
        <f t="shared" si="4"/>
        <v>7.085942026972364E-3</v>
      </c>
      <c r="H69" s="16">
        <f t="shared" si="2"/>
        <v>5.8447329918177495E-3</v>
      </c>
    </row>
    <row r="70" spans="2:8" x14ac:dyDescent="0.25">
      <c r="B70" s="7">
        <f t="shared" si="3"/>
        <v>103</v>
      </c>
      <c r="C70" s="15">
        <f t="shared" si="5"/>
        <v>0.36854199999999998</v>
      </c>
      <c r="D70" s="15">
        <f t="shared" si="1"/>
        <v>0.63145800000000007</v>
      </c>
      <c r="E70" s="15">
        <f t="shared" si="4"/>
        <v>4.6035239566631359E-3</v>
      </c>
      <c r="H70" s="16">
        <f t="shared" si="2"/>
        <v>3.7552279936448633E-3</v>
      </c>
    </row>
    <row r="71" spans="2:8" x14ac:dyDescent="0.25">
      <c r="B71" s="7">
        <f t="shared" si="3"/>
        <v>104</v>
      </c>
      <c r="C71" s="15">
        <f t="shared" si="5"/>
        <v>0.38785500000000001</v>
      </c>
      <c r="D71" s="15">
        <f t="shared" si="1"/>
        <v>0.61214499999999994</v>
      </c>
      <c r="E71" s="15">
        <f t="shared" si="4"/>
        <v>2.9069320306265908E-3</v>
      </c>
      <c r="H71" s="16">
        <f t="shared" si="2"/>
        <v>2.3431979692572526E-3</v>
      </c>
    </row>
    <row r="72" spans="2:8" x14ac:dyDescent="0.25">
      <c r="B72" s="7">
        <f t="shared" si="3"/>
        <v>105</v>
      </c>
      <c r="C72" s="15">
        <f t="shared" si="5"/>
        <v>0.40722399999999997</v>
      </c>
      <c r="D72" s="15">
        <f t="shared" si="1"/>
        <v>0.59277599999999997</v>
      </c>
      <c r="E72" s="15">
        <f t="shared" si="4"/>
        <v>1.7794639078879142E-3</v>
      </c>
      <c r="H72" s="16">
        <f t="shared" si="2"/>
        <v>1.4171437026750402E-3</v>
      </c>
    </row>
    <row r="73" spans="2:8" x14ac:dyDescent="0.25">
      <c r="B73" s="7">
        <f t="shared" si="3"/>
        <v>106</v>
      </c>
      <c r="C73" s="15">
        <f t="shared" si="5"/>
        <v>0.42559900000000001</v>
      </c>
      <c r="D73" s="15">
        <f t="shared" si="1"/>
        <v>0.57440099999999994</v>
      </c>
      <c r="E73" s="15">
        <f t="shared" si="4"/>
        <v>1.0548234974621662E-3</v>
      </c>
      <c r="H73" s="16">
        <f t="shared" si="2"/>
        <v>8.3035758461396595E-4</v>
      </c>
    </row>
    <row r="74" spans="2:8" x14ac:dyDescent="0.25">
      <c r="B74" s="7">
        <f t="shared" si="3"/>
        <v>107</v>
      </c>
      <c r="C74" s="15">
        <f t="shared" si="5"/>
        <v>0.44193500000000002</v>
      </c>
      <c r="D74" s="15">
        <f t="shared" si="1"/>
        <v>0.55806500000000003</v>
      </c>
      <c r="E74" s="15">
        <f t="shared" si="4"/>
        <v>6.0589167176576563E-4</v>
      </c>
      <c r="H74" s="16">
        <f t="shared" si="2"/>
        <v>4.7200930378486381E-4</v>
      </c>
    </row>
    <row r="75" spans="2:8" x14ac:dyDescent="0.25">
      <c r="B75" s="7">
        <f t="shared" si="3"/>
        <v>108</v>
      </c>
      <c r="C75" s="15">
        <f t="shared" si="5"/>
        <v>0.45755299999999999</v>
      </c>
      <c r="D75" s="15">
        <f t="shared" si="1"/>
        <v>0.54244700000000001</v>
      </c>
      <c r="E75" s="15">
        <f t="shared" si="4"/>
        <v>3.38126935803962E-4</v>
      </c>
      <c r="H75" s="16">
        <f t="shared" si="2"/>
        <v>2.6077143887500689E-4</v>
      </c>
    </row>
    <row r="76" spans="2:8" x14ac:dyDescent="0.25">
      <c r="B76" s="7">
        <f t="shared" si="3"/>
        <v>109</v>
      </c>
      <c r="C76" s="15">
        <f t="shared" si="5"/>
        <v>0.47315000000000002</v>
      </c>
      <c r="D76" s="15">
        <f t="shared" si="1"/>
        <v>0.52685000000000004</v>
      </c>
      <c r="E76" s="15">
        <f t="shared" si="4"/>
        <v>1.8341594194605179E-4</v>
      </c>
      <c r="H76" s="16">
        <f t="shared" si="2"/>
        <v>1.400243154801646E-4</v>
      </c>
    </row>
    <row r="77" spans="2:8" x14ac:dyDescent="0.25">
      <c r="B77" s="7">
        <f t="shared" si="3"/>
        <v>110</v>
      </c>
      <c r="C77" s="15">
        <f t="shared" si="5"/>
        <v>0.48674499999999998</v>
      </c>
      <c r="D77" s="15">
        <f t="shared" si="1"/>
        <v>0.51325500000000002</v>
      </c>
      <c r="E77" s="15">
        <f t="shared" si="4"/>
        <v>9.6632689014277388E-5</v>
      </c>
      <c r="H77" s="16">
        <f t="shared" si="2"/>
        <v>7.3114949907150163E-5</v>
      </c>
    </row>
    <row r="78" spans="2:8" x14ac:dyDescent="0.25">
      <c r="B78" s="7">
        <f t="shared" si="3"/>
        <v>111</v>
      </c>
      <c r="C78" s="15">
        <f t="shared" si="5"/>
        <v>0.49635600000000002</v>
      </c>
      <c r="D78" s="15">
        <f t="shared" si="1"/>
        <v>0.50364399999999998</v>
      </c>
      <c r="E78" s="15">
        <f t="shared" si="4"/>
        <v>4.9597210800022945E-5</v>
      </c>
      <c r="H78" s="16">
        <f t="shared" si="2"/>
        <v>3.7288274218094852E-5</v>
      </c>
    </row>
    <row r="79" spans="2:8" x14ac:dyDescent="0.25">
      <c r="B79" s="7">
        <f t="shared" si="3"/>
        <v>112</v>
      </c>
      <c r="C79" s="15">
        <f t="shared" si="5"/>
        <v>0.5</v>
      </c>
      <c r="D79" s="15">
        <f t="shared" si="1"/>
        <v>0.5</v>
      </c>
      <c r="E79" s="15">
        <f t="shared" si="4"/>
        <v>2.4979337636166756E-5</v>
      </c>
      <c r="H79" s="16">
        <f t="shared" si="2"/>
        <v>1.8734503227125068E-5</v>
      </c>
    </row>
    <row r="80" spans="2:8" x14ac:dyDescent="0.25">
      <c r="B80" s="7">
        <f t="shared" si="3"/>
        <v>113</v>
      </c>
      <c r="C80" s="15">
        <f t="shared" si="5"/>
        <v>0.5</v>
      </c>
      <c r="D80" s="15">
        <f t="shared" si="1"/>
        <v>0.5</v>
      </c>
      <c r="E80" s="15">
        <f t="shared" si="4"/>
        <v>1.2489668818083378E-5</v>
      </c>
      <c r="H80" s="16">
        <f t="shared" si="2"/>
        <v>9.3672516135625339E-6</v>
      </c>
    </row>
    <row r="81" spans="2:8" x14ac:dyDescent="0.25">
      <c r="B81" s="7">
        <f t="shared" si="3"/>
        <v>114</v>
      </c>
      <c r="C81" s="15">
        <f t="shared" ref="C81:C112" si="6">IF(B81="","",VLOOKUP(B81,QxTable,2)*(1-$M$6))</f>
        <v>0.5</v>
      </c>
      <c r="D81" s="15">
        <f t="shared" si="1"/>
        <v>0.5</v>
      </c>
      <c r="E81" s="15">
        <f t="shared" si="4"/>
        <v>6.244834409041689E-6</v>
      </c>
      <c r="H81" s="16">
        <f t="shared" si="2"/>
        <v>4.6836258067812669E-6</v>
      </c>
    </row>
    <row r="82" spans="2:8" x14ac:dyDescent="0.25">
      <c r="B82" s="7">
        <f t="shared" si="3"/>
        <v>115</v>
      </c>
      <c r="C82" s="15">
        <f t="shared" si="6"/>
        <v>0.5</v>
      </c>
      <c r="D82" s="15">
        <f t="shared" ref="D82:D132" si="7">IF(B82="","",1-C82)</f>
        <v>0.5</v>
      </c>
      <c r="E82" s="15">
        <f t="shared" si="4"/>
        <v>3.1224172045208445E-6</v>
      </c>
      <c r="H82" s="16">
        <f t="shared" ref="H82:H132" si="8">IF(B82="","",E82*(1-C82/2))</f>
        <v>2.3418129033906335E-6</v>
      </c>
    </row>
    <row r="83" spans="2:8" x14ac:dyDescent="0.25">
      <c r="B83" s="7">
        <f t="shared" ref="B83:B126" si="9">IF(B82&gt;=120,"",B82+1)</f>
        <v>116</v>
      </c>
      <c r="C83" s="15">
        <f t="shared" si="6"/>
        <v>0.5</v>
      </c>
      <c r="D83" s="15">
        <f t="shared" si="7"/>
        <v>0.5</v>
      </c>
      <c r="E83" s="15">
        <f t="shared" ref="E83:E132" si="10">IF(B83="","",E82*D82)</f>
        <v>1.5612086022604222E-6</v>
      </c>
      <c r="H83" s="16">
        <f t="shared" si="8"/>
        <v>1.1709064516953167E-6</v>
      </c>
    </row>
    <row r="84" spans="2:8" x14ac:dyDescent="0.25">
      <c r="B84" s="7">
        <f t="shared" si="9"/>
        <v>117</v>
      </c>
      <c r="C84" s="15">
        <f t="shared" si="6"/>
        <v>0.5</v>
      </c>
      <c r="D84" s="15">
        <f t="shared" si="7"/>
        <v>0.5</v>
      </c>
      <c r="E84" s="15">
        <f t="shared" si="10"/>
        <v>7.8060430113021112E-7</v>
      </c>
      <c r="H84" s="16">
        <f t="shared" si="8"/>
        <v>5.8545322584765837E-7</v>
      </c>
    </row>
    <row r="85" spans="2:8" x14ac:dyDescent="0.25">
      <c r="B85" s="7">
        <f t="shared" si="9"/>
        <v>118</v>
      </c>
      <c r="C85" s="15">
        <f t="shared" si="6"/>
        <v>0.5</v>
      </c>
      <c r="D85" s="15">
        <f t="shared" si="7"/>
        <v>0.5</v>
      </c>
      <c r="E85" s="15">
        <f t="shared" si="10"/>
        <v>3.9030215056510556E-7</v>
      </c>
      <c r="H85" s="16">
        <f t="shared" si="8"/>
        <v>2.9272661292382918E-7</v>
      </c>
    </row>
    <row r="86" spans="2:8" x14ac:dyDescent="0.25">
      <c r="B86" s="7">
        <f t="shared" si="9"/>
        <v>119</v>
      </c>
      <c r="C86" s="15">
        <f t="shared" si="6"/>
        <v>0.5</v>
      </c>
      <c r="D86" s="15">
        <f t="shared" si="7"/>
        <v>0.5</v>
      </c>
      <c r="E86" s="15">
        <f t="shared" si="10"/>
        <v>1.9515107528255278E-7</v>
      </c>
      <c r="H86" s="16">
        <f t="shared" si="8"/>
        <v>1.4636330646191459E-7</v>
      </c>
    </row>
    <row r="87" spans="2:8" x14ac:dyDescent="0.25">
      <c r="B87" s="7">
        <f t="shared" si="9"/>
        <v>120</v>
      </c>
      <c r="C87" s="15">
        <f t="shared" si="6"/>
        <v>1</v>
      </c>
      <c r="D87" s="15">
        <f t="shared" si="7"/>
        <v>0</v>
      </c>
      <c r="E87" s="15">
        <f t="shared" si="10"/>
        <v>9.757553764127639E-8</v>
      </c>
      <c r="H87" s="16">
        <f t="shared" si="8"/>
        <v>4.8787768820638195E-8</v>
      </c>
    </row>
    <row r="88" spans="2:8" x14ac:dyDescent="0.25">
      <c r="B88" s="7" t="str">
        <f t="shared" si="9"/>
        <v/>
      </c>
      <c r="C88" s="15" t="str">
        <f t="shared" si="6"/>
        <v/>
      </c>
      <c r="D88" s="15" t="str">
        <f t="shared" si="7"/>
        <v/>
      </c>
      <c r="E88" s="15" t="str">
        <f t="shared" si="10"/>
        <v/>
      </c>
      <c r="H88" s="16" t="str">
        <f t="shared" si="8"/>
        <v/>
      </c>
    </row>
    <row r="89" spans="2:8" x14ac:dyDescent="0.25">
      <c r="B89" s="7" t="str">
        <f t="shared" si="9"/>
        <v/>
      </c>
      <c r="C89" s="15" t="str">
        <f t="shared" si="6"/>
        <v/>
      </c>
      <c r="D89" s="15" t="str">
        <f t="shared" si="7"/>
        <v/>
      </c>
      <c r="E89" s="15" t="str">
        <f t="shared" si="10"/>
        <v/>
      </c>
      <c r="H89" s="16" t="str">
        <f t="shared" si="8"/>
        <v/>
      </c>
    </row>
    <row r="90" spans="2:8" x14ac:dyDescent="0.25">
      <c r="B90" s="7" t="str">
        <f t="shared" si="9"/>
        <v/>
      </c>
      <c r="C90" s="15" t="str">
        <f t="shared" si="6"/>
        <v/>
      </c>
      <c r="D90" s="15" t="str">
        <f t="shared" si="7"/>
        <v/>
      </c>
      <c r="E90" s="15" t="str">
        <f t="shared" si="10"/>
        <v/>
      </c>
      <c r="H90" s="16" t="str">
        <f t="shared" si="8"/>
        <v/>
      </c>
    </row>
    <row r="91" spans="2:8" x14ac:dyDescent="0.25">
      <c r="B91" s="7" t="str">
        <f t="shared" si="9"/>
        <v/>
      </c>
      <c r="C91" s="15" t="str">
        <f t="shared" si="6"/>
        <v/>
      </c>
      <c r="D91" s="15" t="str">
        <f t="shared" si="7"/>
        <v/>
      </c>
      <c r="E91" s="15" t="str">
        <f t="shared" si="10"/>
        <v/>
      </c>
      <c r="H91" s="16" t="str">
        <f t="shared" si="8"/>
        <v/>
      </c>
    </row>
    <row r="92" spans="2:8" x14ac:dyDescent="0.25">
      <c r="B92" s="7" t="str">
        <f t="shared" si="9"/>
        <v/>
      </c>
      <c r="C92" s="15" t="str">
        <f t="shared" si="6"/>
        <v/>
      </c>
      <c r="D92" s="15" t="str">
        <f t="shared" si="7"/>
        <v/>
      </c>
      <c r="E92" s="15" t="str">
        <f t="shared" si="10"/>
        <v/>
      </c>
      <c r="H92" s="16" t="str">
        <f t="shared" si="8"/>
        <v/>
      </c>
    </row>
    <row r="93" spans="2:8" x14ac:dyDescent="0.25">
      <c r="B93" s="7" t="str">
        <f t="shared" si="9"/>
        <v/>
      </c>
      <c r="C93" s="15" t="str">
        <f t="shared" si="6"/>
        <v/>
      </c>
      <c r="D93" s="15" t="str">
        <f t="shared" si="7"/>
        <v/>
      </c>
      <c r="E93" s="15" t="str">
        <f t="shared" si="10"/>
        <v/>
      </c>
      <c r="H93" s="16" t="str">
        <f t="shared" si="8"/>
        <v/>
      </c>
    </row>
    <row r="94" spans="2:8" x14ac:dyDescent="0.25">
      <c r="B94" s="7" t="str">
        <f t="shared" si="9"/>
        <v/>
      </c>
      <c r="C94" s="15" t="str">
        <f t="shared" si="6"/>
        <v/>
      </c>
      <c r="D94" s="15" t="str">
        <f t="shared" si="7"/>
        <v/>
      </c>
      <c r="E94" s="15" t="str">
        <f t="shared" si="10"/>
        <v/>
      </c>
      <c r="H94" s="16" t="str">
        <f t="shared" si="8"/>
        <v/>
      </c>
    </row>
    <row r="95" spans="2:8" x14ac:dyDescent="0.25">
      <c r="B95" s="7" t="str">
        <f t="shared" si="9"/>
        <v/>
      </c>
      <c r="C95" s="15" t="str">
        <f t="shared" si="6"/>
        <v/>
      </c>
      <c r="D95" s="15" t="str">
        <f t="shared" si="7"/>
        <v/>
      </c>
      <c r="E95" s="15" t="str">
        <f t="shared" si="10"/>
        <v/>
      </c>
      <c r="H95" s="16" t="str">
        <f t="shared" si="8"/>
        <v/>
      </c>
    </row>
    <row r="96" spans="2:8" x14ac:dyDescent="0.25">
      <c r="B96" s="7" t="str">
        <f t="shared" si="9"/>
        <v/>
      </c>
      <c r="C96" s="15" t="str">
        <f t="shared" si="6"/>
        <v/>
      </c>
      <c r="D96" s="15" t="str">
        <f t="shared" si="7"/>
        <v/>
      </c>
      <c r="E96" s="15" t="str">
        <f t="shared" si="10"/>
        <v/>
      </c>
      <c r="H96" s="16" t="str">
        <f t="shared" si="8"/>
        <v/>
      </c>
    </row>
    <row r="97" spans="2:8" x14ac:dyDescent="0.25">
      <c r="B97" s="7" t="str">
        <f t="shared" si="9"/>
        <v/>
      </c>
      <c r="C97" s="15" t="str">
        <f t="shared" si="6"/>
        <v/>
      </c>
      <c r="D97" s="15" t="str">
        <f t="shared" si="7"/>
        <v/>
      </c>
      <c r="E97" s="15" t="str">
        <f t="shared" si="10"/>
        <v/>
      </c>
      <c r="H97" s="16" t="str">
        <f t="shared" si="8"/>
        <v/>
      </c>
    </row>
    <row r="98" spans="2:8" x14ac:dyDescent="0.25">
      <c r="B98" s="7" t="str">
        <f t="shared" si="9"/>
        <v/>
      </c>
      <c r="C98" s="15" t="str">
        <f t="shared" si="6"/>
        <v/>
      </c>
      <c r="D98" s="15" t="str">
        <f t="shared" si="7"/>
        <v/>
      </c>
      <c r="E98" s="15" t="str">
        <f t="shared" si="10"/>
        <v/>
      </c>
      <c r="H98" s="16" t="str">
        <f t="shared" si="8"/>
        <v/>
      </c>
    </row>
    <row r="99" spans="2:8" x14ac:dyDescent="0.25">
      <c r="B99" s="7" t="str">
        <f t="shared" si="9"/>
        <v/>
      </c>
      <c r="C99" s="15" t="str">
        <f t="shared" si="6"/>
        <v/>
      </c>
      <c r="D99" s="15" t="str">
        <f t="shared" si="7"/>
        <v/>
      </c>
      <c r="E99" s="15" t="str">
        <f t="shared" si="10"/>
        <v/>
      </c>
      <c r="H99" s="16" t="str">
        <f t="shared" si="8"/>
        <v/>
      </c>
    </row>
    <row r="100" spans="2:8" x14ac:dyDescent="0.25">
      <c r="B100" s="7" t="str">
        <f t="shared" si="9"/>
        <v/>
      </c>
      <c r="C100" s="15" t="str">
        <f t="shared" si="6"/>
        <v/>
      </c>
      <c r="D100" s="15" t="str">
        <f t="shared" si="7"/>
        <v/>
      </c>
      <c r="E100" s="15" t="str">
        <f t="shared" si="10"/>
        <v/>
      </c>
      <c r="H100" s="16" t="str">
        <f t="shared" si="8"/>
        <v/>
      </c>
    </row>
    <row r="101" spans="2:8" x14ac:dyDescent="0.25">
      <c r="B101" s="7" t="str">
        <f t="shared" si="9"/>
        <v/>
      </c>
      <c r="C101" s="15" t="str">
        <f t="shared" si="6"/>
        <v/>
      </c>
      <c r="D101" s="15" t="str">
        <f t="shared" si="7"/>
        <v/>
      </c>
      <c r="E101" s="15" t="str">
        <f t="shared" si="10"/>
        <v/>
      </c>
      <c r="H101" s="16" t="str">
        <f t="shared" si="8"/>
        <v/>
      </c>
    </row>
    <row r="102" spans="2:8" x14ac:dyDescent="0.25">
      <c r="B102" s="7" t="str">
        <f t="shared" si="9"/>
        <v/>
      </c>
      <c r="C102" s="15" t="str">
        <f t="shared" si="6"/>
        <v/>
      </c>
      <c r="D102" s="15" t="str">
        <f t="shared" si="7"/>
        <v/>
      </c>
      <c r="E102" s="15" t="str">
        <f t="shared" si="10"/>
        <v/>
      </c>
      <c r="H102" s="16" t="str">
        <f t="shared" si="8"/>
        <v/>
      </c>
    </row>
    <row r="103" spans="2:8" x14ac:dyDescent="0.25">
      <c r="B103" s="7" t="str">
        <f t="shared" si="9"/>
        <v/>
      </c>
      <c r="C103" s="15" t="str">
        <f t="shared" si="6"/>
        <v/>
      </c>
      <c r="D103" s="15" t="str">
        <f t="shared" si="7"/>
        <v/>
      </c>
      <c r="E103" s="15" t="str">
        <f t="shared" si="10"/>
        <v/>
      </c>
      <c r="H103" s="16" t="str">
        <f t="shared" si="8"/>
        <v/>
      </c>
    </row>
    <row r="104" spans="2:8" x14ac:dyDescent="0.25">
      <c r="B104" s="7" t="str">
        <f t="shared" si="9"/>
        <v/>
      </c>
      <c r="C104" s="15" t="str">
        <f t="shared" si="6"/>
        <v/>
      </c>
      <c r="D104" s="15" t="str">
        <f t="shared" si="7"/>
        <v/>
      </c>
      <c r="E104" s="15" t="str">
        <f t="shared" si="10"/>
        <v/>
      </c>
      <c r="H104" s="16" t="str">
        <f t="shared" si="8"/>
        <v/>
      </c>
    </row>
    <row r="105" spans="2:8" x14ac:dyDescent="0.25">
      <c r="B105" s="7" t="str">
        <f t="shared" si="9"/>
        <v/>
      </c>
      <c r="C105" s="15" t="str">
        <f t="shared" si="6"/>
        <v/>
      </c>
      <c r="D105" s="15" t="str">
        <f t="shared" si="7"/>
        <v/>
      </c>
      <c r="E105" s="15" t="str">
        <f t="shared" si="10"/>
        <v/>
      </c>
      <c r="H105" s="16" t="str">
        <f t="shared" si="8"/>
        <v/>
      </c>
    </row>
    <row r="106" spans="2:8" x14ac:dyDescent="0.25">
      <c r="B106" s="7" t="str">
        <f t="shared" si="9"/>
        <v/>
      </c>
      <c r="C106" s="15" t="str">
        <f t="shared" si="6"/>
        <v/>
      </c>
      <c r="D106" s="15" t="str">
        <f t="shared" si="7"/>
        <v/>
      </c>
      <c r="E106" s="15" t="str">
        <f t="shared" si="10"/>
        <v/>
      </c>
      <c r="H106" s="16" t="str">
        <f t="shared" si="8"/>
        <v/>
      </c>
    </row>
    <row r="107" spans="2:8" x14ac:dyDescent="0.25">
      <c r="B107" s="7" t="str">
        <f t="shared" si="9"/>
        <v/>
      </c>
      <c r="C107" s="15" t="str">
        <f t="shared" si="6"/>
        <v/>
      </c>
      <c r="D107" s="15" t="str">
        <f t="shared" si="7"/>
        <v/>
      </c>
      <c r="E107" s="15" t="str">
        <f t="shared" si="10"/>
        <v/>
      </c>
      <c r="H107" s="16" t="str">
        <f t="shared" si="8"/>
        <v/>
      </c>
    </row>
    <row r="108" spans="2:8" x14ac:dyDescent="0.25">
      <c r="B108" s="7" t="str">
        <f t="shared" si="9"/>
        <v/>
      </c>
      <c r="C108" s="15" t="str">
        <f t="shared" si="6"/>
        <v/>
      </c>
      <c r="D108" s="15" t="str">
        <f t="shared" si="7"/>
        <v/>
      </c>
      <c r="E108" s="15" t="str">
        <f t="shared" si="10"/>
        <v/>
      </c>
      <c r="H108" s="16" t="str">
        <f t="shared" si="8"/>
        <v/>
      </c>
    </row>
    <row r="109" spans="2:8" x14ac:dyDescent="0.25">
      <c r="B109" s="7" t="str">
        <f t="shared" si="9"/>
        <v/>
      </c>
      <c r="C109" s="15" t="str">
        <f t="shared" si="6"/>
        <v/>
      </c>
      <c r="D109" s="15" t="str">
        <f t="shared" si="7"/>
        <v/>
      </c>
      <c r="E109" s="15" t="str">
        <f t="shared" si="10"/>
        <v/>
      </c>
      <c r="H109" s="16" t="str">
        <f t="shared" si="8"/>
        <v/>
      </c>
    </row>
    <row r="110" spans="2:8" x14ac:dyDescent="0.25">
      <c r="B110" s="7" t="str">
        <f t="shared" si="9"/>
        <v/>
      </c>
      <c r="C110" s="15" t="str">
        <f t="shared" si="6"/>
        <v/>
      </c>
      <c r="D110" s="15" t="str">
        <f t="shared" si="7"/>
        <v/>
      </c>
      <c r="E110" s="15" t="str">
        <f t="shared" si="10"/>
        <v/>
      </c>
      <c r="H110" s="16" t="str">
        <f t="shared" si="8"/>
        <v/>
      </c>
    </row>
    <row r="111" spans="2:8" x14ac:dyDescent="0.25">
      <c r="B111" s="7" t="str">
        <f t="shared" si="9"/>
        <v/>
      </c>
      <c r="C111" s="15" t="str">
        <f t="shared" si="6"/>
        <v/>
      </c>
      <c r="D111" s="15" t="str">
        <f t="shared" si="7"/>
        <v/>
      </c>
      <c r="E111" s="15" t="str">
        <f t="shared" si="10"/>
        <v/>
      </c>
      <c r="H111" s="16" t="str">
        <f t="shared" si="8"/>
        <v/>
      </c>
    </row>
    <row r="112" spans="2:8" x14ac:dyDescent="0.25">
      <c r="B112" s="7" t="str">
        <f t="shared" si="9"/>
        <v/>
      </c>
      <c r="C112" s="15" t="str">
        <f t="shared" si="6"/>
        <v/>
      </c>
      <c r="D112" s="15" t="str">
        <f t="shared" si="7"/>
        <v/>
      </c>
      <c r="E112" s="15" t="str">
        <f t="shared" si="10"/>
        <v/>
      </c>
      <c r="H112" s="16" t="str">
        <f t="shared" si="8"/>
        <v/>
      </c>
    </row>
    <row r="113" spans="2:8" x14ac:dyDescent="0.25">
      <c r="B113" s="7" t="str">
        <f t="shared" si="9"/>
        <v/>
      </c>
      <c r="C113" s="15" t="str">
        <f t="shared" ref="C113:C144" si="11">IF(B113="","",VLOOKUP(B113,QxTable,2)*(1-$M$6))</f>
        <v/>
      </c>
      <c r="D113" s="15" t="str">
        <f t="shared" si="7"/>
        <v/>
      </c>
      <c r="E113" s="15" t="str">
        <f t="shared" si="10"/>
        <v/>
      </c>
      <c r="H113" s="16" t="str">
        <f t="shared" si="8"/>
        <v/>
      </c>
    </row>
    <row r="114" spans="2:8" x14ac:dyDescent="0.25">
      <c r="B114" s="7" t="str">
        <f t="shared" si="9"/>
        <v/>
      </c>
      <c r="C114" s="15" t="str">
        <f t="shared" si="11"/>
        <v/>
      </c>
      <c r="D114" s="15" t="str">
        <f t="shared" si="7"/>
        <v/>
      </c>
      <c r="E114" s="15" t="str">
        <f t="shared" si="10"/>
        <v/>
      </c>
      <c r="H114" s="16" t="str">
        <f t="shared" si="8"/>
        <v/>
      </c>
    </row>
    <row r="115" spans="2:8" x14ac:dyDescent="0.25">
      <c r="B115" s="7" t="str">
        <f t="shared" si="9"/>
        <v/>
      </c>
      <c r="C115" s="15" t="str">
        <f t="shared" si="11"/>
        <v/>
      </c>
      <c r="D115" s="15" t="str">
        <f t="shared" si="7"/>
        <v/>
      </c>
      <c r="E115" s="15" t="str">
        <f t="shared" si="10"/>
        <v/>
      </c>
      <c r="H115" s="16" t="str">
        <f t="shared" si="8"/>
        <v/>
      </c>
    </row>
    <row r="116" spans="2:8" x14ac:dyDescent="0.25">
      <c r="B116" s="7" t="str">
        <f t="shared" si="9"/>
        <v/>
      </c>
      <c r="C116" s="15" t="str">
        <f t="shared" si="11"/>
        <v/>
      </c>
      <c r="D116" s="15" t="str">
        <f t="shared" si="7"/>
        <v/>
      </c>
      <c r="E116" s="15" t="str">
        <f t="shared" si="10"/>
        <v/>
      </c>
      <c r="H116" s="16" t="str">
        <f t="shared" si="8"/>
        <v/>
      </c>
    </row>
    <row r="117" spans="2:8" x14ac:dyDescent="0.25">
      <c r="B117" s="7" t="str">
        <f t="shared" si="9"/>
        <v/>
      </c>
      <c r="C117" s="15" t="str">
        <f t="shared" si="11"/>
        <v/>
      </c>
      <c r="D117" s="15" t="str">
        <f t="shared" si="7"/>
        <v/>
      </c>
      <c r="E117" s="15" t="str">
        <f t="shared" si="10"/>
        <v/>
      </c>
      <c r="H117" s="16" t="str">
        <f t="shared" si="8"/>
        <v/>
      </c>
    </row>
    <row r="118" spans="2:8" x14ac:dyDescent="0.25">
      <c r="B118" s="7" t="str">
        <f t="shared" si="9"/>
        <v/>
      </c>
      <c r="C118" s="15" t="str">
        <f t="shared" si="11"/>
        <v/>
      </c>
      <c r="D118" s="15" t="str">
        <f t="shared" si="7"/>
        <v/>
      </c>
      <c r="E118" s="15" t="str">
        <f t="shared" si="10"/>
        <v/>
      </c>
      <c r="H118" s="16" t="str">
        <f t="shared" si="8"/>
        <v/>
      </c>
    </row>
    <row r="119" spans="2:8" x14ac:dyDescent="0.25">
      <c r="B119" s="7" t="str">
        <f t="shared" si="9"/>
        <v/>
      </c>
      <c r="C119" s="15" t="str">
        <f t="shared" si="11"/>
        <v/>
      </c>
      <c r="D119" s="15" t="str">
        <f t="shared" si="7"/>
        <v/>
      </c>
      <c r="E119" s="15" t="str">
        <f t="shared" si="10"/>
        <v/>
      </c>
      <c r="H119" s="16" t="str">
        <f t="shared" si="8"/>
        <v/>
      </c>
    </row>
    <row r="120" spans="2:8" x14ac:dyDescent="0.25">
      <c r="B120" s="7" t="str">
        <f t="shared" si="9"/>
        <v/>
      </c>
      <c r="C120" s="15" t="str">
        <f t="shared" si="11"/>
        <v/>
      </c>
      <c r="D120" s="15" t="str">
        <f t="shared" si="7"/>
        <v/>
      </c>
      <c r="E120" s="15" t="str">
        <f t="shared" si="10"/>
        <v/>
      </c>
      <c r="H120" s="16" t="str">
        <f t="shared" si="8"/>
        <v/>
      </c>
    </row>
    <row r="121" spans="2:8" x14ac:dyDescent="0.25">
      <c r="B121" s="7" t="str">
        <f t="shared" si="9"/>
        <v/>
      </c>
      <c r="C121" s="15" t="str">
        <f t="shared" si="11"/>
        <v/>
      </c>
      <c r="D121" s="15" t="str">
        <f t="shared" si="7"/>
        <v/>
      </c>
      <c r="E121" s="15" t="str">
        <f t="shared" si="10"/>
        <v/>
      </c>
      <c r="H121" s="16" t="str">
        <f t="shared" si="8"/>
        <v/>
      </c>
    </row>
    <row r="122" spans="2:8" x14ac:dyDescent="0.25">
      <c r="B122" s="7" t="str">
        <f t="shared" si="9"/>
        <v/>
      </c>
      <c r="C122" s="15" t="str">
        <f t="shared" si="11"/>
        <v/>
      </c>
      <c r="D122" s="15" t="str">
        <f t="shared" si="7"/>
        <v/>
      </c>
      <c r="E122" s="15" t="str">
        <f t="shared" si="10"/>
        <v/>
      </c>
      <c r="H122" s="16" t="str">
        <f t="shared" si="8"/>
        <v/>
      </c>
    </row>
    <row r="123" spans="2:8" x14ac:dyDescent="0.25">
      <c r="B123" s="7" t="str">
        <f t="shared" si="9"/>
        <v/>
      </c>
      <c r="C123" s="15" t="str">
        <f t="shared" si="11"/>
        <v/>
      </c>
      <c r="D123" s="15" t="str">
        <f t="shared" si="7"/>
        <v/>
      </c>
      <c r="E123" s="15" t="str">
        <f t="shared" si="10"/>
        <v/>
      </c>
      <c r="H123" s="16" t="str">
        <f t="shared" si="8"/>
        <v/>
      </c>
    </row>
    <row r="124" spans="2:8" x14ac:dyDescent="0.25">
      <c r="B124" s="7" t="str">
        <f t="shared" si="9"/>
        <v/>
      </c>
      <c r="C124" s="15" t="str">
        <f t="shared" si="11"/>
        <v/>
      </c>
      <c r="D124" s="15" t="str">
        <f t="shared" si="7"/>
        <v/>
      </c>
      <c r="E124" s="15" t="str">
        <f t="shared" si="10"/>
        <v/>
      </c>
      <c r="H124" s="16" t="str">
        <f t="shared" si="8"/>
        <v/>
      </c>
    </row>
    <row r="125" spans="2:8" x14ac:dyDescent="0.25">
      <c r="B125" s="7" t="str">
        <f t="shared" si="9"/>
        <v/>
      </c>
      <c r="C125" s="15" t="str">
        <f t="shared" si="11"/>
        <v/>
      </c>
      <c r="D125" s="15" t="str">
        <f t="shared" si="7"/>
        <v/>
      </c>
      <c r="E125" s="15" t="str">
        <f t="shared" si="10"/>
        <v/>
      </c>
      <c r="H125" s="16" t="str">
        <f t="shared" si="8"/>
        <v/>
      </c>
    </row>
    <row r="126" spans="2:8" x14ac:dyDescent="0.25">
      <c r="B126" s="7" t="str">
        <f t="shared" si="9"/>
        <v/>
      </c>
      <c r="C126" s="15" t="str">
        <f t="shared" si="11"/>
        <v/>
      </c>
      <c r="D126" s="15" t="str">
        <f t="shared" si="7"/>
        <v/>
      </c>
      <c r="E126" s="15" t="str">
        <f t="shared" si="10"/>
        <v/>
      </c>
      <c r="H126" s="16" t="str">
        <f t="shared" si="8"/>
        <v/>
      </c>
    </row>
    <row r="127" spans="2:8" x14ac:dyDescent="0.25">
      <c r="B127" s="7" t="str">
        <f>IF(B126&gt;=120,"",B126+1)</f>
        <v/>
      </c>
      <c r="C127" s="15" t="str">
        <f t="shared" si="11"/>
        <v/>
      </c>
      <c r="D127" s="15" t="str">
        <f t="shared" si="7"/>
        <v/>
      </c>
      <c r="E127" s="15" t="str">
        <f t="shared" si="10"/>
        <v/>
      </c>
      <c r="H127" s="16" t="str">
        <f t="shared" si="8"/>
        <v/>
      </c>
    </row>
    <row r="128" spans="2:8" x14ac:dyDescent="0.25">
      <c r="B128" s="7" t="str">
        <f t="shared" ref="B128:B130" si="12">IF(B127&gt;=120,"",B127+1)</f>
        <v/>
      </c>
      <c r="C128" s="15" t="str">
        <f t="shared" si="11"/>
        <v/>
      </c>
      <c r="D128" s="15" t="str">
        <f t="shared" si="7"/>
        <v/>
      </c>
      <c r="E128" s="15" t="str">
        <f t="shared" si="10"/>
        <v/>
      </c>
      <c r="H128" s="16" t="str">
        <f t="shared" si="8"/>
        <v/>
      </c>
    </row>
    <row r="129" spans="2:8" x14ac:dyDescent="0.25">
      <c r="B129" s="7" t="str">
        <f t="shared" si="12"/>
        <v/>
      </c>
      <c r="C129" s="15" t="str">
        <f t="shared" si="11"/>
        <v/>
      </c>
      <c r="D129" s="15" t="str">
        <f t="shared" si="7"/>
        <v/>
      </c>
      <c r="E129" s="15" t="str">
        <f t="shared" si="10"/>
        <v/>
      </c>
      <c r="H129" s="16" t="str">
        <f t="shared" si="8"/>
        <v/>
      </c>
    </row>
    <row r="130" spans="2:8" x14ac:dyDescent="0.25">
      <c r="B130" s="7" t="str">
        <f t="shared" si="12"/>
        <v/>
      </c>
      <c r="C130" s="15" t="str">
        <f t="shared" si="11"/>
        <v/>
      </c>
      <c r="D130" s="15" t="str">
        <f t="shared" si="7"/>
        <v/>
      </c>
      <c r="E130" s="15" t="str">
        <f t="shared" si="10"/>
        <v/>
      </c>
      <c r="H130" s="16" t="str">
        <f t="shared" si="8"/>
        <v/>
      </c>
    </row>
    <row r="131" spans="2:8" x14ac:dyDescent="0.25">
      <c r="B131" s="7" t="str">
        <f>IF(B130&gt;=120,"",B130+1)</f>
        <v/>
      </c>
      <c r="C131" s="15" t="str">
        <f t="shared" si="11"/>
        <v/>
      </c>
      <c r="D131" s="15" t="str">
        <f t="shared" si="7"/>
        <v/>
      </c>
      <c r="E131" s="15" t="str">
        <f t="shared" si="10"/>
        <v/>
      </c>
      <c r="H131" s="16" t="str">
        <f t="shared" si="8"/>
        <v/>
      </c>
    </row>
    <row r="132" spans="2:8" x14ac:dyDescent="0.25">
      <c r="B132" s="7" t="str">
        <f t="shared" ref="B132" si="13">IF(B131&gt;=120,"",B131+1)</f>
        <v/>
      </c>
      <c r="C132" s="15" t="str">
        <f t="shared" si="11"/>
        <v/>
      </c>
      <c r="D132" s="15" t="str">
        <f t="shared" si="7"/>
        <v/>
      </c>
      <c r="E132" s="15" t="str">
        <f t="shared" si="10"/>
        <v/>
      </c>
      <c r="H132" s="16" t="str">
        <f t="shared" si="8"/>
        <v/>
      </c>
    </row>
    <row r="133" spans="2:8" x14ac:dyDescent="0.25">
      <c r="B133" s="7"/>
      <c r="C133" s="15"/>
    </row>
    <row r="134" spans="2:8" x14ac:dyDescent="0.25">
      <c r="B134" s="7"/>
      <c r="C134" s="15"/>
    </row>
    <row r="135" spans="2:8" x14ac:dyDescent="0.25">
      <c r="B135" s="7"/>
      <c r="C135" s="15"/>
    </row>
    <row r="136" spans="2:8" x14ac:dyDescent="0.25">
      <c r="B136" s="7"/>
      <c r="C136" s="15"/>
    </row>
    <row r="137" spans="2:8" x14ac:dyDescent="0.25">
      <c r="B137" s="7"/>
      <c r="C137" s="15"/>
    </row>
  </sheetData>
  <mergeCells count="10">
    <mergeCell ref="B11:E11"/>
    <mergeCell ref="B12:E12"/>
    <mergeCell ref="B13:H13"/>
    <mergeCell ref="B15:H15"/>
    <mergeCell ref="B2:H2"/>
    <mergeCell ref="B3:C3"/>
    <mergeCell ref="B6:D6"/>
    <mergeCell ref="B8:H8"/>
    <mergeCell ref="B10:E10"/>
    <mergeCell ref="B9:E9"/>
  </mergeCells>
  <pageMargins left="0.7" right="0.7" top="0.75" bottom="0.75" header="0.3" footer="0.3"/>
  <pageSetup scale="68" fitToHeight="3" orientation="portrait" horizontalDpi="300" verticalDpi="300" r:id="rId1"/>
  <headerFooter>
    <oddFooter>&amp;L&amp;F
&amp;A&amp;C&amp;P of &amp;N&amp;R&amp;D
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AA57-8970-4449-999F-20839A6ADF86}">
  <dimension ref="B1:C129"/>
  <sheetViews>
    <sheetView workbookViewId="0">
      <selection activeCell="B4" sqref="B4:C119"/>
    </sheetView>
  </sheetViews>
  <sheetFormatPr defaultRowHeight="12.75" x14ac:dyDescent="0.2"/>
  <cols>
    <col min="1" max="1" width="5" style="1" customWidth="1"/>
    <col min="2" max="2" width="14.140625" style="1" customWidth="1"/>
    <col min="3" max="3" width="14.7109375" style="1" customWidth="1"/>
    <col min="4" max="16384" width="9.140625" style="1"/>
  </cols>
  <sheetData>
    <row r="1" spans="2:3" ht="13.5" thickBot="1" x14ac:dyDescent="0.25"/>
    <row r="2" spans="2:3" ht="16.5" thickBot="1" x14ac:dyDescent="0.3">
      <c r="B2" s="41" t="s">
        <v>0</v>
      </c>
      <c r="C2" s="42"/>
    </row>
    <row r="3" spans="2:3" x14ac:dyDescent="0.2">
      <c r="B3" s="2" t="s">
        <v>1</v>
      </c>
      <c r="C3" s="2" t="s">
        <v>2</v>
      </c>
    </row>
    <row r="4" spans="2:3" x14ac:dyDescent="0.2">
      <c r="B4" s="3">
        <v>5</v>
      </c>
      <c r="C4" s="4">
        <v>2.3699999999999999E-4</v>
      </c>
    </row>
    <row r="5" spans="2:3" x14ac:dyDescent="0.2">
      <c r="B5" s="5">
        <f>B4+1</f>
        <v>6</v>
      </c>
      <c r="C5" s="4">
        <v>2.2699999999999999E-4</v>
      </c>
    </row>
    <row r="6" spans="2:3" x14ac:dyDescent="0.2">
      <c r="B6" s="5">
        <f t="shared" ref="B6:B69" si="0">B5+1</f>
        <v>7</v>
      </c>
      <c r="C6" s="4">
        <v>2.1699999999999999E-4</v>
      </c>
    </row>
    <row r="7" spans="2:3" x14ac:dyDescent="0.2">
      <c r="B7" s="5">
        <f t="shared" si="0"/>
        <v>8</v>
      </c>
      <c r="C7" s="4">
        <v>2.0100000000000001E-4</v>
      </c>
    </row>
    <row r="8" spans="2:3" x14ac:dyDescent="0.2">
      <c r="B8" s="5">
        <f t="shared" si="0"/>
        <v>9</v>
      </c>
      <c r="C8" s="4">
        <v>1.94E-4</v>
      </c>
    </row>
    <row r="9" spans="2:3" x14ac:dyDescent="0.2">
      <c r="B9" s="5">
        <f t="shared" si="0"/>
        <v>10</v>
      </c>
      <c r="C9" s="4">
        <v>1.9699999999999999E-4</v>
      </c>
    </row>
    <row r="10" spans="2:3" x14ac:dyDescent="0.2">
      <c r="B10" s="5">
        <f t="shared" si="0"/>
        <v>11</v>
      </c>
      <c r="C10" s="4">
        <v>2.0799999999999999E-4</v>
      </c>
    </row>
    <row r="11" spans="2:3" x14ac:dyDescent="0.2">
      <c r="B11" s="5">
        <f t="shared" si="0"/>
        <v>12</v>
      </c>
      <c r="C11" s="4">
        <v>2.2599999999999999E-4</v>
      </c>
    </row>
    <row r="12" spans="2:3" x14ac:dyDescent="0.2">
      <c r="B12" s="5">
        <f t="shared" si="0"/>
        <v>13</v>
      </c>
      <c r="C12" s="4">
        <v>2.5500000000000002E-4</v>
      </c>
    </row>
    <row r="13" spans="2:3" x14ac:dyDescent="0.2">
      <c r="B13" s="5">
        <f t="shared" si="0"/>
        <v>14</v>
      </c>
      <c r="C13" s="4">
        <v>2.9700000000000001E-4</v>
      </c>
    </row>
    <row r="14" spans="2:3" x14ac:dyDescent="0.2">
      <c r="B14" s="5">
        <f t="shared" si="0"/>
        <v>15</v>
      </c>
      <c r="C14" s="4">
        <v>3.4499999999999998E-4</v>
      </c>
    </row>
    <row r="15" spans="2:3" x14ac:dyDescent="0.2">
      <c r="B15" s="5">
        <f t="shared" si="0"/>
        <v>16</v>
      </c>
      <c r="C15" s="4">
        <v>3.9100000000000002E-4</v>
      </c>
    </row>
    <row r="16" spans="2:3" x14ac:dyDescent="0.2">
      <c r="B16" s="5">
        <f t="shared" si="0"/>
        <v>17</v>
      </c>
      <c r="C16" s="4">
        <v>4.2999999999999999E-4</v>
      </c>
    </row>
    <row r="17" spans="2:3" x14ac:dyDescent="0.2">
      <c r="B17" s="5">
        <f t="shared" si="0"/>
        <v>18</v>
      </c>
      <c r="C17" s="4">
        <v>4.6000000000000001E-4</v>
      </c>
    </row>
    <row r="18" spans="2:3" x14ac:dyDescent="0.2">
      <c r="B18" s="5">
        <f t="shared" si="0"/>
        <v>19</v>
      </c>
      <c r="C18" s="4">
        <v>4.84E-4</v>
      </c>
    </row>
    <row r="19" spans="2:3" x14ac:dyDescent="0.2">
      <c r="B19" s="5">
        <f t="shared" si="0"/>
        <v>20</v>
      </c>
      <c r="C19" s="4">
        <v>5.0699999999999996E-4</v>
      </c>
    </row>
    <row r="20" spans="2:3" x14ac:dyDescent="0.2">
      <c r="B20" s="5">
        <f t="shared" si="0"/>
        <v>21</v>
      </c>
      <c r="C20" s="4">
        <v>5.2999999999999998E-4</v>
      </c>
    </row>
    <row r="21" spans="2:3" x14ac:dyDescent="0.2">
      <c r="B21" s="5">
        <f t="shared" si="0"/>
        <v>22</v>
      </c>
      <c r="C21" s="4">
        <v>5.5599999999999996E-4</v>
      </c>
    </row>
    <row r="22" spans="2:3" x14ac:dyDescent="0.2">
      <c r="B22" s="5">
        <f t="shared" si="0"/>
        <v>23</v>
      </c>
      <c r="C22" s="4">
        <v>5.8900000000000001E-4</v>
      </c>
    </row>
    <row r="23" spans="2:3" x14ac:dyDescent="0.2">
      <c r="B23" s="5">
        <f t="shared" si="0"/>
        <v>24</v>
      </c>
      <c r="C23" s="4">
        <v>6.2399999999999999E-4</v>
      </c>
    </row>
    <row r="24" spans="2:3" x14ac:dyDescent="0.2">
      <c r="B24" s="5">
        <f t="shared" si="0"/>
        <v>25</v>
      </c>
      <c r="C24" s="4">
        <v>6.6100000000000002E-4</v>
      </c>
    </row>
    <row r="25" spans="2:3" x14ac:dyDescent="0.2">
      <c r="B25" s="5">
        <f t="shared" si="0"/>
        <v>26</v>
      </c>
      <c r="C25" s="4">
        <v>6.96E-4</v>
      </c>
    </row>
    <row r="26" spans="2:3" x14ac:dyDescent="0.2">
      <c r="B26" s="5">
        <f t="shared" si="0"/>
        <v>27</v>
      </c>
      <c r="C26" s="4">
        <v>7.27E-4</v>
      </c>
    </row>
    <row r="27" spans="2:3" x14ac:dyDescent="0.2">
      <c r="B27" s="5">
        <f t="shared" si="0"/>
        <v>28</v>
      </c>
      <c r="C27" s="4">
        <v>7.54E-4</v>
      </c>
    </row>
    <row r="28" spans="2:3" x14ac:dyDescent="0.2">
      <c r="B28" s="5">
        <f t="shared" si="0"/>
        <v>29</v>
      </c>
      <c r="C28" s="4">
        <v>7.7899999999999996E-4</v>
      </c>
    </row>
    <row r="29" spans="2:3" x14ac:dyDescent="0.2">
      <c r="B29" s="5">
        <f t="shared" si="0"/>
        <v>30</v>
      </c>
      <c r="C29" s="4">
        <v>8.0099999999999995E-4</v>
      </c>
    </row>
    <row r="30" spans="2:3" x14ac:dyDescent="0.2">
      <c r="B30" s="5">
        <f t="shared" si="0"/>
        <v>31</v>
      </c>
      <c r="C30" s="4">
        <v>8.2100000000000001E-4</v>
      </c>
    </row>
    <row r="31" spans="2:3" x14ac:dyDescent="0.2">
      <c r="B31" s="5">
        <f t="shared" si="0"/>
        <v>32</v>
      </c>
      <c r="C31" s="4">
        <v>8.3900000000000001E-4</v>
      </c>
    </row>
    <row r="32" spans="2:3" x14ac:dyDescent="0.2">
      <c r="B32" s="5">
        <f t="shared" si="0"/>
        <v>33</v>
      </c>
      <c r="C32" s="4">
        <v>8.4800000000000001E-4</v>
      </c>
    </row>
    <row r="33" spans="2:3" x14ac:dyDescent="0.2">
      <c r="B33" s="5">
        <f t="shared" si="0"/>
        <v>34</v>
      </c>
      <c r="C33" s="4">
        <v>8.4900000000000004E-4</v>
      </c>
    </row>
    <row r="34" spans="2:3" x14ac:dyDescent="0.2">
      <c r="B34" s="5">
        <f t="shared" si="0"/>
        <v>35</v>
      </c>
      <c r="C34" s="4">
        <v>8.5099999999999998E-4</v>
      </c>
    </row>
    <row r="35" spans="2:3" x14ac:dyDescent="0.2">
      <c r="B35" s="5">
        <f t="shared" si="0"/>
        <v>36</v>
      </c>
      <c r="C35" s="4">
        <v>8.6200000000000003E-4</v>
      </c>
    </row>
    <row r="36" spans="2:3" x14ac:dyDescent="0.2">
      <c r="B36" s="5">
        <f t="shared" si="0"/>
        <v>37</v>
      </c>
      <c r="C36" s="4">
        <v>8.9099999999999997E-4</v>
      </c>
    </row>
    <row r="37" spans="2:3" x14ac:dyDescent="0.2">
      <c r="B37" s="5">
        <f t="shared" si="0"/>
        <v>38</v>
      </c>
      <c r="C37" s="4">
        <v>9.3899999999999995E-4</v>
      </c>
    </row>
    <row r="38" spans="2:3" x14ac:dyDescent="0.2">
      <c r="B38" s="5">
        <f t="shared" si="0"/>
        <v>39</v>
      </c>
      <c r="C38" s="4">
        <v>9.990000000000001E-4</v>
      </c>
    </row>
    <row r="39" spans="2:3" x14ac:dyDescent="0.2">
      <c r="B39" s="5">
        <f t="shared" si="0"/>
        <v>40</v>
      </c>
      <c r="C39" s="4">
        <v>1.072E-3</v>
      </c>
    </row>
    <row r="40" spans="2:3" x14ac:dyDescent="0.2">
      <c r="B40" s="5">
        <f t="shared" si="0"/>
        <v>41</v>
      </c>
      <c r="C40" s="4">
        <v>1.1559999999999999E-3</v>
      </c>
    </row>
    <row r="41" spans="2:3" x14ac:dyDescent="0.2">
      <c r="B41" s="5">
        <f t="shared" si="0"/>
        <v>42</v>
      </c>
      <c r="C41" s="4">
        <v>1.2520000000000001E-3</v>
      </c>
    </row>
    <row r="42" spans="2:3" x14ac:dyDescent="0.2">
      <c r="B42" s="5">
        <f t="shared" si="0"/>
        <v>43</v>
      </c>
      <c r="C42" s="4">
        <v>1.3519999999999999E-3</v>
      </c>
    </row>
    <row r="43" spans="2:3" x14ac:dyDescent="0.2">
      <c r="B43" s="5">
        <f t="shared" si="0"/>
        <v>44</v>
      </c>
      <c r="C43" s="4">
        <v>1.4580000000000001E-3</v>
      </c>
    </row>
    <row r="44" spans="2:3" x14ac:dyDescent="0.2">
      <c r="B44" s="5">
        <f t="shared" si="0"/>
        <v>45</v>
      </c>
      <c r="C44" s="4">
        <v>1.578E-3</v>
      </c>
    </row>
    <row r="45" spans="2:3" x14ac:dyDescent="0.2">
      <c r="B45" s="5">
        <f t="shared" si="0"/>
        <v>46</v>
      </c>
      <c r="C45" s="4">
        <v>1.722E-3</v>
      </c>
    </row>
    <row r="46" spans="2:3" x14ac:dyDescent="0.2">
      <c r="B46" s="5">
        <f t="shared" si="0"/>
        <v>47</v>
      </c>
      <c r="C46" s="4">
        <v>1.8990000000000001E-3</v>
      </c>
    </row>
    <row r="47" spans="2:3" x14ac:dyDescent="0.2">
      <c r="B47" s="5">
        <f t="shared" si="0"/>
        <v>48</v>
      </c>
      <c r="C47" s="4">
        <v>2.1020000000000001E-3</v>
      </c>
    </row>
    <row r="48" spans="2:3" x14ac:dyDescent="0.2">
      <c r="B48" s="5">
        <f t="shared" si="0"/>
        <v>49</v>
      </c>
      <c r="C48" s="4">
        <v>2.3259999999999999E-3</v>
      </c>
    </row>
    <row r="49" spans="2:3" x14ac:dyDescent="0.2">
      <c r="B49" s="5">
        <f t="shared" si="0"/>
        <v>50</v>
      </c>
      <c r="C49" s="4">
        <v>2.5790000000000001E-3</v>
      </c>
    </row>
    <row r="50" spans="2:3" x14ac:dyDescent="0.2">
      <c r="B50" s="5">
        <f t="shared" si="0"/>
        <v>51</v>
      </c>
      <c r="C50" s="4">
        <v>2.872E-3</v>
      </c>
    </row>
    <row r="51" spans="2:3" x14ac:dyDescent="0.2">
      <c r="B51" s="5">
        <f t="shared" si="0"/>
        <v>52</v>
      </c>
      <c r="C51" s="4">
        <v>3.2130000000000001E-3</v>
      </c>
    </row>
    <row r="52" spans="2:3" x14ac:dyDescent="0.2">
      <c r="B52" s="5">
        <f t="shared" si="0"/>
        <v>53</v>
      </c>
      <c r="C52" s="4">
        <v>3.5839999999999999E-3</v>
      </c>
    </row>
    <row r="53" spans="2:3" x14ac:dyDescent="0.2">
      <c r="B53" s="5">
        <f t="shared" si="0"/>
        <v>54</v>
      </c>
      <c r="C53" s="4">
        <v>3.9789999999999999E-3</v>
      </c>
    </row>
    <row r="54" spans="2:3" x14ac:dyDescent="0.2">
      <c r="B54" s="5">
        <f t="shared" si="0"/>
        <v>55</v>
      </c>
      <c r="C54" s="4">
        <v>4.4250000000000001E-3</v>
      </c>
    </row>
    <row r="55" spans="2:3" x14ac:dyDescent="0.2">
      <c r="B55" s="5">
        <f t="shared" si="0"/>
        <v>56</v>
      </c>
      <c r="C55" s="4">
        <v>4.9490000000000003E-3</v>
      </c>
    </row>
    <row r="56" spans="2:3" x14ac:dyDescent="0.2">
      <c r="B56" s="5">
        <f t="shared" si="0"/>
        <v>57</v>
      </c>
      <c r="C56" s="4">
        <v>5.581E-3</v>
      </c>
    </row>
    <row r="57" spans="2:3" x14ac:dyDescent="0.2">
      <c r="B57" s="5">
        <f t="shared" si="0"/>
        <v>58</v>
      </c>
      <c r="C57" s="4">
        <v>6.3E-3</v>
      </c>
    </row>
    <row r="58" spans="2:3" x14ac:dyDescent="0.2">
      <c r="B58" s="5">
        <f t="shared" si="0"/>
        <v>59</v>
      </c>
      <c r="C58" s="4">
        <v>7.0899999999999999E-3</v>
      </c>
    </row>
    <row r="59" spans="2:3" x14ac:dyDescent="0.2">
      <c r="B59" s="5">
        <f t="shared" si="0"/>
        <v>60</v>
      </c>
      <c r="C59" s="4">
        <v>7.9760000000000005E-3</v>
      </c>
    </row>
    <row r="60" spans="2:3" x14ac:dyDescent="0.2">
      <c r="B60" s="5">
        <f t="shared" si="0"/>
        <v>61</v>
      </c>
      <c r="C60" s="4">
        <v>8.9859999999999992E-3</v>
      </c>
    </row>
    <row r="61" spans="2:3" x14ac:dyDescent="0.2">
      <c r="B61" s="5">
        <f t="shared" si="0"/>
        <v>62</v>
      </c>
      <c r="C61" s="4">
        <v>1.0147E-2</v>
      </c>
    </row>
    <row r="62" spans="2:3" x14ac:dyDescent="0.2">
      <c r="B62" s="5">
        <f t="shared" si="0"/>
        <v>63</v>
      </c>
      <c r="C62" s="4">
        <v>1.1471E-2</v>
      </c>
    </row>
    <row r="63" spans="2:3" x14ac:dyDescent="0.2">
      <c r="B63" s="5">
        <f t="shared" si="0"/>
        <v>64</v>
      </c>
      <c r="C63" s="4">
        <v>1.294E-2</v>
      </c>
    </row>
    <row r="64" spans="2:3" x14ac:dyDescent="0.2">
      <c r="B64" s="5">
        <f t="shared" si="0"/>
        <v>65</v>
      </c>
      <c r="C64" s="4">
        <v>1.4534999999999999E-2</v>
      </c>
    </row>
    <row r="65" spans="2:3" x14ac:dyDescent="0.2">
      <c r="B65" s="5">
        <f t="shared" si="0"/>
        <v>66</v>
      </c>
      <c r="C65" s="4">
        <v>1.6239E-2</v>
      </c>
    </row>
    <row r="66" spans="2:3" x14ac:dyDescent="0.2">
      <c r="B66" s="5">
        <f t="shared" si="0"/>
        <v>67</v>
      </c>
      <c r="C66" s="4">
        <v>1.8034000000000001E-2</v>
      </c>
    </row>
    <row r="67" spans="2:3" x14ac:dyDescent="0.2">
      <c r="B67" s="5">
        <f t="shared" si="0"/>
        <v>68</v>
      </c>
      <c r="C67" s="4">
        <v>1.9859000000000002E-2</v>
      </c>
    </row>
    <row r="68" spans="2:3" x14ac:dyDescent="0.2">
      <c r="B68" s="5">
        <f t="shared" si="0"/>
        <v>69</v>
      </c>
      <c r="C68" s="4">
        <v>2.1728999999999998E-2</v>
      </c>
    </row>
    <row r="69" spans="2:3" x14ac:dyDescent="0.2">
      <c r="B69" s="5">
        <f t="shared" si="0"/>
        <v>70</v>
      </c>
      <c r="C69" s="4">
        <v>2.3730000000000001E-2</v>
      </c>
    </row>
    <row r="70" spans="2:3" x14ac:dyDescent="0.2">
      <c r="B70" s="5">
        <f t="shared" ref="B70:B119" si="1">B69+1</f>
        <v>71</v>
      </c>
      <c r="C70" s="4">
        <v>2.5950999999999998E-2</v>
      </c>
    </row>
    <row r="71" spans="2:3" x14ac:dyDescent="0.2">
      <c r="B71" s="5">
        <f t="shared" si="1"/>
        <v>72</v>
      </c>
      <c r="C71" s="4">
        <v>2.8480999999999999E-2</v>
      </c>
    </row>
    <row r="72" spans="2:3" x14ac:dyDescent="0.2">
      <c r="B72" s="5">
        <f t="shared" si="1"/>
        <v>73</v>
      </c>
      <c r="C72" s="4">
        <v>3.1201E-2</v>
      </c>
    </row>
    <row r="73" spans="2:3" x14ac:dyDescent="0.2">
      <c r="B73" s="5">
        <f t="shared" si="1"/>
        <v>74</v>
      </c>
      <c r="C73" s="4">
        <v>3.4050999999999998E-2</v>
      </c>
    </row>
    <row r="74" spans="2:3" x14ac:dyDescent="0.2">
      <c r="B74" s="5">
        <f t="shared" si="1"/>
        <v>75</v>
      </c>
      <c r="C74" s="4">
        <v>3.7211000000000001E-2</v>
      </c>
    </row>
    <row r="75" spans="2:3" x14ac:dyDescent="0.2">
      <c r="B75" s="5">
        <f t="shared" si="1"/>
        <v>76</v>
      </c>
      <c r="C75" s="4">
        <v>4.0857999999999998E-2</v>
      </c>
    </row>
    <row r="76" spans="2:3" x14ac:dyDescent="0.2">
      <c r="B76" s="5">
        <f t="shared" si="1"/>
        <v>77</v>
      </c>
      <c r="C76" s="4">
        <v>4.5171000000000003E-2</v>
      </c>
    </row>
    <row r="77" spans="2:3" x14ac:dyDescent="0.2">
      <c r="B77" s="5">
        <f t="shared" si="1"/>
        <v>78</v>
      </c>
      <c r="C77" s="4">
        <v>5.0210999999999999E-2</v>
      </c>
    </row>
    <row r="78" spans="2:3" x14ac:dyDescent="0.2">
      <c r="B78" s="5">
        <f t="shared" si="1"/>
        <v>79</v>
      </c>
      <c r="C78" s="4">
        <v>5.5861000000000001E-2</v>
      </c>
    </row>
    <row r="79" spans="2:3" x14ac:dyDescent="0.2">
      <c r="B79" s="5">
        <f t="shared" si="1"/>
        <v>80</v>
      </c>
      <c r="C79" s="4">
        <v>6.2026999999999999E-2</v>
      </c>
    </row>
    <row r="80" spans="2:3" x14ac:dyDescent="0.2">
      <c r="B80" s="5">
        <f t="shared" si="1"/>
        <v>81</v>
      </c>
      <c r="C80" s="4">
        <v>6.8614999999999995E-2</v>
      </c>
    </row>
    <row r="81" spans="2:3" x14ac:dyDescent="0.2">
      <c r="B81" s="5">
        <f t="shared" si="1"/>
        <v>82</v>
      </c>
      <c r="C81" s="4">
        <v>7.5532000000000002E-2</v>
      </c>
    </row>
    <row r="82" spans="2:3" x14ac:dyDescent="0.2">
      <c r="B82" s="5">
        <f t="shared" si="1"/>
        <v>83</v>
      </c>
      <c r="C82" s="4">
        <v>8.251E-2</v>
      </c>
    </row>
    <row r="83" spans="2:3" x14ac:dyDescent="0.2">
      <c r="B83" s="5">
        <f t="shared" si="1"/>
        <v>84</v>
      </c>
      <c r="C83" s="4">
        <v>8.9612999999999998E-2</v>
      </c>
    </row>
    <row r="84" spans="2:3" x14ac:dyDescent="0.2">
      <c r="B84" s="5">
        <f t="shared" si="1"/>
        <v>85</v>
      </c>
      <c r="C84" s="4">
        <v>9.7239999999999993E-2</v>
      </c>
    </row>
    <row r="85" spans="2:3" x14ac:dyDescent="0.2">
      <c r="B85" s="5">
        <f t="shared" si="1"/>
        <v>86</v>
      </c>
      <c r="C85" s="4">
        <v>0.105792</v>
      </c>
    </row>
    <row r="86" spans="2:3" x14ac:dyDescent="0.2">
      <c r="B86" s="5">
        <f t="shared" si="1"/>
        <v>87</v>
      </c>
      <c r="C86" s="4">
        <v>0.115671</v>
      </c>
    </row>
    <row r="87" spans="2:3" x14ac:dyDescent="0.2">
      <c r="B87" s="5">
        <f t="shared" si="1"/>
        <v>88</v>
      </c>
      <c r="C87" s="4">
        <v>0.12698000000000001</v>
      </c>
    </row>
    <row r="88" spans="2:3" x14ac:dyDescent="0.2">
      <c r="B88" s="5">
        <f t="shared" si="1"/>
        <v>89</v>
      </c>
      <c r="C88" s="4">
        <v>0.13945199999999999</v>
      </c>
    </row>
    <row r="89" spans="2:3" x14ac:dyDescent="0.2">
      <c r="B89" s="5">
        <f t="shared" si="1"/>
        <v>90</v>
      </c>
      <c r="C89" s="4">
        <v>0.15293100000000001</v>
      </c>
    </row>
    <row r="90" spans="2:3" x14ac:dyDescent="0.2">
      <c r="B90" s="5">
        <f t="shared" si="1"/>
        <v>91</v>
      </c>
      <c r="C90" s="4">
        <v>0.16725999999999999</v>
      </c>
    </row>
    <row r="91" spans="2:3" x14ac:dyDescent="0.2">
      <c r="B91" s="5">
        <f t="shared" si="1"/>
        <v>92</v>
      </c>
      <c r="C91" s="4">
        <v>0.182281</v>
      </c>
    </row>
    <row r="92" spans="2:3" x14ac:dyDescent="0.2">
      <c r="B92" s="5">
        <f t="shared" si="1"/>
        <v>93</v>
      </c>
      <c r="C92" s="4">
        <v>0.19839200000000001</v>
      </c>
    </row>
    <row r="93" spans="2:3" x14ac:dyDescent="0.2">
      <c r="B93" s="5">
        <f t="shared" si="1"/>
        <v>94</v>
      </c>
      <c r="C93" s="4">
        <v>0.2157</v>
      </c>
    </row>
    <row r="94" spans="2:3" x14ac:dyDescent="0.2">
      <c r="B94" s="5">
        <f t="shared" si="1"/>
        <v>95</v>
      </c>
      <c r="C94" s="4">
        <v>0.23360600000000001</v>
      </c>
    </row>
    <row r="95" spans="2:3" x14ac:dyDescent="0.2">
      <c r="B95" s="5">
        <f t="shared" si="1"/>
        <v>96</v>
      </c>
      <c r="C95" s="4">
        <v>0.25151000000000001</v>
      </c>
    </row>
    <row r="96" spans="2:3" x14ac:dyDescent="0.2">
      <c r="B96" s="5">
        <f t="shared" si="1"/>
        <v>97</v>
      </c>
      <c r="C96" s="4">
        <v>0.26881500000000003</v>
      </c>
    </row>
    <row r="97" spans="2:3" x14ac:dyDescent="0.2">
      <c r="B97" s="5">
        <f t="shared" si="1"/>
        <v>98</v>
      </c>
      <c r="C97" s="4">
        <v>0.285277</v>
      </c>
    </row>
    <row r="98" spans="2:3" x14ac:dyDescent="0.2">
      <c r="B98" s="5">
        <f t="shared" si="1"/>
        <v>99</v>
      </c>
      <c r="C98" s="4">
        <v>0.30129800000000001</v>
      </c>
    </row>
    <row r="99" spans="2:3" x14ac:dyDescent="0.2">
      <c r="B99" s="5">
        <f t="shared" si="1"/>
        <v>100</v>
      </c>
      <c r="C99" s="4">
        <v>0.31723800000000002</v>
      </c>
    </row>
    <row r="100" spans="2:3" x14ac:dyDescent="0.2">
      <c r="B100" s="5">
        <f t="shared" si="1"/>
        <v>101</v>
      </c>
      <c r="C100" s="4">
        <v>0.33346100000000001</v>
      </c>
    </row>
    <row r="101" spans="2:3" x14ac:dyDescent="0.2">
      <c r="B101" s="5">
        <f t="shared" si="1"/>
        <v>102</v>
      </c>
      <c r="C101" s="4">
        <v>0.35032999999999997</v>
      </c>
    </row>
    <row r="102" spans="2:3" x14ac:dyDescent="0.2">
      <c r="B102" s="5">
        <f t="shared" si="1"/>
        <v>103</v>
      </c>
      <c r="C102" s="4">
        <v>0.36854199999999998</v>
      </c>
    </row>
    <row r="103" spans="2:3" x14ac:dyDescent="0.2">
      <c r="B103" s="5">
        <f t="shared" si="1"/>
        <v>104</v>
      </c>
      <c r="C103" s="4">
        <v>0.38785500000000001</v>
      </c>
    </row>
    <row r="104" spans="2:3" x14ac:dyDescent="0.2">
      <c r="B104" s="5">
        <f t="shared" si="1"/>
        <v>105</v>
      </c>
      <c r="C104" s="4">
        <v>0.40722399999999997</v>
      </c>
    </row>
    <row r="105" spans="2:3" x14ac:dyDescent="0.2">
      <c r="B105" s="5">
        <f t="shared" si="1"/>
        <v>106</v>
      </c>
      <c r="C105" s="4">
        <v>0.42559900000000001</v>
      </c>
    </row>
    <row r="106" spans="2:3" x14ac:dyDescent="0.2">
      <c r="B106" s="5">
        <f t="shared" si="1"/>
        <v>107</v>
      </c>
      <c r="C106" s="4">
        <v>0.44193500000000002</v>
      </c>
    </row>
    <row r="107" spans="2:3" x14ac:dyDescent="0.2">
      <c r="B107" s="5">
        <f t="shared" si="1"/>
        <v>108</v>
      </c>
      <c r="C107" s="4">
        <v>0.45755299999999999</v>
      </c>
    </row>
    <row r="108" spans="2:3" x14ac:dyDescent="0.2">
      <c r="B108" s="5">
        <f t="shared" si="1"/>
        <v>109</v>
      </c>
      <c r="C108" s="4">
        <v>0.47315000000000002</v>
      </c>
    </row>
    <row r="109" spans="2:3" x14ac:dyDescent="0.2">
      <c r="B109" s="5">
        <f t="shared" si="1"/>
        <v>110</v>
      </c>
      <c r="C109" s="4">
        <v>0.48674499999999998</v>
      </c>
    </row>
    <row r="110" spans="2:3" x14ac:dyDescent="0.2">
      <c r="B110" s="5">
        <f t="shared" si="1"/>
        <v>111</v>
      </c>
      <c r="C110" s="4">
        <v>0.49635600000000002</v>
      </c>
    </row>
    <row r="111" spans="2:3" x14ac:dyDescent="0.2">
      <c r="B111" s="5">
        <f t="shared" si="1"/>
        <v>112</v>
      </c>
      <c r="C111" s="4">
        <v>0.5</v>
      </c>
    </row>
    <row r="112" spans="2:3" x14ac:dyDescent="0.2">
      <c r="B112" s="5">
        <f t="shared" si="1"/>
        <v>113</v>
      </c>
      <c r="C112" s="4">
        <v>0.5</v>
      </c>
    </row>
    <row r="113" spans="2:3" x14ac:dyDescent="0.2">
      <c r="B113" s="5">
        <f t="shared" si="1"/>
        <v>114</v>
      </c>
      <c r="C113" s="4">
        <v>0.5</v>
      </c>
    </row>
    <row r="114" spans="2:3" x14ac:dyDescent="0.2">
      <c r="B114" s="5">
        <f t="shared" si="1"/>
        <v>115</v>
      </c>
      <c r="C114" s="4">
        <v>0.5</v>
      </c>
    </row>
    <row r="115" spans="2:3" x14ac:dyDescent="0.2">
      <c r="B115" s="5">
        <f t="shared" si="1"/>
        <v>116</v>
      </c>
      <c r="C115" s="4">
        <v>0.5</v>
      </c>
    </row>
    <row r="116" spans="2:3" x14ac:dyDescent="0.2">
      <c r="B116" s="5">
        <f t="shared" si="1"/>
        <v>117</v>
      </c>
      <c r="C116" s="4">
        <v>0.5</v>
      </c>
    </row>
    <row r="117" spans="2:3" x14ac:dyDescent="0.2">
      <c r="B117" s="5">
        <f t="shared" si="1"/>
        <v>118</v>
      </c>
      <c r="C117" s="4">
        <v>0.5</v>
      </c>
    </row>
    <row r="118" spans="2:3" x14ac:dyDescent="0.2">
      <c r="B118" s="5">
        <f t="shared" si="1"/>
        <v>119</v>
      </c>
      <c r="C118" s="4">
        <v>0.5</v>
      </c>
    </row>
    <row r="119" spans="2:3" x14ac:dyDescent="0.2">
      <c r="B119" s="5">
        <f t="shared" si="1"/>
        <v>120</v>
      </c>
      <c r="C119" s="4">
        <v>1</v>
      </c>
    </row>
    <row r="120" spans="2:3" x14ac:dyDescent="0.2">
      <c r="B120" s="6"/>
    </row>
    <row r="121" spans="2:3" x14ac:dyDescent="0.2">
      <c r="B121" s="6"/>
    </row>
    <row r="122" spans="2:3" x14ac:dyDescent="0.2">
      <c r="B122" s="6"/>
    </row>
    <row r="123" spans="2:3" x14ac:dyDescent="0.2">
      <c r="B123" s="6"/>
    </row>
    <row r="124" spans="2:3" x14ac:dyDescent="0.2">
      <c r="B124" s="6"/>
    </row>
    <row r="125" spans="2:3" x14ac:dyDescent="0.2">
      <c r="B125" s="6"/>
    </row>
    <row r="126" spans="2:3" x14ac:dyDescent="0.2">
      <c r="B126" s="6"/>
    </row>
    <row r="127" spans="2:3" x14ac:dyDescent="0.2">
      <c r="B127" s="6"/>
    </row>
    <row r="128" spans="2:3" x14ac:dyDescent="0.2">
      <c r="B128" s="6"/>
    </row>
    <row r="129" spans="2:2" x14ac:dyDescent="0.2">
      <c r="B129" s="6"/>
    </row>
  </sheetData>
  <mergeCells count="1">
    <mergeCell ref="B2:C2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qx Improve</vt:lpstr>
      <vt:lpstr>Qx</vt:lpstr>
      <vt:lpstr>'qx Improve'!Print_Titles</vt:lpstr>
      <vt:lpstr>QxTable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2020-09-24T00:40:39Z</cp:lastPrinted>
  <dcterms:created xsi:type="dcterms:W3CDTF">2020-09-21T18:36:22Z</dcterms:created>
  <dcterms:modified xsi:type="dcterms:W3CDTF">2020-09-24T00:42:55Z</dcterms:modified>
</cp:coreProperties>
</file>